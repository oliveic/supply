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upply\bom\"/>
    </mc:Choice>
  </mc:AlternateContent>
  <xr:revisionPtr revIDLastSave="0" documentId="13_ncr:40009_{C744FF73-C9E7-4178-AD3E-ED6F01688ED0}" xr6:coauthVersionLast="47" xr6:coauthVersionMax="47" xr10:uidLastSave="{00000000-0000-0000-0000-000000000000}"/>
  <bookViews>
    <workbookView xWindow="-120" yWindow="-120" windowWidth="29040" windowHeight="15840" activeTab="1"/>
  </bookViews>
  <sheets>
    <sheet name="file" sheetId="1" r:id="rId1"/>
    <sheet name="inumos depara" sheetId="3" r:id="rId2"/>
    <sheet name="depara" sheetId="2" r:id="rId3"/>
    <sheet name="inusmos_desc" sheetId="4" r:id="rId4"/>
  </sheets>
  <definedNames>
    <definedName name="_xlnm._FilterDatabase" localSheetId="2" hidden="1">depara!$A$1:$C$113</definedName>
  </definedNames>
  <calcPr calcId="0"/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2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1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B280" i="3" s="1"/>
  <c r="B281" i="3" s="1"/>
  <c r="B282" i="3" s="1"/>
  <c r="B283" i="3" s="1"/>
  <c r="B284" i="3" s="1"/>
  <c r="B285" i="3" s="1"/>
  <c r="B286" i="3" s="1"/>
  <c r="B287" i="3" s="1"/>
  <c r="B288" i="3" s="1"/>
  <c r="B289" i="3" s="1"/>
  <c r="B290" i="3" s="1"/>
  <c r="B291" i="3" s="1"/>
  <c r="B292" i="3" s="1"/>
  <c r="B293" i="3" s="1"/>
  <c r="B294" i="3" s="1"/>
  <c r="B295" i="3" s="1"/>
  <c r="B296" i="3" s="1"/>
  <c r="B297" i="3" s="1"/>
  <c r="B298" i="3" s="1"/>
  <c r="B299" i="3" s="1"/>
  <c r="B300" i="3" s="1"/>
  <c r="B301" i="3" s="1"/>
  <c r="B302" i="3" s="1"/>
  <c r="B303" i="3" s="1"/>
  <c r="B304" i="3" s="1"/>
  <c r="B305" i="3" s="1"/>
  <c r="B306" i="3" s="1"/>
  <c r="B307" i="3" s="1"/>
  <c r="B308" i="3" s="1"/>
  <c r="B309" i="3" s="1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B460" i="3" s="1"/>
  <c r="B461" i="3" s="1"/>
  <c r="B462" i="3" s="1"/>
  <c r="B463" i="3" s="1"/>
  <c r="B464" i="3" s="1"/>
  <c r="B465" i="3" s="1"/>
  <c r="B466" i="3" s="1"/>
  <c r="B467" i="3" s="1"/>
  <c r="B468" i="3" s="1"/>
  <c r="B469" i="3" s="1"/>
  <c r="B470" i="3" s="1"/>
  <c r="B471" i="3" s="1"/>
  <c r="B472" i="3" s="1"/>
  <c r="B473" i="3" s="1"/>
  <c r="B474" i="3" s="1"/>
  <c r="B475" i="3" s="1"/>
  <c r="B476" i="3" s="1"/>
  <c r="B477" i="3" s="1"/>
  <c r="B478" i="3" s="1"/>
  <c r="B479" i="3" s="1"/>
  <c r="B480" i="3" s="1"/>
  <c r="B481" i="3" s="1"/>
  <c r="B482" i="3" s="1"/>
  <c r="B483" i="3" s="1"/>
  <c r="B484" i="3" s="1"/>
  <c r="B485" i="3" s="1"/>
  <c r="B486" i="3" s="1"/>
  <c r="B487" i="3" s="1"/>
  <c r="B488" i="3" s="1"/>
  <c r="B489" i="3" s="1"/>
  <c r="B490" i="3" s="1"/>
  <c r="B491" i="3" s="1"/>
  <c r="B492" i="3" s="1"/>
  <c r="B493" i="3" s="1"/>
  <c r="B494" i="3" s="1"/>
  <c r="B495" i="3" s="1"/>
  <c r="B496" i="3" s="1"/>
  <c r="B497" i="3" s="1"/>
  <c r="B498" i="3" s="1"/>
  <c r="B499" i="3" s="1"/>
  <c r="B500" i="3" s="1"/>
  <c r="B501" i="3" s="1"/>
  <c r="B502" i="3" s="1"/>
  <c r="B503" i="3" s="1"/>
  <c r="B504" i="3" s="1"/>
  <c r="B505" i="3" s="1"/>
  <c r="B506" i="3" s="1"/>
  <c r="B507" i="3" s="1"/>
  <c r="B508" i="3" s="1"/>
  <c r="B509" i="3" s="1"/>
  <c r="B510" i="3" s="1"/>
  <c r="B511" i="3" s="1"/>
  <c r="B512" i="3" s="1"/>
  <c r="B513" i="3" s="1"/>
  <c r="B514" i="3" s="1"/>
  <c r="B515" i="3" s="1"/>
  <c r="B516" i="3" s="1"/>
  <c r="B517" i="3" s="1"/>
  <c r="B518" i="3" s="1"/>
  <c r="B519" i="3" s="1"/>
  <c r="B520" i="3" s="1"/>
  <c r="B521" i="3" s="1"/>
  <c r="B522" i="3" s="1"/>
  <c r="B523" i="3" s="1"/>
  <c r="B524" i="3" s="1"/>
  <c r="B525" i="3" s="1"/>
  <c r="B526" i="3" s="1"/>
  <c r="B527" i="3" s="1"/>
  <c r="B528" i="3" s="1"/>
  <c r="B529" i="3" s="1"/>
  <c r="B530" i="3" s="1"/>
  <c r="B531" i="3" s="1"/>
  <c r="B532" i="3" s="1"/>
  <c r="B533" i="3" s="1"/>
  <c r="B534" i="3" s="1"/>
  <c r="B535" i="3" s="1"/>
  <c r="B536" i="3" s="1"/>
  <c r="B537" i="3" s="1"/>
  <c r="B538" i="3" s="1"/>
  <c r="B539" i="3" s="1"/>
  <c r="B540" i="3" s="1"/>
  <c r="B541" i="3" s="1"/>
  <c r="B542" i="3" s="1"/>
  <c r="B543" i="3" s="1"/>
  <c r="B544" i="3" s="1"/>
  <c r="B545" i="3" s="1"/>
  <c r="B546" i="3" s="1"/>
  <c r="B547" i="3" s="1"/>
  <c r="B548" i="3" s="1"/>
  <c r="B549" i="3" s="1"/>
  <c r="B550" i="3" s="1"/>
  <c r="B551" i="3" s="1"/>
  <c r="B552" i="3" s="1"/>
  <c r="B553" i="3" s="1"/>
  <c r="B554" i="3" s="1"/>
  <c r="B555" i="3" s="1"/>
  <c r="B556" i="3" s="1"/>
  <c r="B557" i="3" s="1"/>
  <c r="B558" i="3" s="1"/>
  <c r="B559" i="3" s="1"/>
  <c r="B560" i="3" s="1"/>
  <c r="B561" i="3" s="1"/>
  <c r="B562" i="3" s="1"/>
  <c r="B563" i="3" s="1"/>
  <c r="B564" i="3" s="1"/>
  <c r="B565" i="3" s="1"/>
  <c r="B566" i="3" s="1"/>
  <c r="B567" i="3" s="1"/>
  <c r="B568" i="3" s="1"/>
  <c r="B569" i="3" s="1"/>
  <c r="B570" i="3" s="1"/>
  <c r="B571" i="3" s="1"/>
  <c r="B572" i="3" s="1"/>
  <c r="B573" i="3" s="1"/>
  <c r="B574" i="3" s="1"/>
  <c r="B575" i="3" s="1"/>
  <c r="B576" i="3" s="1"/>
  <c r="B577" i="3" s="1"/>
  <c r="B578" i="3" s="1"/>
  <c r="B579" i="3" s="1"/>
  <c r="B580" i="3" s="1"/>
  <c r="B581" i="3" s="1"/>
  <c r="B582" i="3" s="1"/>
  <c r="B583" i="3" s="1"/>
  <c r="B584" i="3" s="1"/>
  <c r="B585" i="3" s="1"/>
  <c r="B586" i="3" s="1"/>
  <c r="B587" i="3" s="1"/>
  <c r="B588" i="3" s="1"/>
  <c r="B589" i="3" s="1"/>
  <c r="B590" i="3" s="1"/>
  <c r="B591" i="3" s="1"/>
  <c r="B592" i="3" s="1"/>
  <c r="B593" i="3" s="1"/>
  <c r="B594" i="3" s="1"/>
  <c r="B595" i="3" s="1"/>
  <c r="B596" i="3" s="1"/>
  <c r="B597" i="3" s="1"/>
  <c r="B598" i="3" s="1"/>
  <c r="B599" i="3" s="1"/>
  <c r="B600" i="3" s="1"/>
  <c r="B601" i="3" s="1"/>
  <c r="B602" i="3" s="1"/>
  <c r="B603" i="3" s="1"/>
  <c r="B604" i="3" s="1"/>
  <c r="B605" i="3" s="1"/>
  <c r="B606" i="3" s="1"/>
  <c r="B607" i="3" s="1"/>
  <c r="B608" i="3" s="1"/>
  <c r="B609" i="3" s="1"/>
  <c r="B610" i="3" s="1"/>
  <c r="B611" i="3" s="1"/>
  <c r="B612" i="3" s="1"/>
  <c r="B613" i="3" s="1"/>
  <c r="B614" i="3" s="1"/>
  <c r="B615" i="3" s="1"/>
  <c r="B616" i="3" s="1"/>
  <c r="B617" i="3" s="1"/>
  <c r="B618" i="3" s="1"/>
  <c r="B619" i="3" s="1"/>
  <c r="B620" i="3" s="1"/>
  <c r="B621" i="3" s="1"/>
  <c r="B622" i="3" s="1"/>
  <c r="B623" i="3" s="1"/>
  <c r="B624" i="3" s="1"/>
  <c r="B625" i="3" s="1"/>
  <c r="B626" i="3" s="1"/>
  <c r="B627" i="3" s="1"/>
  <c r="B628" i="3" s="1"/>
  <c r="B629" i="3" s="1"/>
  <c r="B630" i="3" s="1"/>
  <c r="B631" i="3" s="1"/>
  <c r="B632" i="3" s="1"/>
  <c r="B633" i="3" s="1"/>
  <c r="B634" i="3" s="1"/>
  <c r="B635" i="3" s="1"/>
  <c r="B636" i="3" s="1"/>
  <c r="B637" i="3" s="1"/>
  <c r="B638" i="3" s="1"/>
  <c r="B639" i="3" s="1"/>
  <c r="B640" i="3" s="1"/>
  <c r="B641" i="3" s="1"/>
  <c r="B642" i="3" s="1"/>
  <c r="B643" i="3" s="1"/>
  <c r="B644" i="3" s="1"/>
  <c r="B645" i="3" s="1"/>
  <c r="B646" i="3" s="1"/>
  <c r="B647" i="3" s="1"/>
  <c r="B648" i="3" s="1"/>
  <c r="B649" i="3" s="1"/>
  <c r="B650" i="3" s="1"/>
  <c r="B651" i="3" s="1"/>
  <c r="B652" i="3" s="1"/>
  <c r="B653" i="3" s="1"/>
  <c r="B654" i="3" s="1"/>
  <c r="B655" i="3" s="1"/>
  <c r="B656" i="3" s="1"/>
  <c r="B657" i="3" s="1"/>
  <c r="B658" i="3" s="1"/>
  <c r="B659" i="3" s="1"/>
  <c r="B2" i="3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1" i="1"/>
</calcChain>
</file>

<file path=xl/sharedStrings.xml><?xml version="1.0" encoding="utf-8"?>
<sst xmlns="http://schemas.openxmlformats.org/spreadsheetml/2006/main" count="12006" uniqueCount="2356">
  <si>
    <t>0.05</t>
  </si>
  <si>
    <t>0.003</t>
  </si>
  <si>
    <t>0.0007</t>
  </si>
  <si>
    <t>0.055</t>
  </si>
  <si>
    <t>0.005</t>
  </si>
  <si>
    <t>0.002</t>
  </si>
  <si>
    <t>0.01</t>
  </si>
  <si>
    <t>0.025</t>
  </si>
  <si>
    <t>0.06</t>
  </si>
  <si>
    <t>0.09</t>
  </si>
  <si>
    <t>0.001</t>
  </si>
  <si>
    <t>0.075</t>
  </si>
  <si>
    <t>0.0015</t>
  </si>
  <si>
    <t>0.0103</t>
  </si>
  <si>
    <t>0.0309</t>
  </si>
  <si>
    <t>0.000515333333333333</t>
  </si>
  <si>
    <t>0.00206</t>
  </si>
  <si>
    <t>0.0206</t>
  </si>
  <si>
    <t>0.000926666666666667</t>
  </si>
  <si>
    <t>0.00515333333333333</t>
  </si>
  <si>
    <t>0.0515</t>
  </si>
  <si>
    <t>0.0257533333333333</t>
  </si>
  <si>
    <t>0.309</t>
  </si>
  <si>
    <t>0.00207333333333333</t>
  </si>
  <si>
    <t>0.00078</t>
  </si>
  <si>
    <t>0.000726666666666667</t>
  </si>
  <si>
    <t>0.362366666666667</t>
  </si>
  <si>
    <t>0.0724733333333333</t>
  </si>
  <si>
    <t>0.0517666666666667</t>
  </si>
  <si>
    <t>0.00518</t>
  </si>
  <si>
    <t>0.0155333333333333</t>
  </si>
  <si>
    <t>0.0207066666666667</t>
  </si>
  <si>
    <t>0.00103333333333333</t>
  </si>
  <si>
    <t>0.00310666666666667</t>
  </si>
  <si>
    <t>0.0103533333333333</t>
  </si>
  <si>
    <t>P0000706</t>
  </si>
  <si>
    <t>0.000946666666666667</t>
  </si>
  <si>
    <t>0.000526666666666667</t>
  </si>
  <si>
    <t>0.00157333333333333</t>
  </si>
  <si>
    <t>0.0063</t>
  </si>
  <si>
    <t>0.0315</t>
  </si>
  <si>
    <t>0.0105</t>
  </si>
  <si>
    <t>0.0021</t>
  </si>
  <si>
    <t>0.042</t>
  </si>
  <si>
    <t>0.021</t>
  </si>
  <si>
    <t>0.0735</t>
  </si>
  <si>
    <t>0.00315333333333333</t>
  </si>
  <si>
    <t>0.0042</t>
  </si>
  <si>
    <t>0.00105333333333333</t>
  </si>
  <si>
    <t>0.3465</t>
  </si>
  <si>
    <t>0.00525333333333333</t>
  </si>
  <si>
    <t>0.000313333333333333</t>
  </si>
  <si>
    <t>0.052</t>
  </si>
  <si>
    <t>0.0728</t>
  </si>
  <si>
    <t>0.364</t>
  </si>
  <si>
    <t>0.00312</t>
  </si>
  <si>
    <t>0.0052</t>
  </si>
  <si>
    <t>0.00416</t>
  </si>
  <si>
    <t>0.00104</t>
  </si>
  <si>
    <t>0.00208</t>
  </si>
  <si>
    <t>0.0312</t>
  </si>
  <si>
    <t>0.00052</t>
  </si>
  <si>
    <t>0.0208</t>
  </si>
  <si>
    <t>0.15</t>
  </si>
  <si>
    <t>0.02</t>
  </si>
  <si>
    <t>0.0526</t>
  </si>
  <si>
    <t>0.07</t>
  </si>
  <si>
    <t>0.1</t>
  </si>
  <si>
    <t>0.004</t>
  </si>
  <si>
    <t>0.01352</t>
  </si>
  <si>
    <t>0.000626666666666667</t>
  </si>
  <si>
    <t>0.04</t>
  </si>
  <si>
    <t>P0000443</t>
  </si>
  <si>
    <t>0.08</t>
  </si>
  <si>
    <t>P0000181</t>
  </si>
  <si>
    <t>P0000598</t>
  </si>
  <si>
    <t>0.03</t>
  </si>
  <si>
    <t>P0000600</t>
  </si>
  <si>
    <t>0.14</t>
  </si>
  <si>
    <t>0.00011</t>
  </si>
  <si>
    <t>P0000601</t>
  </si>
  <si>
    <t>0.035</t>
  </si>
  <si>
    <t>0.0005</t>
  </si>
  <si>
    <t>0.00014</t>
  </si>
  <si>
    <t>0.0485</t>
  </si>
  <si>
    <t>P0000278</t>
  </si>
  <si>
    <t>0.011</t>
  </si>
  <si>
    <t>0.0035</t>
  </si>
  <si>
    <t>0.015</t>
  </si>
  <si>
    <t>P0000267</t>
  </si>
  <si>
    <t>P0000268</t>
  </si>
  <si>
    <t>P0000269</t>
  </si>
  <si>
    <t>P0000270</t>
  </si>
  <si>
    <t>P0000735</t>
  </si>
  <si>
    <t>0.0657428011192139</t>
  </si>
  <si>
    <t>P0001035</t>
  </si>
  <si>
    <t>0.0673180726607768</t>
  </si>
  <si>
    <t>0.155607048278672</t>
  </si>
  <si>
    <t>P0000271</t>
  </si>
  <si>
    <t>0.0657465878997759</t>
  </si>
  <si>
    <t>0.2659500391679</t>
  </si>
  <si>
    <t>P0000763</t>
  </si>
  <si>
    <t>0.0657150317695187</t>
  </si>
  <si>
    <t>P0000714</t>
  </si>
  <si>
    <t>0.0653569344485509</t>
  </si>
  <si>
    <t>P0001068</t>
  </si>
  <si>
    <t>0.066459184335084</t>
  </si>
  <si>
    <t>P0001048</t>
  </si>
  <si>
    <t>0.0666622577871834</t>
  </si>
  <si>
    <t>P0000734</t>
  </si>
  <si>
    <t>0.0664638582104358</t>
  </si>
  <si>
    <t>0.0738247213779129</t>
  </si>
  <si>
    <t>0.00564481111593574</t>
  </si>
  <si>
    <t>0.000940801852655956</t>
  </si>
  <si>
    <t>0.000122304240845274</t>
  </si>
  <si>
    <t>0.00188160370531191</t>
  </si>
  <si>
    <t>0.00940801852655956</t>
  </si>
  <si>
    <t>0.00122304240845274</t>
  </si>
  <si>
    <t>0.000542770299609205</t>
  </si>
  <si>
    <t>P0000939</t>
  </si>
  <si>
    <t>0.0283326096396005</t>
  </si>
  <si>
    <t>0.000448977712285872</t>
  </si>
  <si>
    <t>0.000224488856142936</t>
  </si>
  <si>
    <t>0.000897955424571744</t>
  </si>
  <si>
    <t>0.00538773254743047</t>
  </si>
  <si>
    <t>0.0826567968318291</t>
  </si>
  <si>
    <t>0.000506538957450728</t>
  </si>
  <si>
    <t>P0001049</t>
  </si>
  <si>
    <t>0.0283661816172407</t>
  </si>
  <si>
    <t>P0001060</t>
  </si>
  <si>
    <t>0.212630480167015</t>
  </si>
  <si>
    <t>0.0657620041753653</t>
  </si>
  <si>
    <t>0.0624647490129724</t>
  </si>
  <si>
    <t>0.148054145516074</t>
  </si>
  <si>
    <t>0.980400451212634</t>
  </si>
  <si>
    <t>0.0278119447861145</t>
  </si>
  <si>
    <t>0.00048380483804838</t>
  </si>
  <si>
    <t>0.0715621156211562</t>
  </si>
  <si>
    <t>0.00492004920049201</t>
  </si>
  <si>
    <t>0.000820008200082001</t>
  </si>
  <si>
    <t>0.00010660106601066</t>
  </si>
  <si>
    <t>0.001640016400164</t>
  </si>
  <si>
    <t>0.001230012300123</t>
  </si>
  <si>
    <t>0.0347009111939946</t>
  </si>
  <si>
    <t>P0000573</t>
  </si>
  <si>
    <t>0.0668051555639488</t>
  </si>
  <si>
    <t>P0000940</t>
  </si>
  <si>
    <t>P0001062</t>
  </si>
  <si>
    <t>0.158628387498702</t>
  </si>
  <si>
    <t>0.0657252621742291</t>
  </si>
  <si>
    <t>P0001061</t>
  </si>
  <si>
    <t>0.104694640631491</t>
  </si>
  <si>
    <t>0.0714582467802243</t>
  </si>
  <si>
    <t>0.066611685592844</t>
  </si>
  <si>
    <t>P0000446</t>
  </si>
  <si>
    <t>0.083338619975047</t>
  </si>
  <si>
    <t>0.086036688517657</t>
  </si>
  <si>
    <t>0.000446711778388666</t>
  </si>
  <si>
    <t>0.000893423556777331</t>
  </si>
  <si>
    <t>0.001340135335166</t>
  </si>
  <si>
    <t>P0001370</t>
  </si>
  <si>
    <t>0.000898710086699091</t>
  </si>
  <si>
    <t>P0000708</t>
  </si>
  <si>
    <t>P0000313</t>
  </si>
  <si>
    <t>0.084161556354409</t>
  </si>
  <si>
    <t>P0001046</t>
  </si>
  <si>
    <t>P0001070</t>
  </si>
  <si>
    <t>0.154857837920024</t>
  </si>
  <si>
    <t>0.0656834422989205</t>
  </si>
  <si>
    <t>0.0775375582800898</t>
  </si>
  <si>
    <t>0.00134691763080642</t>
  </si>
  <si>
    <t>0.00538767052322569</t>
  </si>
  <si>
    <t>0.00175099292004835</t>
  </si>
  <si>
    <t>0.000897945087204282</t>
  </si>
  <si>
    <t>0.00179589017440856</t>
  </si>
  <si>
    <t>0.000179589017440857</t>
  </si>
  <si>
    <t>0.000518045242617855</t>
  </si>
  <si>
    <t>P0001030</t>
  </si>
  <si>
    <t>0.0283198065964428</t>
  </si>
  <si>
    <t>0.0740512083300956</t>
  </si>
  <si>
    <t>0.00363664620405626</t>
  </si>
  <si>
    <t>0.00181832310202813</t>
  </si>
  <si>
    <t>0.000909161551014065</t>
  </si>
  <si>
    <t>0.000454580775507032</t>
  </si>
  <si>
    <t>0.000543942808299013</t>
  </si>
  <si>
    <t>0.02836273214702</t>
  </si>
  <si>
    <t>P0001069</t>
  </si>
  <si>
    <t>0.157103192966219</t>
  </si>
  <si>
    <t>0.0657103192966219</t>
  </si>
  <si>
    <t>0.250283058220607</t>
  </si>
  <si>
    <t>0.0625111733508134</t>
  </si>
  <si>
    <t>0.063</t>
  </si>
  <si>
    <t>P0000261</t>
  </si>
  <si>
    <t>P0001037</t>
  </si>
  <si>
    <t>P0001232</t>
  </si>
  <si>
    <t>P0001233</t>
  </si>
  <si>
    <t>0.0673165895571712</t>
  </si>
  <si>
    <t>P0001234</t>
  </si>
  <si>
    <t>0.0657633840052875</t>
  </si>
  <si>
    <t>0.0625237655494595</t>
  </si>
  <si>
    <t>0.0553261991417242</t>
  </si>
  <si>
    <t>0.0625243150113933</t>
  </si>
  <si>
    <t>0.0566053465236481</t>
  </si>
  <si>
    <t>0.0624756172323469</t>
  </si>
  <si>
    <t>0.0567630830964722</t>
  </si>
  <si>
    <t>0.0551643828196934</t>
  </si>
  <si>
    <t>P0000477</t>
  </si>
  <si>
    <t>0.0833559009911715</t>
  </si>
  <si>
    <t>0.100471212695662</t>
  </si>
  <si>
    <t>0.00579213809192721</t>
  </si>
  <si>
    <t>0.00137908049807791</t>
  </si>
  <si>
    <t>0.0106304121726839</t>
  </si>
  <si>
    <t>0.0013810009761292</t>
  </si>
  <si>
    <t>0.010626497470938</t>
  </si>
  <si>
    <t>0.00559055816842666</t>
  </si>
  <si>
    <t>0.0156138289934375</t>
  </si>
  <si>
    <t>0.00119386993705397</t>
  </si>
  <si>
    <t>0.000198978322842329</t>
  </si>
  <si>
    <t>0.000397956645684658</t>
  </si>
  <si>
    <t>0.00198978322842329</t>
  </si>
  <si>
    <t>0.000258671819695027</t>
  </si>
  <si>
    <t>P0000937</t>
  </si>
  <si>
    <t>0.000516578338148354</t>
  </si>
  <si>
    <t>0.0101976390456694</t>
  </si>
  <si>
    <t>0.0115875580231182</t>
  </si>
  <si>
    <t>0.00136524984072085</t>
  </si>
  <si>
    <t>0.0105238008555566</t>
  </si>
  <si>
    <t>0.00137700194898737</t>
  </si>
  <si>
    <t>0.0106240996525718</t>
  </si>
  <si>
    <t>0.0106770612659944</t>
  </si>
  <si>
    <t>0.0190646605549295</t>
  </si>
  <si>
    <t>0.00019797155301069</t>
  </si>
  <si>
    <t>0.000019797155301069</t>
  </si>
  <si>
    <t>0.000296957329516036</t>
  </si>
  <si>
    <t>P0000863</t>
  </si>
  <si>
    <t>0.00051777175402796</t>
  </si>
  <si>
    <t>P0000955</t>
  </si>
  <si>
    <t>0.00998994913653946</t>
  </si>
  <si>
    <t>0.00584894391675376</t>
  </si>
  <si>
    <t>0.00136676352693902</t>
  </si>
  <si>
    <t>0.0105206335350937</t>
  </si>
  <si>
    <t>0.0055650072345094</t>
  </si>
  <si>
    <t>0.00136740177762231</t>
  </si>
  <si>
    <t>0.0100011130014469</t>
  </si>
  <si>
    <t>0.000419901399671332</t>
  </si>
  <si>
    <t>0.00997336657788859</t>
  </si>
  <si>
    <t>0.0148359494531648</t>
  </si>
  <si>
    <t>0.00102000340001133</t>
  </si>
  <si>
    <t>0.000170000566668556</t>
  </si>
  <si>
    <t>0.000340001133337111</t>
  </si>
  <si>
    <t>0.000255000850002833</t>
  </si>
  <si>
    <t>0.00570895957124549</t>
  </si>
  <si>
    <t>P0001027</t>
  </si>
  <si>
    <t>0.00144471629966212</t>
  </si>
  <si>
    <t>0.00808575090294769</t>
  </si>
  <si>
    <t>0.0113116392714349</t>
  </si>
  <si>
    <t>0.00136605952909818</t>
  </si>
  <si>
    <t>0.0105175477565526</t>
  </si>
  <si>
    <t>P0001042</t>
  </si>
  <si>
    <t>0.0108646446355817</t>
  </si>
  <si>
    <t>0.00137963741404212</t>
  </si>
  <si>
    <t>0.0106275194550432</t>
  </si>
  <si>
    <t>P0001109</t>
  </si>
  <si>
    <t>0.016300970027881</t>
  </si>
  <si>
    <t>0.000283166821561338</t>
  </si>
  <si>
    <t>0.00113266728624535</t>
  </si>
  <si>
    <t>0.00036811686802974</t>
  </si>
  <si>
    <t>0.000188777881040892</t>
  </si>
  <si>
    <t>0.000377555762081784</t>
  </si>
  <si>
    <t>P0001029</t>
  </si>
  <si>
    <t>0.000522769516728624</t>
  </si>
  <si>
    <t>0.0101940055762082</t>
  </si>
  <si>
    <t>P0001036</t>
  </si>
  <si>
    <t>0.00590571726777224</t>
  </si>
  <si>
    <t>0.00136843325988635</t>
  </si>
  <si>
    <t>0.0105183810738722</t>
  </si>
  <si>
    <t>0.0153757351339577</t>
  </si>
  <si>
    <t>0.000755100559064837</t>
  </si>
  <si>
    <t>0.000377550279532419</t>
  </si>
  <si>
    <t>0.000188775139766209</t>
  </si>
  <si>
    <t>0.000508240760909025</t>
  </si>
  <si>
    <t>0.010201118129674</t>
  </si>
  <si>
    <t>0.000018673561520151</t>
  </si>
  <si>
    <t>0.00018673561520151</t>
  </si>
  <si>
    <t>0.00112041369120906</t>
  </si>
  <si>
    <t>0.017189013379299</t>
  </si>
  <si>
    <t>P0001051</t>
  </si>
  <si>
    <t>0.000513009931872281</t>
  </si>
  <si>
    <t>0.0101986374456209</t>
  </si>
  <si>
    <t>P0001235</t>
  </si>
  <si>
    <t>0.0102008695823251</t>
  </si>
  <si>
    <t>0.0100188868559287</t>
  </si>
  <si>
    <t>0.00600225084406653</t>
  </si>
  <si>
    <t>0.00138147043236452</t>
  </si>
  <si>
    <t>0.0106289858697011</t>
  </si>
  <si>
    <t>0.00389298373103561</t>
  </si>
  <si>
    <t>0.00129766124367854</t>
  </si>
  <si>
    <t>P0000545</t>
  </si>
  <si>
    <t>0.0100031143869848</t>
  </si>
  <si>
    <t>0.00336</t>
  </si>
  <si>
    <t>0.0013632</t>
  </si>
  <si>
    <t>P0000211</t>
  </si>
  <si>
    <t>0.132231404958678</t>
  </si>
  <si>
    <t>P0000733</t>
  </si>
  <si>
    <t>P0000215</t>
  </si>
  <si>
    <t>0.0663780663780664</t>
  </si>
  <si>
    <t>P0000517</t>
  </si>
  <si>
    <t>P0000519</t>
  </si>
  <si>
    <t>0.159531143946118</t>
  </si>
  <si>
    <t>P0000755</t>
  </si>
  <si>
    <t>P0000753</t>
  </si>
  <si>
    <t>0.0657338275988096</t>
  </si>
  <si>
    <t>P0000520</t>
  </si>
  <si>
    <t>0.00599657338663621</t>
  </si>
  <si>
    <t>P0000816</t>
  </si>
  <si>
    <t>0.00136593522405459</t>
  </si>
  <si>
    <t>0.010521233816317</t>
  </si>
  <si>
    <t>P0000521</t>
  </si>
  <si>
    <t>0.078543</t>
  </si>
  <si>
    <t>0.0054</t>
  </si>
  <si>
    <t>0.0009</t>
  </si>
  <si>
    <t>0.00009</t>
  </si>
  <si>
    <t>0.000117</t>
  </si>
  <si>
    <t>0.0018</t>
  </si>
  <si>
    <t>0.00135</t>
  </si>
  <si>
    <t>0.00055</t>
  </si>
  <si>
    <t>0.02835</t>
  </si>
  <si>
    <t>P0000751</t>
  </si>
  <si>
    <t>P0000528</t>
  </si>
  <si>
    <t>0.0162964115651551</t>
  </si>
  <si>
    <t>0.00112041330802029</t>
  </si>
  <si>
    <t>0.000186735551336715</t>
  </si>
  <si>
    <t>0.000024275621673773</t>
  </si>
  <si>
    <t>0.000373471102673431</t>
  </si>
  <si>
    <t>0.000280103327005073</t>
  </si>
  <si>
    <t>P0001263</t>
  </si>
  <si>
    <t>0.000497961470231241</t>
  </si>
  <si>
    <t>0.0102082101397404</t>
  </si>
  <si>
    <t>P0000554</t>
  </si>
  <si>
    <t>0.0577022153529109</t>
  </si>
  <si>
    <t>P0000489</t>
  </si>
  <si>
    <t>P0000474</t>
  </si>
  <si>
    <t>0.0885568721735646</t>
  </si>
  <si>
    <t>P0000555</t>
  </si>
  <si>
    <t>P0001740</t>
  </si>
  <si>
    <t>P0000556</t>
  </si>
  <si>
    <t>0.00373275182789394</t>
  </si>
  <si>
    <t>P0001739</t>
  </si>
  <si>
    <t>0.00135969654211944</t>
  </si>
  <si>
    <t>0.0100016492276117</t>
  </si>
  <si>
    <t>P0000557</t>
  </si>
  <si>
    <t>0.0544186792049583</t>
  </si>
  <si>
    <t>P0001643</t>
  </si>
  <si>
    <t>0.0833511434067108</t>
  </si>
  <si>
    <t>P0000490</t>
  </si>
  <si>
    <t>P0000563</t>
  </si>
  <si>
    <t>P0000596</t>
  </si>
  <si>
    <t>0.00602699537321567</t>
  </si>
  <si>
    <t>P0000470</t>
  </si>
  <si>
    <t>0.00135672623120006</t>
  </si>
  <si>
    <t>0.0100015074735902</t>
  </si>
  <si>
    <t>P0000564</t>
  </si>
  <si>
    <t>P0000593</t>
  </si>
  <si>
    <t>0.0678288672350792</t>
  </si>
  <si>
    <t>P0001646</t>
  </si>
  <si>
    <t>0.0875021750478511</t>
  </si>
  <si>
    <t>P0000565</t>
  </si>
  <si>
    <t>P0000488</t>
  </si>
  <si>
    <t>P0000469</t>
  </si>
  <si>
    <t>0.0875053949072076</t>
  </si>
  <si>
    <t>0.168240181268882</t>
  </si>
  <si>
    <t>P0000566</t>
  </si>
  <si>
    <t>0.337208044982699</t>
  </si>
  <si>
    <t>P0000473</t>
  </si>
  <si>
    <t>P0000476</t>
  </si>
  <si>
    <t>0.0833693771626298</t>
  </si>
  <si>
    <t>P0000568</t>
  </si>
  <si>
    <t>0.000430465476668771</t>
  </si>
  <si>
    <t>P0000458</t>
  </si>
  <si>
    <t>0.000215232738334386</t>
  </si>
  <si>
    <t>P0000461</t>
  </si>
  <si>
    <t>0.0206408196062676</t>
  </si>
  <si>
    <t>P0000550</t>
  </si>
  <si>
    <t>P0000485</t>
  </si>
  <si>
    <t>0.000516558572002525</t>
  </si>
  <si>
    <t>0.00998679905871549</t>
  </si>
  <si>
    <t>P0000460</t>
  </si>
  <si>
    <t>0.2</t>
  </si>
  <si>
    <t>0.009</t>
  </si>
  <si>
    <t>P0000457</t>
  </si>
  <si>
    <t>P0000466</t>
  </si>
  <si>
    <t>P0001537</t>
  </si>
  <si>
    <t>0.0000005</t>
  </si>
  <si>
    <t>P0001512</t>
  </si>
  <si>
    <t>0.007</t>
  </si>
  <si>
    <t>P0000562</t>
  </si>
  <si>
    <t>0.000012</t>
  </si>
  <si>
    <t>P0000615</t>
  </si>
  <si>
    <t>0.065752620166245</t>
  </si>
  <si>
    <t>0.0690165341525117</t>
  </si>
  <si>
    <t>P0000736</t>
  </si>
  <si>
    <t>P0000616</t>
  </si>
  <si>
    <t>0.212017107200449</t>
  </si>
  <si>
    <t>P0000589</t>
  </si>
  <si>
    <t>P0000591</t>
  </si>
  <si>
    <t>0.0664656804318867</t>
  </si>
  <si>
    <t>P0000617</t>
  </si>
  <si>
    <t>P0000590</t>
  </si>
  <si>
    <t>P0000619</t>
  </si>
  <si>
    <t>P0000586</t>
  </si>
  <si>
    <t>P0000587</t>
  </si>
  <si>
    <t>P0000592</t>
  </si>
  <si>
    <t>0.0664789422135162</t>
  </si>
  <si>
    <t>0.370225269343781</t>
  </si>
  <si>
    <t>P0000621</t>
  </si>
  <si>
    <t>P0000712</t>
  </si>
  <si>
    <t>0.085</t>
  </si>
  <si>
    <t>0.018</t>
  </si>
  <si>
    <t>0.0025</t>
  </si>
  <si>
    <t>P0000713</t>
  </si>
  <si>
    <t>P0000998</t>
  </si>
  <si>
    <t>0.00017</t>
  </si>
  <si>
    <t>P0000704</t>
  </si>
  <si>
    <t>0.0001</t>
  </si>
  <si>
    <t>0.000175</t>
  </si>
  <si>
    <t>P0000999</t>
  </si>
  <si>
    <t>0.006</t>
  </si>
  <si>
    <t>0.000315</t>
  </si>
  <si>
    <t>P0001000</t>
  </si>
  <si>
    <t>0.00028</t>
  </si>
  <si>
    <t>P0001001</t>
  </si>
  <si>
    <t>0.00045</t>
  </si>
  <si>
    <t>P0001002</t>
  </si>
  <si>
    <t>P0000659</t>
  </si>
  <si>
    <t>0.0002</t>
  </si>
  <si>
    <t>P0000635</t>
  </si>
  <si>
    <t>P0001032</t>
  </si>
  <si>
    <t>P0000684</t>
  </si>
  <si>
    <t>P0000676</t>
  </si>
  <si>
    <t>P0000678</t>
  </si>
  <si>
    <t>P0001033</t>
  </si>
  <si>
    <t>P0000686</t>
  </si>
  <si>
    <t>P0000677</t>
  </si>
  <si>
    <t>P0000679</t>
  </si>
  <si>
    <t>P0002536</t>
  </si>
  <si>
    <t>0.3</t>
  </si>
  <si>
    <t>0.0003</t>
  </si>
  <si>
    <t>0.00000032</t>
  </si>
  <si>
    <t>0.00000675</t>
  </si>
  <si>
    <t>0.00075</t>
  </si>
  <si>
    <t>0.35</t>
  </si>
  <si>
    <t>0.33</t>
  </si>
  <si>
    <t>P0001057</t>
  </si>
  <si>
    <t>P0000858</t>
  </si>
  <si>
    <t>P0000711</t>
  </si>
  <si>
    <t>0.0055</t>
  </si>
  <si>
    <t>P0000720</t>
  </si>
  <si>
    <t>P0000748</t>
  </si>
  <si>
    <t>0.4</t>
  </si>
  <si>
    <t>P0000771</t>
  </si>
  <si>
    <t>0.013</t>
  </si>
  <si>
    <t>0.0006</t>
  </si>
  <si>
    <t>0.0125</t>
  </si>
  <si>
    <t>P0001089</t>
  </si>
  <si>
    <t>0.00202040610162643</t>
  </si>
  <si>
    <t>0.00101020305081321</t>
  </si>
  <si>
    <t>0.000101020305081321</t>
  </si>
  <si>
    <t>0.0968784725729872</t>
  </si>
  <si>
    <t>P0000479</t>
  </si>
  <si>
    <t>0.0841499141327407</t>
  </si>
  <si>
    <t>0.000909182745731892</t>
  </si>
  <si>
    <t>P0001091</t>
  </si>
  <si>
    <t>0.0879509834858525</t>
  </si>
  <si>
    <t>0.000184074892184706</t>
  </si>
  <si>
    <t>0.000901966971705059</t>
  </si>
  <si>
    <t>P0000459</t>
  </si>
  <si>
    <t>0.00092037446092353</t>
  </si>
  <si>
    <t>0.000092037446092353</t>
  </si>
  <si>
    <t>P0000570</t>
  </si>
  <si>
    <t>0.00105185652676975</t>
  </si>
  <si>
    <t>P0000927</t>
  </si>
  <si>
    <t>0.0849900073629957</t>
  </si>
  <si>
    <t>P0001039</t>
  </si>
  <si>
    <t>P0001092</t>
  </si>
  <si>
    <t>0.0185270396029366</t>
  </si>
  <si>
    <t>0.000190001034019233</t>
  </si>
  <si>
    <t>0.000193878606142074</t>
  </si>
  <si>
    <t>0.0204218798469652</t>
  </si>
  <si>
    <t>P0000898</t>
  </si>
  <si>
    <t>0.000517009616378865</t>
  </si>
  <si>
    <t>P0001162</t>
  </si>
  <si>
    <t>0.00999873239274314</t>
  </si>
  <si>
    <t>0.00391229694276177</t>
  </si>
  <si>
    <t>P0000680</t>
  </si>
  <si>
    <t>0.00135979687554017</t>
  </si>
  <si>
    <t>P0001163</t>
  </si>
  <si>
    <t>P0000681</t>
  </si>
  <si>
    <t>P0001239</t>
  </si>
  <si>
    <t>P0001375</t>
  </si>
  <si>
    <t>P0001249</t>
  </si>
  <si>
    <t>P0001242</t>
  </si>
  <si>
    <t>P0001245</t>
  </si>
  <si>
    <t>P0001241</t>
  </si>
  <si>
    <t>P0001248</t>
  </si>
  <si>
    <t>P0001244</t>
  </si>
  <si>
    <t>P0001246</t>
  </si>
  <si>
    <t>P0001247</t>
  </si>
  <si>
    <t>P0001243</t>
  </si>
  <si>
    <t>0.00025</t>
  </si>
  <si>
    <t>P0001382</t>
  </si>
  <si>
    <t>P0001121</t>
  </si>
  <si>
    <t>P0001122</t>
  </si>
  <si>
    <t>P0001125</t>
  </si>
  <si>
    <t>P0001124</t>
  </si>
  <si>
    <t>P0001126</t>
  </si>
  <si>
    <t>P0001123</t>
  </si>
  <si>
    <t>P0001137</t>
  </si>
  <si>
    <t>P0001127</t>
  </si>
  <si>
    <t>0.016</t>
  </si>
  <si>
    <t>P0001129</t>
  </si>
  <si>
    <t>P0001130</t>
  </si>
  <si>
    <t>P0001131</t>
  </si>
  <si>
    <t>P0001132</t>
  </si>
  <si>
    <t>P0001133</t>
  </si>
  <si>
    <t>P0001171</t>
  </si>
  <si>
    <t>P0001172</t>
  </si>
  <si>
    <t>P0001128</t>
  </si>
  <si>
    <t>0.054</t>
  </si>
  <si>
    <t>0.038</t>
  </si>
  <si>
    <t>P0001387</t>
  </si>
  <si>
    <t>P0001388</t>
  </si>
  <si>
    <t>P0001390</t>
  </si>
  <si>
    <t>P0001750</t>
  </si>
  <si>
    <t>P0001313</t>
  </si>
  <si>
    <t>P0001314</t>
  </si>
  <si>
    <t>0.014</t>
  </si>
  <si>
    <t>0.0004</t>
  </si>
  <si>
    <t>P0001411</t>
  </si>
  <si>
    <t>0.00381465615113304</t>
  </si>
  <si>
    <t>P0001355</t>
  </si>
  <si>
    <t>0.00135859281573092</t>
  </si>
  <si>
    <t>0.00999833487231498</t>
  </si>
  <si>
    <t>P0001412</t>
  </si>
  <si>
    <t>P0001345</t>
  </si>
  <si>
    <t>P0001351</t>
  </si>
  <si>
    <t>P0002010</t>
  </si>
  <si>
    <t>0.0833194928860101</t>
  </si>
  <si>
    <t>0.0558046836073742</t>
  </si>
  <si>
    <t>P0001413</t>
  </si>
  <si>
    <t>0.00376583106063436</t>
  </si>
  <si>
    <t>P0001356</t>
  </si>
  <si>
    <t>0.00135988343856241</t>
  </si>
  <si>
    <t>0.0100011207830538</t>
  </si>
  <si>
    <t>P0001415</t>
  </si>
  <si>
    <t>P0001346</t>
  </si>
  <si>
    <t>0.99547289189484</t>
  </si>
  <si>
    <t>P0001352</t>
  </si>
  <si>
    <t>0.0833424239118578</t>
  </si>
  <si>
    <t>0.0549798189156758</t>
  </si>
  <si>
    <t>P0001417</t>
  </si>
  <si>
    <t>P0000471</t>
  </si>
  <si>
    <t>P0001418</t>
  </si>
  <si>
    <t>P0001401</t>
  </si>
  <si>
    <t>P0001402</t>
  </si>
  <si>
    <t>P0001419</t>
  </si>
  <si>
    <t>0.00373905269912867</t>
  </si>
  <si>
    <t>P0001357</t>
  </si>
  <si>
    <t>0.00135763223004077</t>
  </si>
  <si>
    <t>0.0100004822190981</t>
  </si>
  <si>
    <t>P0001420</t>
  </si>
  <si>
    <t>P0001347</t>
  </si>
  <si>
    <t>P0001353</t>
  </si>
  <si>
    <t>0.0833558716936225</t>
  </si>
  <si>
    <t>0.0545248012116622</t>
  </si>
  <si>
    <t>P0001421</t>
  </si>
  <si>
    <t>0.00382410628587471</t>
  </si>
  <si>
    <t>P0001358</t>
  </si>
  <si>
    <t>0.00135816473248328</t>
  </si>
  <si>
    <t>0.0100003414380612</t>
  </si>
  <si>
    <t>P0001422</t>
  </si>
  <si>
    <t>P0001349</t>
  </si>
  <si>
    <t>P0001354</t>
  </si>
  <si>
    <t>0.0833379601354728</t>
  </si>
  <si>
    <t>0.0559657986785853</t>
  </si>
  <si>
    <t>P0001423</t>
  </si>
  <si>
    <t>P0000759</t>
  </si>
  <si>
    <t>0.0109955952843633</t>
  </si>
  <si>
    <t>P0001323</t>
  </si>
  <si>
    <t>0.00167336010709505</t>
  </si>
  <si>
    <t>0.00999697715593557</t>
  </si>
  <si>
    <t>P0001425</t>
  </si>
  <si>
    <t>P0001321</t>
  </si>
  <si>
    <t>P0001326</t>
  </si>
  <si>
    <t>0.392982456140351</t>
  </si>
  <si>
    <t>P0001316</t>
  </si>
  <si>
    <t>0.0834307992202729</t>
  </si>
  <si>
    <t>P0001426</t>
  </si>
  <si>
    <t>0.215327695560254</t>
  </si>
  <si>
    <t>P0001318</t>
  </si>
  <si>
    <t>P0001317</t>
  </si>
  <si>
    <t>0.0625792811839323</t>
  </si>
  <si>
    <t>P0001427</t>
  </si>
  <si>
    <t>P0000758</t>
  </si>
  <si>
    <t>0.0110586319218241</t>
  </si>
  <si>
    <t>P0001322</t>
  </si>
  <si>
    <t>0.00167209554831705</t>
  </si>
  <si>
    <t>P0001428</t>
  </si>
  <si>
    <t>0.216609953211399</t>
  </si>
  <si>
    <t>P0001319</t>
  </si>
  <si>
    <t>0.0625265844321565</t>
  </si>
  <si>
    <t>P0001430</t>
  </si>
  <si>
    <t>0.434328358208955</t>
  </si>
  <si>
    <t>P0001320</t>
  </si>
  <si>
    <t>P0001324</t>
  </si>
  <si>
    <t>0.0831556503198294</t>
  </si>
  <si>
    <t>P0001431</t>
  </si>
  <si>
    <t>P0001332</t>
  </si>
  <si>
    <t>0.00999564435609064</t>
  </si>
  <si>
    <t>0.0114921989300752</t>
  </si>
  <si>
    <t>P0001676</t>
  </si>
  <si>
    <t>P0001432</t>
  </si>
  <si>
    <t>P0001333</t>
  </si>
  <si>
    <t>0.083357411152846</t>
  </si>
  <si>
    <t>0.22298468650679</t>
  </si>
  <si>
    <t>P0001433</t>
  </si>
  <si>
    <t>P0001344</t>
  </si>
  <si>
    <t>0.00136028562271267</t>
  </si>
  <si>
    <t>0.00999903102941944</t>
  </si>
  <si>
    <t>0.00379575590885714</t>
  </si>
  <si>
    <t>P0001434</t>
  </si>
  <si>
    <t>P0001336</t>
  </si>
  <si>
    <t>P0001340</t>
  </si>
  <si>
    <t>0.062486380475049</t>
  </si>
  <si>
    <t>0.0554859446502506</t>
  </si>
  <si>
    <t>P0001435</t>
  </si>
  <si>
    <t>P0001337</t>
  </si>
  <si>
    <t>P0001341</t>
  </si>
  <si>
    <t>P0001436</t>
  </si>
  <si>
    <t>P0001343</t>
  </si>
  <si>
    <t>P0001437</t>
  </si>
  <si>
    <t>P0001342</t>
  </si>
  <si>
    <t>0.00135836296857693</t>
  </si>
  <si>
    <t>0.00999825103480441</t>
  </si>
  <si>
    <t>0.0059377368390369</t>
  </si>
  <si>
    <t>P0001438</t>
  </si>
  <si>
    <t>P0001335</t>
  </si>
  <si>
    <t>P0001339</t>
  </si>
  <si>
    <t>P0001442</t>
  </si>
  <si>
    <t>0.00934918303653387</t>
  </si>
  <si>
    <t>P0001378</t>
  </si>
  <si>
    <t>0.00167064439140811</t>
  </si>
  <si>
    <t>0.00999632825408482</t>
  </si>
  <si>
    <t>P0001443</t>
  </si>
  <si>
    <t>0.137110163787301</t>
  </si>
  <si>
    <t>P0001374</t>
  </si>
  <si>
    <t>0.0625084137312093</t>
  </si>
  <si>
    <t>P0001444</t>
  </si>
  <si>
    <t>0.0100020521605682</t>
  </si>
  <si>
    <t>P0001364</t>
  </si>
  <si>
    <t>0.00198970350741008</t>
  </si>
  <si>
    <t>P0000837</t>
  </si>
  <si>
    <t>0.00918118793329586</t>
  </si>
  <si>
    <t>P0001445</t>
  </si>
  <si>
    <t>0.00999973428518286</t>
  </si>
  <si>
    <t>P0001365</t>
  </si>
  <si>
    <t>0.00198400396800794</t>
  </si>
  <si>
    <t>P0000836</t>
  </si>
  <si>
    <t>0.00911401822803646</t>
  </si>
  <si>
    <t>P0001446</t>
  </si>
  <si>
    <t>P0001366</t>
  </si>
  <si>
    <t>P0001728</t>
  </si>
  <si>
    <t>P0001447</t>
  </si>
  <si>
    <t>P0000828</t>
  </si>
  <si>
    <t>0.00580123714158778</t>
  </si>
  <si>
    <t>0.0100019365936457</t>
  </si>
  <si>
    <t>P0001362</t>
  </si>
  <si>
    <t>0.00136131141564996</t>
  </si>
  <si>
    <t>P0001448</t>
  </si>
  <si>
    <t>0.0624920127795527</t>
  </si>
  <si>
    <t>P0001359</t>
  </si>
  <si>
    <t>0.0650798722044728</t>
  </si>
  <si>
    <t>P0001449</t>
  </si>
  <si>
    <t>0.0624900872323553</t>
  </si>
  <si>
    <t>P0001360</t>
  </si>
  <si>
    <t>0.161538461538462</t>
  </si>
  <si>
    <t>P0001450</t>
  </si>
  <si>
    <t>P0001367</t>
  </si>
  <si>
    <t>0.00198857986989006</t>
  </si>
  <si>
    <t>0.00999971591716145</t>
  </si>
  <si>
    <t>P0000834</t>
  </si>
  <si>
    <t>0.00974404136246129</t>
  </si>
  <si>
    <t>P0001451</t>
  </si>
  <si>
    <t>P0001368</t>
  </si>
  <si>
    <t>0.00198695292855761</t>
  </si>
  <si>
    <t>0.00999630743261064</t>
  </si>
  <si>
    <t>P0000833</t>
  </si>
  <si>
    <t>0.0090467901039194</t>
  </si>
  <si>
    <t>P0001452</t>
  </si>
  <si>
    <t>0.00999745055905598</t>
  </si>
  <si>
    <t>P0001369</t>
  </si>
  <si>
    <t>0.00167534690607131</t>
  </si>
  <si>
    <t>P0000832</t>
  </si>
  <si>
    <t>0.00927359143387843</t>
  </si>
  <si>
    <t>P0001748</t>
  </si>
  <si>
    <t>0.00377370375036125</t>
  </si>
  <si>
    <t>P0001661</t>
  </si>
  <si>
    <t>0.00135979310395933</t>
  </si>
  <si>
    <t>0.0100002223094993</t>
  </si>
  <si>
    <t>P0001749</t>
  </si>
  <si>
    <t>0.00386190422022523</t>
  </si>
  <si>
    <t>P0001662</t>
  </si>
  <si>
    <t>0.00135744890607819</t>
  </si>
  <si>
    <t>0.00999886247298373</t>
  </si>
  <si>
    <t>P0001754</t>
  </si>
  <si>
    <t>0.00132</t>
  </si>
  <si>
    <t>P0001755</t>
  </si>
  <si>
    <t>P0001583</t>
  </si>
  <si>
    <t>0.00167120158554201</t>
  </si>
  <si>
    <t>0.0100020155195002</t>
  </si>
  <si>
    <t>P0001878</t>
  </si>
  <si>
    <t>0.00868562934596392</t>
  </si>
  <si>
    <t>P0001756</t>
  </si>
  <si>
    <t>P0001562</t>
  </si>
  <si>
    <t>0.0625296389133528</t>
  </si>
  <si>
    <t>0.210199173497731</t>
  </si>
  <si>
    <t>P0001758</t>
  </si>
  <si>
    <t>P0001584</t>
  </si>
  <si>
    <t>P0001872</t>
  </si>
  <si>
    <t>P0001759</t>
  </si>
  <si>
    <t>P0001563</t>
  </si>
  <si>
    <t>P0001760</t>
  </si>
  <si>
    <t>P0001632</t>
  </si>
  <si>
    <t>P0001929</t>
  </si>
  <si>
    <t>0.0831295843520782</t>
  </si>
  <si>
    <t>0.421454767726161</t>
  </si>
  <si>
    <t>P0001761</t>
  </si>
  <si>
    <t>P0001580</t>
  </si>
  <si>
    <t>0.00166929844349199</t>
  </si>
  <si>
    <t>0.00999774419129258</t>
  </si>
  <si>
    <t>0.00937965260545906</t>
  </si>
  <si>
    <t>P0001764</t>
  </si>
  <si>
    <t>P0001744</t>
  </si>
  <si>
    <t>P0001606</t>
  </si>
  <si>
    <t>P0001597</t>
  </si>
  <si>
    <t>0.0624936541780891</t>
  </si>
  <si>
    <t>0.158315565031983</t>
  </si>
  <si>
    <t>P0001765</t>
  </si>
  <si>
    <t>P0001626</t>
  </si>
  <si>
    <t>0.000510401992609379</t>
  </si>
  <si>
    <t>0.0100038790551438</t>
  </si>
  <si>
    <t>0.000092893162654907</t>
  </si>
  <si>
    <t>0.000185786325309814</t>
  </si>
  <si>
    <t>0.00111471795185888</t>
  </si>
  <si>
    <t>0.0171016312447684</t>
  </si>
  <si>
    <t>P0001766</t>
  </si>
  <si>
    <t>P0001620</t>
  </si>
  <si>
    <t>0.000894373322775065</t>
  </si>
  <si>
    <t>0.0280673969469007</t>
  </si>
  <si>
    <t>0.000428929655536492</t>
  </si>
  <si>
    <t>0.000214464827768246</t>
  </si>
  <si>
    <t>0.000857859311072984</t>
  </si>
  <si>
    <t>0.0051471558664379</t>
  </si>
  <si>
    <t>0.0789659495842682</t>
  </si>
  <si>
    <t>P0001767</t>
  </si>
  <si>
    <t>0.00595350595350595</t>
  </si>
  <si>
    <t>P0001586</t>
  </si>
  <si>
    <t>0.00135736499372863</t>
  </si>
  <si>
    <t>0.00999982818164636</t>
  </si>
  <si>
    <t>P0001768</t>
  </si>
  <si>
    <t>0.0669349645846748</t>
  </si>
  <si>
    <t>P0001564</t>
  </si>
  <si>
    <t>0.0625241468126207</t>
  </si>
  <si>
    <t>P0001769</t>
  </si>
  <si>
    <t>P0002976</t>
  </si>
  <si>
    <t>0.15503355704698</t>
  </si>
  <si>
    <t>P0001611</t>
  </si>
  <si>
    <t>P0001601</t>
  </si>
  <si>
    <t>0.0624906785980612</t>
  </si>
  <si>
    <t>P0001770</t>
  </si>
  <si>
    <t>0.0152979845409232</t>
  </si>
  <si>
    <t>0.000751282236509427</t>
  </si>
  <si>
    <t>0.000375641118254714</t>
  </si>
  <si>
    <t>0.000187820559127357</t>
  </si>
  <si>
    <t>P0001628</t>
  </si>
  <si>
    <t>0.000505670736112114</t>
  </si>
  <si>
    <t>0.0100050567073611</t>
  </si>
  <si>
    <t>P0001771</t>
  </si>
  <si>
    <t>0.0280612244897959</t>
  </si>
  <si>
    <t>P0001618</t>
  </si>
  <si>
    <t>0.00087463556851312</t>
  </si>
  <si>
    <t>0.0694580903790088</t>
  </si>
  <si>
    <t>0.00341107871720117</t>
  </si>
  <si>
    <t>0.00170553935860058</t>
  </si>
  <si>
    <t>0.000852769679300291</t>
  </si>
  <si>
    <t>0.000426384839650146</t>
  </si>
  <si>
    <t>P0001772</t>
  </si>
  <si>
    <t>P0001585</t>
  </si>
  <si>
    <t>0.00136034563288183</t>
  </si>
  <si>
    <t>0.0100011676786548</t>
  </si>
  <si>
    <t>P0001871</t>
  </si>
  <si>
    <t>0.0060690098085007</t>
  </si>
  <si>
    <t>P0001773</t>
  </si>
  <si>
    <t>0.0624428876028023</t>
  </si>
  <si>
    <t>P0001599</t>
  </si>
  <si>
    <t>P0001609</t>
  </si>
  <si>
    <t>P0001776</t>
  </si>
  <si>
    <t>0.0340896050492493</t>
  </si>
  <si>
    <t>P0001560</t>
  </si>
  <si>
    <t>0.0624940231423927</t>
  </si>
  <si>
    <t>P0001616</t>
  </si>
  <si>
    <t>P0001777</t>
  </si>
  <si>
    <t>0.00373274205624113</t>
  </si>
  <si>
    <t>P0001578</t>
  </si>
  <si>
    <t>0.00135602804203163</t>
  </si>
  <si>
    <t>0.0100000523562951</t>
  </si>
  <si>
    <t>P0001778</t>
  </si>
  <si>
    <t>0.0037863016550432</t>
  </si>
  <si>
    <t>P0001587</t>
  </si>
  <si>
    <t>0.00135689750033458</t>
  </si>
  <si>
    <t>0.0100001487010959</t>
  </si>
  <si>
    <t>P0001779</t>
  </si>
  <si>
    <t>P0001621</t>
  </si>
  <si>
    <t>P0001565</t>
  </si>
  <si>
    <t>P0001780</t>
  </si>
  <si>
    <t>0.00308636363636364</t>
  </si>
  <si>
    <t>P0001588</t>
  </si>
  <si>
    <t>0.00135696556652362</t>
  </si>
  <si>
    <t>0.0100004941331195</t>
  </si>
  <si>
    <t>P0001781</t>
  </si>
  <si>
    <t>P0001622</t>
  </si>
  <si>
    <t>P0001566</t>
  </si>
  <si>
    <t>0.04074</t>
  </si>
  <si>
    <t>P0001782</t>
  </si>
  <si>
    <t>P0001623</t>
  </si>
  <si>
    <t>P0001567</t>
  </si>
  <si>
    <t>0.0625</t>
  </si>
  <si>
    <t>P0001783</t>
  </si>
  <si>
    <t>P0001624</t>
  </si>
  <si>
    <t>P0001568</t>
  </si>
  <si>
    <t>P0001784</t>
  </si>
  <si>
    <t>P0001572</t>
  </si>
  <si>
    <t>P0001785</t>
  </si>
  <si>
    <t>0.0659095321296836</t>
  </si>
  <si>
    <t>P0001555</t>
  </si>
  <si>
    <t>0.0625121335662978</t>
  </si>
  <si>
    <t>P0001786</t>
  </si>
  <si>
    <t>P0002186</t>
  </si>
  <si>
    <t>0.0159479791673012</t>
  </si>
  <si>
    <t>0.00109645783205921</t>
  </si>
  <si>
    <t>0.000182742972009868</t>
  </si>
  <si>
    <t>0.000365485944019736</t>
  </si>
  <si>
    <t>P0002187</t>
  </si>
  <si>
    <t>0.000274114458014802</t>
  </si>
  <si>
    <t>P0001787</t>
  </si>
  <si>
    <t>0.00608998260004971</t>
  </si>
  <si>
    <t>P0001571</t>
  </si>
  <si>
    <t>0.0013612206005942</t>
  </si>
  <si>
    <t>0.0100020122391487</t>
  </si>
  <si>
    <t>P0001788</t>
  </si>
  <si>
    <t>0.0280716804880374</t>
  </si>
  <si>
    <t>P0002185</t>
  </si>
  <si>
    <t>0.00090553808025927</t>
  </si>
  <si>
    <t>0.0748670288818988</t>
  </si>
  <si>
    <t>0.00514726908778953</t>
  </si>
  <si>
    <t>0.000857878181298256</t>
  </si>
  <si>
    <t>0.000111524163568773</t>
  </si>
  <si>
    <t>0.00171575636259651</t>
  </si>
  <si>
    <t>0.00128681727194738</t>
  </si>
  <si>
    <t>P0001789</t>
  </si>
  <si>
    <t>0.0685954269715352</t>
  </si>
  <si>
    <t>P0001554</t>
  </si>
  <si>
    <t>0.0625291647223518</t>
  </si>
  <si>
    <t>P0001790</t>
  </si>
  <si>
    <t>0.0624935653248224</t>
  </si>
  <si>
    <t>0.158910738185936</t>
  </si>
  <si>
    <t>P0001591</t>
  </si>
  <si>
    <t>P0001603</t>
  </si>
  <si>
    <t>P0001791</t>
  </si>
  <si>
    <t>P0001627</t>
  </si>
  <si>
    <t>0.000513962652047285</t>
  </si>
  <si>
    <t>0.00999371823425275</t>
  </si>
  <si>
    <t>0.0155347686216283</t>
  </si>
  <si>
    <t>0.00118782479584261</t>
  </si>
  <si>
    <t>0.000197970799307102</t>
  </si>
  <si>
    <t>0.000395941598614204</t>
  </si>
  <si>
    <t>0.00197970799307102</t>
  </si>
  <si>
    <t>0.000257362039099233</t>
  </si>
  <si>
    <t>P0001792</t>
  </si>
  <si>
    <t>0.0693080137242246</t>
  </si>
  <si>
    <t>0.00529945306926657</t>
  </si>
  <si>
    <t>0.000883242178211095</t>
  </si>
  <si>
    <t>0.000114821483167442</t>
  </si>
  <si>
    <t>0.00176648435642219</t>
  </si>
  <si>
    <t>0.00883242178211095</t>
  </si>
  <si>
    <t>0.00114821483167442</t>
  </si>
  <si>
    <t>P0001615</t>
  </si>
  <si>
    <t>0.0280599245847063</t>
  </si>
  <si>
    <t>P0001793</t>
  </si>
  <si>
    <t>P0001559</t>
  </si>
  <si>
    <t>1.05</t>
  </si>
  <si>
    <t>0.0625107112253642</t>
  </si>
  <si>
    <t>0.066805912596401</t>
  </si>
  <si>
    <t>P0001794</t>
  </si>
  <si>
    <t>0.154733551652277</t>
  </si>
  <si>
    <t>P0001604</t>
  </si>
  <si>
    <t>P0001592</t>
  </si>
  <si>
    <t>0.0625186067281929</t>
  </si>
  <si>
    <t>P0001795</t>
  </si>
  <si>
    <t>0.00594298847420417</t>
  </si>
  <si>
    <t>P0001577</t>
  </si>
  <si>
    <t>0.00136068422978412</t>
  </si>
  <si>
    <t>0.00999931394072448</t>
  </si>
  <si>
    <t>P0001796</t>
  </si>
  <si>
    <t>0.0625264763195798</t>
  </si>
  <si>
    <t>0.264212488350419</t>
  </si>
  <si>
    <t>P0001593</t>
  </si>
  <si>
    <t>P0001605</t>
  </si>
  <si>
    <t>P0001797</t>
  </si>
  <si>
    <t>0.441588785046729</t>
  </si>
  <si>
    <t>P0001877</t>
  </si>
  <si>
    <t>0.083404134806004</t>
  </si>
  <si>
    <t>P0001804</t>
  </si>
  <si>
    <t>P0001629</t>
  </si>
  <si>
    <t>0.000520110957004161</t>
  </si>
  <si>
    <t>0.00999768839574665</t>
  </si>
  <si>
    <t>0.0162180709662506</t>
  </si>
  <si>
    <t>0.000281726768377254</t>
  </si>
  <si>
    <t>0.00112690707350902</t>
  </si>
  <si>
    <t>0.00036624479889043</t>
  </si>
  <si>
    <t>0.000187817845584836</t>
  </si>
  <si>
    <t>0.000375635691169672</t>
  </si>
  <si>
    <t>P0001805</t>
  </si>
  <si>
    <t>P0001619</t>
  </si>
  <si>
    <t>0.000874651506040562</t>
  </si>
  <si>
    <t>0.0280435139124255</t>
  </si>
  <si>
    <t>0.0736380036079375</t>
  </si>
  <si>
    <t>0.00127917782758432</t>
  </si>
  <si>
    <t>0.00511671131033729</t>
  </si>
  <si>
    <t>0.00166293117585962</t>
  </si>
  <si>
    <t>0.000852785218389548</t>
  </si>
  <si>
    <t>0.0017055704367791</t>
  </si>
  <si>
    <t>0.00017055704367791</t>
  </si>
  <si>
    <t>P0001806</t>
  </si>
  <si>
    <t>0.00595876158648086</t>
  </si>
  <si>
    <t>P0001638</t>
  </si>
  <si>
    <t>0.00135856324771137</t>
  </si>
  <si>
    <t>0.00999719115615452</t>
  </si>
  <si>
    <t>P0001807</t>
  </si>
  <si>
    <t>0.0625466487535453</t>
  </si>
  <si>
    <t>0.155172413793103</t>
  </si>
  <si>
    <t>P0001600</t>
  </si>
  <si>
    <t>P0001610</t>
  </si>
  <si>
    <t>P0001827</t>
  </si>
  <si>
    <t>P0001848</t>
  </si>
  <si>
    <t>0.00927363237340756</t>
  </si>
  <si>
    <t>P0001582</t>
  </si>
  <si>
    <t>0.00166827249045427</t>
  </si>
  <si>
    <t>0.0100007136994612</t>
  </si>
  <si>
    <t>P0001828</t>
  </si>
  <si>
    <t>0.158171028606208</t>
  </si>
  <si>
    <t>P0001743</t>
  </si>
  <si>
    <t>P0001608</t>
  </si>
  <si>
    <t>P0001598</t>
  </si>
  <si>
    <t>0.0624873199431933</t>
  </si>
  <si>
    <t>P0001829</t>
  </si>
  <si>
    <t>0.009181240063593</t>
  </si>
  <si>
    <t>P0001581</t>
  </si>
  <si>
    <t>0.00166931637519873</t>
  </si>
  <si>
    <t>0.00999823352764529</t>
  </si>
  <si>
    <t>P0001830</t>
  </si>
  <si>
    <t>0.156527631380816</t>
  </si>
  <si>
    <t>P0001607</t>
  </si>
  <si>
    <t>P0001596</t>
  </si>
  <si>
    <t>0.062490588766752</t>
  </si>
  <si>
    <t>P0001831</t>
  </si>
  <si>
    <t>0.00381149806522941</t>
  </si>
  <si>
    <t>P0002166</t>
  </si>
  <si>
    <t>0.00135986733001658</t>
  </si>
  <si>
    <t>0.00999815736134144</t>
  </si>
  <si>
    <t>P0001832</t>
  </si>
  <si>
    <t>0.04137</t>
  </si>
  <si>
    <t>P0002165</t>
  </si>
  <si>
    <t>P0002167</t>
  </si>
  <si>
    <t>0.0624717942105602</t>
  </si>
  <si>
    <t>P0001833</t>
  </si>
  <si>
    <t>0.12460843373494</t>
  </si>
  <si>
    <t>P0002168</t>
  </si>
  <si>
    <t>0.0625160462130937</t>
  </si>
  <si>
    <t>P0001834</t>
  </si>
  <si>
    <t>P0001579</t>
  </si>
  <si>
    <t>0.00136109017357967</t>
  </si>
  <si>
    <t>0.00999940350629843</t>
  </si>
  <si>
    <t>0.00563686547982496</t>
  </si>
  <si>
    <t>P0001835</t>
  </si>
  <si>
    <t>0.102588638195004</t>
  </si>
  <si>
    <t>P0001561</t>
  </si>
  <si>
    <t>P0001617</t>
  </si>
  <si>
    <t>P0002016</t>
  </si>
  <si>
    <t>0.0624496373892023</t>
  </si>
  <si>
    <t>P0001847</t>
  </si>
  <si>
    <t>0.212533224289511</t>
  </si>
  <si>
    <t>P0001631</t>
  </si>
  <si>
    <t>0.0625638928644449</t>
  </si>
  <si>
    <t>P0001914</t>
  </si>
  <si>
    <t>P0001913</t>
  </si>
  <si>
    <t>0.222775492530851</t>
  </si>
  <si>
    <t>0.062567655336653</t>
  </si>
  <si>
    <t>P0001915</t>
  </si>
  <si>
    <t>P0001912</t>
  </si>
  <si>
    <t>0.112397596941562</t>
  </si>
  <si>
    <t>P0002352</t>
  </si>
  <si>
    <t>0.0624795193883124</t>
  </si>
  <si>
    <t>P0001950</t>
  </si>
  <si>
    <t>P0001589</t>
  </si>
  <si>
    <t>P0001951</t>
  </si>
  <si>
    <t>P0001590</t>
  </si>
  <si>
    <t>P0002084</t>
  </si>
  <si>
    <t>0.0882852919438285</t>
  </si>
  <si>
    <t>0.000184774575018477</t>
  </si>
  <si>
    <t>0.00090539541759054</t>
  </si>
  <si>
    <t>0.000923872875092387</t>
  </si>
  <si>
    <t>0.0841516207369866</t>
  </si>
  <si>
    <t>0.00084468377151304</t>
  </si>
  <si>
    <t>P0002115</t>
  </si>
  <si>
    <t>P0001924</t>
  </si>
  <si>
    <t>P0001923</t>
  </si>
  <si>
    <t>0.0625474254742547</t>
  </si>
  <si>
    <t>0.111544715447154</t>
  </si>
  <si>
    <t>P0002116</t>
  </si>
  <si>
    <t>P0001922</t>
  </si>
  <si>
    <t>P0001921</t>
  </si>
  <si>
    <t>0.0874767657992565</t>
  </si>
  <si>
    <t>0.119539962825279</t>
  </si>
  <si>
    <t>P0002132</t>
  </si>
  <si>
    <t>P0002050</t>
  </si>
  <si>
    <t>P0002051</t>
  </si>
  <si>
    <t>P0002052</t>
  </si>
  <si>
    <t>P0002171</t>
  </si>
  <si>
    <t>P0001013</t>
  </si>
  <si>
    <t>P0002145</t>
  </si>
  <si>
    <t>P0002133</t>
  </si>
  <si>
    <t>P0002049</t>
  </si>
  <si>
    <t>P0002146</t>
  </si>
  <si>
    <t>P0002202</t>
  </si>
  <si>
    <t>0.0189182768451061</t>
  </si>
  <si>
    <t>0.000194013303769401</t>
  </si>
  <si>
    <t>0.000197972758948369</t>
  </si>
  <si>
    <t>P0000926</t>
  </si>
  <si>
    <t>0.00052792735719565</t>
  </si>
  <si>
    <t>0.00997782705099778</t>
  </si>
  <si>
    <t>P0002383</t>
  </si>
  <si>
    <t>P0002402</t>
  </si>
  <si>
    <t>P0002384</t>
  </si>
  <si>
    <t>P0002403</t>
  </si>
  <si>
    <t>P0002388</t>
  </si>
  <si>
    <t>P0002385</t>
  </si>
  <si>
    <t>P0002386</t>
  </si>
  <si>
    <t>P0002405</t>
  </si>
  <si>
    <t>P0002406</t>
  </si>
  <si>
    <t>P0002407</t>
  </si>
  <si>
    <t>P0001884</t>
  </si>
  <si>
    <t>0.00272999331430209</t>
  </si>
  <si>
    <t>P0001985</t>
  </si>
  <si>
    <t>0.00198448493595526</t>
  </si>
  <si>
    <t>0.0100020163215927</t>
  </si>
  <si>
    <t>P0002408</t>
  </si>
  <si>
    <t>P0001885</t>
  </si>
  <si>
    <t>P0001986</t>
  </si>
  <si>
    <t>0.00198713799068247</t>
  </si>
  <si>
    <t>P0002415</t>
  </si>
  <si>
    <t>P0002329</t>
  </si>
  <si>
    <t>P0002416</t>
  </si>
  <si>
    <t>P0002327</t>
  </si>
  <si>
    <t>P0002328</t>
  </si>
  <si>
    <t>P0002417</t>
  </si>
  <si>
    <t>0.643</t>
  </si>
  <si>
    <t>P0002382</t>
  </si>
  <si>
    <t>P0002381</t>
  </si>
  <si>
    <t>P0002380</t>
  </si>
  <si>
    <t>P0002353</t>
  </si>
  <si>
    <t>P0002164</t>
  </si>
  <si>
    <t>0.008</t>
  </si>
  <si>
    <t>P0002418</t>
  </si>
  <si>
    <t>P0002320</t>
  </si>
  <si>
    <t>P0002419</t>
  </si>
  <si>
    <t>P0002318</t>
  </si>
  <si>
    <t>P0002420</t>
  </si>
  <si>
    <t>P0002322</t>
  </si>
  <si>
    <t>P0002421</t>
  </si>
  <si>
    <t>P0002321</t>
  </si>
  <si>
    <t>P0002422</t>
  </si>
  <si>
    <t>P0002319</t>
  </si>
  <si>
    <t>P0002455</t>
  </si>
  <si>
    <t>P0002444</t>
  </si>
  <si>
    <t>0.00136083401375034</t>
  </si>
  <si>
    <t>0.0099991716662525</t>
  </si>
  <si>
    <t>P0002528</t>
  </si>
  <si>
    <t>0.00596400298200149</t>
  </si>
  <si>
    <t>P0002456</t>
  </si>
  <si>
    <t>P0002450</t>
  </si>
  <si>
    <t>P0002447</t>
  </si>
  <si>
    <t>0.0624944201410588</t>
  </si>
  <si>
    <t>0.0449959825015624</t>
  </si>
  <si>
    <t>P0002457</t>
  </si>
  <si>
    <t>P0002445</t>
  </si>
  <si>
    <t>P0002458</t>
  </si>
  <si>
    <t>P0002451</t>
  </si>
  <si>
    <t>P0002448</t>
  </si>
  <si>
    <t>P0002459</t>
  </si>
  <si>
    <t>P0002446</t>
  </si>
  <si>
    <t>P0002834</t>
  </si>
  <si>
    <t>P0002469</t>
  </si>
  <si>
    <t>P0002465</t>
  </si>
  <si>
    <t>P0002835</t>
  </si>
  <si>
    <t>P0002472</t>
  </si>
  <si>
    <t>P0002468</t>
  </si>
  <si>
    <t>P0002466</t>
  </si>
  <si>
    <t>P0002464</t>
  </si>
  <si>
    <t>P0002471</t>
  </si>
  <si>
    <t>P0002470</t>
  </si>
  <si>
    <t>P0002462</t>
  </si>
  <si>
    <t>0.0000036</t>
  </si>
  <si>
    <t>P0002461</t>
  </si>
  <si>
    <t>0.0000024</t>
  </si>
  <si>
    <t>P0002460</t>
  </si>
  <si>
    <t>0.000006</t>
  </si>
  <si>
    <t>0.1875</t>
  </si>
  <si>
    <t>0.125</t>
  </si>
  <si>
    <t>P0002545</t>
  </si>
  <si>
    <t>P0002752</t>
  </si>
  <si>
    <t>P0002990</t>
  </si>
  <si>
    <t>P0002753</t>
  </si>
  <si>
    <t>P0002992</t>
  </si>
  <si>
    <t>P0002991</t>
  </si>
  <si>
    <t>P0003016</t>
  </si>
  <si>
    <t>P0002861</t>
  </si>
  <si>
    <t>P0002862</t>
  </si>
  <si>
    <t>P0002885</t>
  </si>
  <si>
    <t>0.0833512352309345</t>
  </si>
  <si>
    <t>0.0437593984962406</t>
  </si>
  <si>
    <t>P0003020</t>
  </si>
  <si>
    <t>P0002858</t>
  </si>
  <si>
    <t>P0002859</t>
  </si>
  <si>
    <t>7010452</t>
  </si>
  <si>
    <t>0108009</t>
  </si>
  <si>
    <t>0226405</t>
  </si>
  <si>
    <t>0226404</t>
  </si>
  <si>
    <t>0108077</t>
  </si>
  <si>
    <t>0240703</t>
  </si>
  <si>
    <t>1027108</t>
  </si>
  <si>
    <t>1</t>
  </si>
  <si>
    <t>0226402</t>
  </si>
  <si>
    <t>0226401</t>
  </si>
  <si>
    <t>0226400</t>
  </si>
  <si>
    <t>0108060</t>
  </si>
  <si>
    <t>0108051</t>
  </si>
  <si>
    <t>0226409</t>
  </si>
  <si>
    <t>0226406</t>
  </si>
  <si>
    <t>0108037</t>
  </si>
  <si>
    <t>0226408</t>
  </si>
  <si>
    <t>0108022</t>
  </si>
  <si>
    <t>0226407</t>
  </si>
  <si>
    <t>7010453</t>
  </si>
  <si>
    <t>1027192</t>
  </si>
  <si>
    <t>7010456</t>
  </si>
  <si>
    <t>0108116</t>
  </si>
  <si>
    <t>0108017</t>
  </si>
  <si>
    <t>0108056</t>
  </si>
  <si>
    <t>0108063</t>
  </si>
  <si>
    <t>0240704</t>
  </si>
  <si>
    <t>0108014</t>
  </si>
  <si>
    <t>0108035</t>
  </si>
  <si>
    <t>0108047</t>
  </si>
  <si>
    <t>0108027</t>
  </si>
  <si>
    <t>0226410</t>
  </si>
  <si>
    <t>1027073</t>
  </si>
  <si>
    <t>0108015</t>
  </si>
  <si>
    <t>0108007</t>
  </si>
  <si>
    <t>7010464</t>
  </si>
  <si>
    <t>0201240</t>
  </si>
  <si>
    <t>0209627</t>
  </si>
  <si>
    <t>0209886</t>
  </si>
  <si>
    <t>3.26666666666667E-07</t>
  </si>
  <si>
    <t>0209966</t>
  </si>
  <si>
    <t>6.95333333333333E-06</t>
  </si>
  <si>
    <t>0213012</t>
  </si>
  <si>
    <t>0214337</t>
  </si>
  <si>
    <t>0214820</t>
  </si>
  <si>
    <t>0217614</t>
  </si>
  <si>
    <t>0219439</t>
  </si>
  <si>
    <t>0221316</t>
  </si>
  <si>
    <t>0226320</t>
  </si>
  <si>
    <t>0227597</t>
  </si>
  <si>
    <t>0228389</t>
  </si>
  <si>
    <t>0236164</t>
  </si>
  <si>
    <t>0237349</t>
  </si>
  <si>
    <t>7010469</t>
  </si>
  <si>
    <t>0220908</t>
  </si>
  <si>
    <t>0201313</t>
  </si>
  <si>
    <t>0228086</t>
  </si>
  <si>
    <t>0226307</t>
  </si>
  <si>
    <t>0215135</t>
  </si>
  <si>
    <t>0223307</t>
  </si>
  <si>
    <t>0214807</t>
  </si>
  <si>
    <t>0214803</t>
  </si>
  <si>
    <t>0207291</t>
  </si>
  <si>
    <t>0237642</t>
  </si>
  <si>
    <t>0200360</t>
  </si>
  <si>
    <t>0214287</t>
  </si>
  <si>
    <t>7010528</t>
  </si>
  <si>
    <t>0235021</t>
  </si>
  <si>
    <t>0214296</t>
  </si>
  <si>
    <t>0223043</t>
  </si>
  <si>
    <t>0226342</t>
  </si>
  <si>
    <t>0220921</t>
  </si>
  <si>
    <t>0209458</t>
  </si>
  <si>
    <t>0227565</t>
  </si>
  <si>
    <t>0213503</t>
  </si>
  <si>
    <t>0207117</t>
  </si>
  <si>
    <t>0200371</t>
  </si>
  <si>
    <t>0228394</t>
  </si>
  <si>
    <t>0123077</t>
  </si>
  <si>
    <t>0206253</t>
  </si>
  <si>
    <t>7010529</t>
  </si>
  <si>
    <t>0235823</t>
  </si>
  <si>
    <t>7010530</t>
  </si>
  <si>
    <t>0108089</t>
  </si>
  <si>
    <t>0108102</t>
  </si>
  <si>
    <t>0108085</t>
  </si>
  <si>
    <t>1027191</t>
  </si>
  <si>
    <t>0108099</t>
  </si>
  <si>
    <t>0108100</t>
  </si>
  <si>
    <t>0108095</t>
  </si>
  <si>
    <t>0108118</t>
  </si>
  <si>
    <t>0108105</t>
  </si>
  <si>
    <t>7010531</t>
  </si>
  <si>
    <t>0237427</t>
  </si>
  <si>
    <t>0108088</t>
  </si>
  <si>
    <t>0108108</t>
  </si>
  <si>
    <t>0108055</t>
  </si>
  <si>
    <t>0108107</t>
  </si>
  <si>
    <t>7010534</t>
  </si>
  <si>
    <t>0108057</t>
  </si>
  <si>
    <t>0237387</t>
  </si>
  <si>
    <t>0226364</t>
  </si>
  <si>
    <t>0108141</t>
  </si>
  <si>
    <t>0108042</t>
  </si>
  <si>
    <t>0237388</t>
  </si>
  <si>
    <t>0226362</t>
  </si>
  <si>
    <t>0226359</t>
  </si>
  <si>
    <t>0226367</t>
  </si>
  <si>
    <t>0108008</t>
  </si>
  <si>
    <t>0108029</t>
  </si>
  <si>
    <t>0108032</t>
  </si>
  <si>
    <t>0226358</t>
  </si>
  <si>
    <t>0237386</t>
  </si>
  <si>
    <t>0108092</t>
  </si>
  <si>
    <t>7010535</t>
  </si>
  <si>
    <t>7010536</t>
  </si>
  <si>
    <t>7010537</t>
  </si>
  <si>
    <t>7010543</t>
  </si>
  <si>
    <t>0226373</t>
  </si>
  <si>
    <t>0237350</t>
  </si>
  <si>
    <t>0226370</t>
  </si>
  <si>
    <t>0226372</t>
  </si>
  <si>
    <t>0226368</t>
  </si>
  <si>
    <t>0235515</t>
  </si>
  <si>
    <t>0235516</t>
  </si>
  <si>
    <t>0239517</t>
  </si>
  <si>
    <t>0237398</t>
  </si>
  <si>
    <t>0226371</t>
  </si>
  <si>
    <t>0226369</t>
  </si>
  <si>
    <t>7010544</t>
  </si>
  <si>
    <t>0108156</t>
  </si>
  <si>
    <t>0108157</t>
  </si>
  <si>
    <t>0237369</t>
  </si>
  <si>
    <t>0108155</t>
  </si>
  <si>
    <t>0213013</t>
  </si>
  <si>
    <t>9190400</t>
  </si>
  <si>
    <t>1.05197294498667</t>
  </si>
  <si>
    <t>1611508</t>
  </si>
  <si>
    <t>9190408</t>
  </si>
  <si>
    <t>1716349</t>
  </si>
  <si>
    <t>1.05199633326543</t>
  </si>
  <si>
    <t>1822115</t>
  </si>
  <si>
    <t>1.11509472397637</t>
  </si>
  <si>
    <t>1822117</t>
  </si>
  <si>
    <t>1014693</t>
  </si>
  <si>
    <t>1611503</t>
  </si>
  <si>
    <t>9190410</t>
  </si>
  <si>
    <t>1.05196274697537</t>
  </si>
  <si>
    <t>1716350</t>
  </si>
  <si>
    <t>1822110</t>
  </si>
  <si>
    <t>1.11506658542954</t>
  </si>
  <si>
    <t>1822111</t>
  </si>
  <si>
    <t>1611505</t>
  </si>
  <si>
    <t>9190416</t>
  </si>
  <si>
    <t>1.06289308176101</t>
  </si>
  <si>
    <t>9190418</t>
  </si>
  <si>
    <t>1.06289266582898</t>
  </si>
  <si>
    <t>1508030</t>
  </si>
  <si>
    <t>1617532</t>
  </si>
  <si>
    <t>9190419</t>
  </si>
  <si>
    <t>0225047</t>
  </si>
  <si>
    <t>0209664</t>
  </si>
  <si>
    <t>0202647</t>
  </si>
  <si>
    <t>9.40801852655956E-05</t>
  </si>
  <si>
    <t>0200321</t>
  </si>
  <si>
    <t>0213500</t>
  </si>
  <si>
    <t>0214243</t>
  </si>
  <si>
    <t>1014690</t>
  </si>
  <si>
    <t>1.02040816326531</t>
  </si>
  <si>
    <t>1614528</t>
  </si>
  <si>
    <t>9190424</t>
  </si>
  <si>
    <t>8.97955424571744E-05</t>
  </si>
  <si>
    <t>0108067</t>
  </si>
  <si>
    <t>0108082</t>
  </si>
  <si>
    <t>0108112</t>
  </si>
  <si>
    <t>1.02039970528642</t>
  </si>
  <si>
    <t>9190426</t>
  </si>
  <si>
    <t>1716363</t>
  </si>
  <si>
    <t>1.05198329853862</t>
  </si>
  <si>
    <t>1036104</t>
  </si>
  <si>
    <t>1617534</t>
  </si>
  <si>
    <t>9190430</t>
  </si>
  <si>
    <t>1822195</t>
  </si>
  <si>
    <t>1.06006768189509</t>
  </si>
  <si>
    <t>1822196</t>
  </si>
  <si>
    <t>1716359</t>
  </si>
  <si>
    <t>1.01001128031585</t>
  </si>
  <si>
    <t>9190431</t>
  </si>
  <si>
    <t>1508046</t>
  </si>
  <si>
    <t>1.03027196938636</t>
  </si>
  <si>
    <t>8.20008200082001E-05</t>
  </si>
  <si>
    <t>0237384</t>
  </si>
  <si>
    <t>9190432</t>
  </si>
  <si>
    <t>1718378</t>
  </si>
  <si>
    <t>1.06609697370285</t>
  </si>
  <si>
    <t>9192733</t>
  </si>
  <si>
    <t>1716352</t>
  </si>
  <si>
    <t>1.05196760461011</t>
  </si>
  <si>
    <t>1036097</t>
  </si>
  <si>
    <t>1831226</t>
  </si>
  <si>
    <t>1.11509708233828</t>
  </si>
  <si>
    <t>1831228</t>
  </si>
  <si>
    <t>1611681</t>
  </si>
  <si>
    <t>9192735</t>
  </si>
  <si>
    <t>1718224</t>
  </si>
  <si>
    <t>1.14250103863731</t>
  </si>
  <si>
    <t>1508029</t>
  </si>
  <si>
    <t>1.06294142085584</t>
  </si>
  <si>
    <t>9193004</t>
  </si>
  <si>
    <t>7010518</t>
  </si>
  <si>
    <t>1718368</t>
  </si>
  <si>
    <t>1.02998583180021</t>
  </si>
  <si>
    <t>9193005</t>
  </si>
  <si>
    <t>0100301</t>
  </si>
  <si>
    <t>8.93423556777331E-05</t>
  </si>
  <si>
    <t>0215150</t>
  </si>
  <si>
    <t>1.01004440685134</t>
  </si>
  <si>
    <t>1405989</t>
  </si>
  <si>
    <t>9195922</t>
  </si>
  <si>
    <t>1716353</t>
  </si>
  <si>
    <t>1036099</t>
  </si>
  <si>
    <t>1833007</t>
  </si>
  <si>
    <t>1833009</t>
  </si>
  <si>
    <t>9195925</t>
  </si>
  <si>
    <t>1716351</t>
  </si>
  <si>
    <t>1.05199939181998</t>
  </si>
  <si>
    <t>1.11509806902843</t>
  </si>
  <si>
    <t>1833010</t>
  </si>
  <si>
    <t>1833011</t>
  </si>
  <si>
    <t>9197755</t>
  </si>
  <si>
    <t>0138041</t>
  </si>
  <si>
    <t>1.02037644620964</t>
  </si>
  <si>
    <t>9197779</t>
  </si>
  <si>
    <t>0237376</t>
  </si>
  <si>
    <t>0226353</t>
  </si>
  <si>
    <t>0201738</t>
  </si>
  <si>
    <t>0237360</t>
  </si>
  <si>
    <t>0228969</t>
  </si>
  <si>
    <t>0209629</t>
  </si>
  <si>
    <t>0209628</t>
  </si>
  <si>
    <t>0206242</t>
  </si>
  <si>
    <t>4.54580775507032E-05</t>
  </si>
  <si>
    <t>0237375</t>
  </si>
  <si>
    <t>0237374</t>
  </si>
  <si>
    <t>1509722</t>
  </si>
  <si>
    <t>1.02035900225348</t>
  </si>
  <si>
    <t>9197783</t>
  </si>
  <si>
    <t>1.06830643897854</t>
  </si>
  <si>
    <t>1.05182785747339</t>
  </si>
  <si>
    <t>1822168</t>
  </si>
  <si>
    <t>1.115070183557</t>
  </si>
  <si>
    <t>1822169</t>
  </si>
  <si>
    <t>9197879</t>
  </si>
  <si>
    <t>1037180</t>
  </si>
  <si>
    <t>1822166</t>
  </si>
  <si>
    <t>1.06000834276861</t>
  </si>
  <si>
    <t>1822167</t>
  </si>
  <si>
    <t>1716354</t>
  </si>
  <si>
    <t>1.02002264465765</t>
  </si>
  <si>
    <t>9197880</t>
  </si>
  <si>
    <t>1036096</t>
  </si>
  <si>
    <t>1.04533333333333</t>
  </si>
  <si>
    <t>1822172</t>
  </si>
  <si>
    <t>1.09093333333333</t>
  </si>
  <si>
    <t>1822173</t>
  </si>
  <si>
    <t>1716330</t>
  </si>
  <si>
    <t>9197882</t>
  </si>
  <si>
    <t>9197883</t>
  </si>
  <si>
    <t>1.05194976867151</t>
  </si>
  <si>
    <t>9197885</t>
  </si>
  <si>
    <t>1822193</t>
  </si>
  <si>
    <t>1822194</t>
  </si>
  <si>
    <t>9199201</t>
  </si>
  <si>
    <t>1718375</t>
  </si>
  <si>
    <t>1.05002987669075</t>
  </si>
  <si>
    <t>1508037</t>
  </si>
  <si>
    <t>1.00499755554348</t>
  </si>
  <si>
    <t>9199202</t>
  </si>
  <si>
    <t>1718374</t>
  </si>
  <si>
    <t>1.05557716889902</t>
  </si>
  <si>
    <t>1508034</t>
  </si>
  <si>
    <t>1.00500194520091</t>
  </si>
  <si>
    <t>9199204</t>
  </si>
  <si>
    <t>1718376</t>
  </si>
  <si>
    <t>1.04999164019395</t>
  </si>
  <si>
    <t>1508036</t>
  </si>
  <si>
    <t>1.00496015159115</t>
  </si>
  <si>
    <t>9199206</t>
  </si>
  <si>
    <t>7010519</t>
  </si>
  <si>
    <t>1718372</t>
  </si>
  <si>
    <t>1.04999187564318</t>
  </si>
  <si>
    <t>1508040</t>
  </si>
  <si>
    <t>1.00498293885067</t>
  </si>
  <si>
    <t>1405988</t>
  </si>
  <si>
    <t>9199207</t>
  </si>
  <si>
    <t>7010521</t>
  </si>
  <si>
    <t>1718369</t>
  </si>
  <si>
    <t>1508041</t>
  </si>
  <si>
    <t>9990421</t>
  </si>
  <si>
    <t>0564154</t>
  </si>
  <si>
    <t>1611661</t>
  </si>
  <si>
    <t>9990425</t>
  </si>
  <si>
    <t>0564150</t>
  </si>
  <si>
    <t>9990426</t>
  </si>
  <si>
    <t>1.98978322842329E-05</t>
  </si>
  <si>
    <t>2.58671819695027E-05</t>
  </si>
  <si>
    <t>9991112</t>
  </si>
  <si>
    <t>0564140</t>
  </si>
  <si>
    <t>9991114</t>
  </si>
  <si>
    <t>0564155</t>
  </si>
  <si>
    <t>9993004</t>
  </si>
  <si>
    <t>9.89857765053452E-05</t>
  </si>
  <si>
    <t>9995020</t>
  </si>
  <si>
    <t>0564136</t>
  </si>
  <si>
    <t>9995024</t>
  </si>
  <si>
    <t>0564171</t>
  </si>
  <si>
    <t>9995026</t>
  </si>
  <si>
    <t>1014705</t>
  </si>
  <si>
    <t>1.70000566668556E-05</t>
  </si>
  <si>
    <t>2.21000736669122E-05</t>
  </si>
  <si>
    <t>9995027</t>
  </si>
  <si>
    <t>9997253</t>
  </si>
  <si>
    <t>0564141</t>
  </si>
  <si>
    <t>9997256</t>
  </si>
  <si>
    <t>0564143</t>
  </si>
  <si>
    <t>9997290</t>
  </si>
  <si>
    <t>0564152</t>
  </si>
  <si>
    <t>9997291</t>
  </si>
  <si>
    <t>0564156</t>
  </si>
  <si>
    <t>9997729</t>
  </si>
  <si>
    <t>3.77555762081784E-05</t>
  </si>
  <si>
    <t>9997730</t>
  </si>
  <si>
    <t>0564139</t>
  </si>
  <si>
    <t>9997734</t>
  </si>
  <si>
    <t>0564138</t>
  </si>
  <si>
    <t>9997740</t>
  </si>
  <si>
    <t>9.43875698831046E-05</t>
  </si>
  <si>
    <t>9.43875698831046E-06</t>
  </si>
  <si>
    <t>1014702</t>
  </si>
  <si>
    <t>9997762</t>
  </si>
  <si>
    <t>9.33678076007552E-05</t>
  </si>
  <si>
    <t>4.66839038003776E-05</t>
  </si>
  <si>
    <t>9997765</t>
  </si>
  <si>
    <t>9997884</t>
  </si>
  <si>
    <t>1718366</t>
  </si>
  <si>
    <t>1.02040173916465</t>
  </si>
  <si>
    <t>1038261</t>
  </si>
  <si>
    <t>1027095</t>
  </si>
  <si>
    <t>9998001</t>
  </si>
  <si>
    <t>0564167</t>
  </si>
  <si>
    <t>9998002</t>
  </si>
  <si>
    <t>0564165</t>
  </si>
  <si>
    <t>9998003</t>
  </si>
  <si>
    <t>0564166</t>
  </si>
  <si>
    <t>9998004</t>
  </si>
  <si>
    <t>0564168</t>
  </si>
  <si>
    <t>9998005</t>
  </si>
  <si>
    <t>0564164</t>
  </si>
  <si>
    <t>9998006</t>
  </si>
  <si>
    <t>0564163</t>
  </si>
  <si>
    <t>9998007</t>
  </si>
  <si>
    <t>7010522</t>
  </si>
  <si>
    <t>0564161</t>
  </si>
  <si>
    <t>9998008</t>
  </si>
  <si>
    <t>7010520</t>
  </si>
  <si>
    <t>0564162</t>
  </si>
  <si>
    <t>1.06283615374524</t>
  </si>
  <si>
    <t>0237426</t>
  </si>
  <si>
    <t>0237410</t>
  </si>
  <si>
    <t>0226376</t>
  </si>
  <si>
    <t>0228985</t>
  </si>
  <si>
    <t>0210309</t>
  </si>
  <si>
    <t>1.05195008614838</t>
  </si>
  <si>
    <t>1.11507335665431</t>
  </si>
  <si>
    <t>1.0204</t>
  </si>
  <si>
    <t>1.86735551336715E-05</t>
  </si>
  <si>
    <t>7010538</t>
  </si>
  <si>
    <t>1.06291144312783</t>
  </si>
  <si>
    <t>7010532</t>
  </si>
  <si>
    <t>1.00502244069246</t>
  </si>
  <si>
    <t>1.05001068604403</t>
  </si>
  <si>
    <t>1.0500043500957</t>
  </si>
  <si>
    <t>1.05001078981442</t>
  </si>
  <si>
    <t>1.00497404844291</t>
  </si>
  <si>
    <t>1036100</t>
  </si>
  <si>
    <t>0237366</t>
  </si>
  <si>
    <t>2.15232738334386E-05</t>
  </si>
  <si>
    <t>0237364</t>
  </si>
  <si>
    <t>0237356</t>
  </si>
  <si>
    <t>1.05195157209975</t>
  </si>
  <si>
    <t>1.0628899950922</t>
  </si>
  <si>
    <t>1.06292850146915</t>
  </si>
  <si>
    <t>0237400</t>
  </si>
  <si>
    <t>0237396</t>
  </si>
  <si>
    <t>0237395</t>
  </si>
  <si>
    <t>0237403</t>
  </si>
  <si>
    <t>0237394</t>
  </si>
  <si>
    <t>0237397</t>
  </si>
  <si>
    <t>0237389</t>
  </si>
  <si>
    <t>0237405</t>
  </si>
  <si>
    <t>0237404</t>
  </si>
  <si>
    <t>0237402</t>
  </si>
  <si>
    <t>0237393</t>
  </si>
  <si>
    <t>0237401</t>
  </si>
  <si>
    <t>0237399</t>
  </si>
  <si>
    <t>0226356</t>
  </si>
  <si>
    <t>0108046</t>
  </si>
  <si>
    <t>0108044</t>
  </si>
  <si>
    <t>0108041</t>
  </si>
  <si>
    <t>0108006</t>
  </si>
  <si>
    <t>0108049</t>
  </si>
  <si>
    <t>0213014</t>
  </si>
  <si>
    <t>0108019</t>
  </si>
  <si>
    <t>0108058</t>
  </si>
  <si>
    <t>0108010</t>
  </si>
  <si>
    <t>0108117</t>
  </si>
  <si>
    <t>0108020</t>
  </si>
  <si>
    <t>0108038</t>
  </si>
  <si>
    <t>0108033</t>
  </si>
  <si>
    <t>0108040</t>
  </si>
  <si>
    <t>0226365</t>
  </si>
  <si>
    <t>0108149</t>
  </si>
  <si>
    <t>0227532</t>
  </si>
  <si>
    <t>0210347</t>
  </si>
  <si>
    <t>0217511</t>
  </si>
  <si>
    <t>0219552</t>
  </si>
  <si>
    <t>0217509</t>
  </si>
  <si>
    <t>0214276</t>
  </si>
  <si>
    <t>0217507</t>
  </si>
  <si>
    <t>0228368</t>
  </si>
  <si>
    <t>1.01000101020305</t>
  </si>
  <si>
    <t>0237361</t>
  </si>
  <si>
    <t>0237371</t>
  </si>
  <si>
    <t>0237367</t>
  </si>
  <si>
    <t>1.84074892184706E-05</t>
  </si>
  <si>
    <t>3.68149784369412E-05</t>
  </si>
  <si>
    <t>1014703</t>
  </si>
  <si>
    <t>1.02040601661933</t>
  </si>
  <si>
    <t>3.87757212284148E-05</t>
  </si>
  <si>
    <t>3.87757212284149E-06</t>
  </si>
  <si>
    <t>7.75514424568297E-06</t>
  </si>
  <si>
    <t>1.93878606142074E-05</t>
  </si>
  <si>
    <t>0108016</t>
  </si>
  <si>
    <t>1.04999169573161</t>
  </si>
  <si>
    <t>1.00498256103637</t>
  </si>
  <si>
    <t>1.00501799934548</t>
  </si>
  <si>
    <t>1.04998106777736</t>
  </si>
  <si>
    <t>1.00497646995186</t>
  </si>
  <si>
    <t>1.05002498473155</t>
  </si>
  <si>
    <t>1.00499694631059</t>
  </si>
  <si>
    <t>1.01013645224172</t>
  </si>
  <si>
    <t>1.05010570824524</t>
  </si>
  <si>
    <t>1.04997873245427</t>
  </si>
  <si>
    <t>1.00511727078891</t>
  </si>
  <si>
    <t>1.00499223801919</t>
  </si>
  <si>
    <t>1.00498410863912</t>
  </si>
  <si>
    <t>1.05001089561996</t>
  </si>
  <si>
    <t>1.00501198518196</t>
  </si>
  <si>
    <t>1.04998878169172</t>
  </si>
  <si>
    <t>1.05003194888179</t>
  </si>
  <si>
    <t>1.04996034892942</t>
  </si>
  <si>
    <t>1.04999661269562</t>
  </si>
  <si>
    <t>1.00488997555012</t>
  </si>
  <si>
    <t>1.00497512437811</t>
  </si>
  <si>
    <t>1.03497817037263</t>
  </si>
  <si>
    <t>1.03000304599452</t>
  </si>
  <si>
    <t>1.02000203066301</t>
  </si>
  <si>
    <t>1.85786325309814E-05</t>
  </si>
  <si>
    <t>4.64465813274535E-05</t>
  </si>
  <si>
    <t>1.00998636223659</t>
  </si>
  <si>
    <t>8.57859311072984E-05</t>
  </si>
  <si>
    <t>1.05003219575016</t>
  </si>
  <si>
    <t>1.0199850857569</t>
  </si>
  <si>
    <t>1.00497141436739</t>
  </si>
  <si>
    <t>1.03499875714641</t>
  </si>
  <si>
    <t>1.02997762863535</t>
  </si>
  <si>
    <t>9.39102795636784E-05</t>
  </si>
  <si>
    <t>9.39102795636784E-06</t>
  </si>
  <si>
    <t>1.00998542274052</t>
  </si>
  <si>
    <t>4.26384839650146E-05</t>
  </si>
  <si>
    <t>1.01995126408772</t>
  </si>
  <si>
    <t>1.0050258909534</t>
  </si>
  <si>
    <t>1.03502893694791</t>
  </si>
  <si>
    <t>1.0499665295974</t>
  </si>
  <si>
    <t>1.00497274552931</t>
  </si>
  <si>
    <t>1.00497159090909</t>
  </si>
  <si>
    <t>1.04998907342657</t>
  </si>
  <si>
    <t>1.05001945200911</t>
  </si>
  <si>
    <t>1.07584287840549</t>
  </si>
  <si>
    <t>1.82742972009868E-05</t>
  </si>
  <si>
    <t>2.37565863612829E-05</t>
  </si>
  <si>
    <t>1.01000857878181</t>
  </si>
  <si>
    <t>8.57878181298256E-05</t>
  </si>
  <si>
    <t>1.04999666688887</t>
  </si>
  <si>
    <t>1.01997323175126</t>
  </si>
  <si>
    <t>1.00499330793782</t>
  </si>
  <si>
    <t>1.02995984762689</t>
  </si>
  <si>
    <t>1.03495315556471</t>
  </si>
  <si>
    <t>1.97970799307102E-05</t>
  </si>
  <si>
    <t>2.57362039099233E-05</t>
  </si>
  <si>
    <t>8.83242178211095E-05</t>
  </si>
  <si>
    <t>1.00998743078439</t>
  </si>
  <si>
    <t>1.00496179418478</t>
  </si>
  <si>
    <t>1.03498064900268</t>
  </si>
  <si>
    <t>1.02996923687605</t>
  </si>
  <si>
    <t>1.01999603056465</t>
  </si>
  <si>
    <t>1.01999491654664</t>
  </si>
  <si>
    <t>1.00499872913666</t>
  </si>
  <si>
    <t>1.02999237481996</t>
  </si>
  <si>
    <t>1.03499110395662</t>
  </si>
  <si>
    <t>1.00509770603229</t>
  </si>
  <si>
    <t>3.75635691169672E-05</t>
  </si>
  <si>
    <t>1.01000382660034</t>
  </si>
  <si>
    <t>1.01985370950888</t>
  </si>
  <si>
    <t>1.00492610837438</t>
  </si>
  <si>
    <t>1.029855202269</t>
  </si>
  <si>
    <t>1.03493058665472</t>
  </si>
  <si>
    <t>1.00502130249544</t>
  </si>
  <si>
    <t>1.03499695678637</t>
  </si>
  <si>
    <t>1.03002637451816</t>
  </si>
  <si>
    <t>1.02003448975451</t>
  </si>
  <si>
    <t>1.00496913115495</t>
  </si>
  <si>
    <t>1.03493449781659</t>
  </si>
  <si>
    <t>1.02002710435175</t>
  </si>
  <si>
    <t>1.02996536666165</t>
  </si>
  <si>
    <t>1.05002901166914</t>
  </si>
  <si>
    <t>1.00502868931726</t>
  </si>
  <si>
    <t>1.05006418485237</t>
  </si>
  <si>
    <t>1.04995970991136</t>
  </si>
  <si>
    <t>1.00493553585818</t>
  </si>
  <si>
    <t>1.00511142915559</t>
  </si>
  <si>
    <t>1.05001082485386</t>
  </si>
  <si>
    <t>1.05002730748225</t>
  </si>
  <si>
    <t>1.84774575018477E-05</t>
  </si>
  <si>
    <t>3.69549150036955E-05</t>
  </si>
  <si>
    <t>9.23872875092387E-05</t>
  </si>
  <si>
    <t>1.01003061978672</t>
  </si>
  <si>
    <t>1.0049864498645</t>
  </si>
  <si>
    <t>1.049972899729</t>
  </si>
  <si>
    <t>1.00499535315985</t>
  </si>
  <si>
    <t>1.04995353159851</t>
  </si>
  <si>
    <t>3.95945517896737E-05</t>
  </si>
  <si>
    <t>3.95945517896737E-06</t>
  </si>
  <si>
    <t>7.91891035793475E-06</t>
  </si>
  <si>
    <t>1.97972758948369E-05</t>
  </si>
  <si>
    <t>1.04999553611285</t>
  </si>
  <si>
    <t>1.00499955361128</t>
  </si>
  <si>
    <t>1.05001074113856</t>
  </si>
  <si>
    <t>1.0050268528464</t>
  </si>
  <si>
    <t>Coluna4</t>
  </si>
  <si>
    <t>Coluna5</t>
  </si>
  <si>
    <t>P0001439</t>
  </si>
  <si>
    <t>P0001440</t>
  </si>
  <si>
    <t>P0001441</t>
  </si>
  <si>
    <t>Component Item</t>
  </si>
  <si>
    <t>Component Name</t>
  </si>
  <si>
    <t>HUILE COCO RAFFINEE</t>
  </si>
  <si>
    <t>CARBOPOL 981</t>
  </si>
  <si>
    <t>HIDRÓXIDO DE SÓDIO MERCK</t>
  </si>
  <si>
    <t>GLICERINA PURA OLEON</t>
  </si>
  <si>
    <t>PARAFINA LIQUIDA</t>
  </si>
  <si>
    <t>INDUST. SKIN SEC LOÇÃO GRANEL</t>
  </si>
  <si>
    <t>2 PHENOXYETHANOL</t>
  </si>
  <si>
    <t>NIPAGIN CLARIANT</t>
  </si>
  <si>
    <t>NIPAZOL CLARIANT</t>
  </si>
  <si>
    <t>PARF TRENDRESSE U293496</t>
  </si>
  <si>
    <t>EXTRAIT FLUI BOURGEON PEUPLIER</t>
  </si>
  <si>
    <t>ALPHA TOCOPHERYLE ACETATE Z</t>
  </si>
  <si>
    <t>SQUALENO VEGETAL</t>
  </si>
  <si>
    <t>ARLACEL 2121-FL</t>
  </si>
  <si>
    <t>CETEARYL ALC/CETEARYL MEL</t>
  </si>
  <si>
    <t>WAGLINOL 6016</t>
  </si>
  <si>
    <t>SILOXANE CYCLOPENTA CM5</t>
  </si>
  <si>
    <t>INDUST. SKIN SEC GRANEL S/PERF</t>
  </si>
  <si>
    <t>PROPILENO GLICOL</t>
  </si>
  <si>
    <t>POLYETHYLENE CIRE</t>
  </si>
  <si>
    <t>EUA DISTILLEE MELILOT</t>
  </si>
  <si>
    <t>PARF U210162 NATURE GN FREE</t>
  </si>
  <si>
    <t>SEPIGEL 305</t>
  </si>
  <si>
    <t>BROMURE DE CETRIMONIUM</t>
  </si>
  <si>
    <t>GLUCONATO DE ZINCO</t>
  </si>
  <si>
    <t>SALICILATO DE SODIO</t>
  </si>
  <si>
    <t>STEPAN MILD SL3 BA</t>
  </si>
  <si>
    <t>PCA DE ZINCO SOLABIA</t>
  </si>
  <si>
    <t>INDUST. ACTINE ESFOLIANTE GRAN</t>
  </si>
  <si>
    <t>TRILON BD</t>
  </si>
  <si>
    <t>SATIAGUM UTC 30</t>
  </si>
  <si>
    <t>ALCOOL NEUTRO</t>
  </si>
  <si>
    <t>COCOAMIDOPROPILBETAINA</t>
  </si>
  <si>
    <t>CORANTE RED D&amp;C 33</t>
  </si>
  <si>
    <t>CORANTE AMARELO AYE 23</t>
  </si>
  <si>
    <t>EDTA DISSODICO</t>
  </si>
  <si>
    <t>ESSENCIA SOAPELLE</t>
  </si>
  <si>
    <t>EXTRATO GLIC ALOE VERA</t>
  </si>
  <si>
    <t>GLICERINA PURA 03473015</t>
  </si>
  <si>
    <t>HIDROXIDO DE SODIO</t>
  </si>
  <si>
    <t>IRGASAN DP- 300</t>
  </si>
  <si>
    <t>NIPAGIN</t>
  </si>
  <si>
    <t>OLETH 3 FOSFATO</t>
  </si>
  <si>
    <t>PIRROLIDONA CARBOX. DE SODIO</t>
  </si>
  <si>
    <t>SYNOTOL CN- 80</t>
  </si>
  <si>
    <t>TEXAPON N 040</t>
  </si>
  <si>
    <t>IMIDAZOLIDINIL UREIA</t>
  </si>
  <si>
    <t>ALOE VERA PO</t>
  </si>
  <si>
    <t>PEG 120 METILGLUCOSEDIOLEATO</t>
  </si>
  <si>
    <t>N-COCOIL L-GLUTAMATO DISSODICO</t>
  </si>
  <si>
    <t>FENOXIETANOL E PARABENOS</t>
  </si>
  <si>
    <t>LAURIL POLIGLICOSE</t>
  </si>
  <si>
    <t>EXTRATO DE CAMOMILA</t>
  </si>
  <si>
    <t>EXTRATO DE ALECRIM</t>
  </si>
  <si>
    <t>CITOQUINAS DO LEITE</t>
  </si>
  <si>
    <t>TIOLISINA COMPLEX 30</t>
  </si>
  <si>
    <t>SEBONORMINE 0P</t>
  </si>
  <si>
    <t>ACIDO CITRICO FARMAC</t>
  </si>
  <si>
    <t>ESSENCIA ESKIMO SII</t>
  </si>
  <si>
    <t>SALCARE SC60</t>
  </si>
  <si>
    <t>ESSENCIA HERBAL FRESH</t>
  </si>
  <si>
    <t>LACTATO DE MENTILA</t>
  </si>
  <si>
    <t>OCTOPIROX</t>
  </si>
  <si>
    <t>IODO PROPINIL BUTIL CARBAMATO</t>
  </si>
  <si>
    <t>CLORETO DE SODIO P/ COSMETICO</t>
  </si>
  <si>
    <t>OLEO DE RICINO HIDROGENADO</t>
  </si>
  <si>
    <t>ENXOFRE SOLUVEL</t>
  </si>
  <si>
    <t>CAPRILOIL GLICINA</t>
  </si>
  <si>
    <t>ACIDO SALICILICO 00340</t>
  </si>
  <si>
    <t>PIRROLIDONA CARBOX. DE ZINCO</t>
  </si>
  <si>
    <t>L-ARGININA INJETAVEL 00646016</t>
  </si>
  <si>
    <t>ANTI - UV (TINOGARD HS)</t>
  </si>
  <si>
    <t>SOLUVIT RICHTER</t>
  </si>
  <si>
    <t>CETEARYL ALCOOL/CETEARETH 33</t>
  </si>
  <si>
    <t>PALMITATE ETHYLHEXYL</t>
  </si>
  <si>
    <t>STEARATE GLYCERYL SG</t>
  </si>
  <si>
    <t>INDUST DOCTAR CREME GRANEL</t>
  </si>
  <si>
    <t>CROTAMITON</t>
  </si>
  <si>
    <t>GLYCOLIQUE ACIDE 57%</t>
  </si>
  <si>
    <t>ACETAMIDE MEA 70%</t>
  </si>
  <si>
    <t>SODIUM SHALE OIL SULFONATE</t>
  </si>
  <si>
    <t>PARF. CAMAFLOR 8237F</t>
  </si>
  <si>
    <t>PPG 1 PEG 9 LAURYL GLYCOL ETHE</t>
  </si>
  <si>
    <t>LACTIQUE ACIDE</t>
  </si>
  <si>
    <t>EUA HAMAMELIS STABILISEE</t>
  </si>
  <si>
    <t>BISABOLOL(ALPHA)SYNTH</t>
  </si>
  <si>
    <t>PARF. SKIN II PY 94574</t>
  </si>
  <si>
    <t>ETHYLHEXYLOXYPHENOL(BIS)METHO</t>
  </si>
  <si>
    <t>BUTYL METHOXY DIBENZOYLMETHANE</t>
  </si>
  <si>
    <t>ALCOOL ESTEARILICO</t>
  </si>
  <si>
    <t>BEHENATE DIGLYCERYL BEHE MEL</t>
  </si>
  <si>
    <t>STEARATE GLY PEG100ST</t>
  </si>
  <si>
    <t>CETYL PHOSPHATE POTASSIUM</t>
  </si>
  <si>
    <t>DICAPRYLYL CARBONATE</t>
  </si>
  <si>
    <t>ADIPATE DIISOPROPYL</t>
  </si>
  <si>
    <t>TEGOSOFT TN</t>
  </si>
  <si>
    <t>GLICERIDES PALM KERNEL HYDROG</t>
  </si>
  <si>
    <t>ACIDO BENZOICO</t>
  </si>
  <si>
    <t>CAPRYL GLYCOL</t>
  </si>
  <si>
    <t>ACRYLATE C10 C30 ALKYL CRPM 21</t>
  </si>
  <si>
    <t>XANTHANE GOMME</t>
  </si>
  <si>
    <t>DRY FLO PC</t>
  </si>
  <si>
    <t>SILICA (LIBELLÉ CHIMIQUE) 692847</t>
  </si>
  <si>
    <t>UVASORB HBE</t>
  </si>
  <si>
    <t>MBBT DECYL GLUCOSIDE MEL</t>
  </si>
  <si>
    <t>PIGMENTO BROYAT HYDROPHIL 692884</t>
  </si>
  <si>
    <t>ALCOOL HIDRATADO DE CEREAIS</t>
  </si>
  <si>
    <t>NICOTINAMIDA</t>
  </si>
  <si>
    <t>MELAVOIDE</t>
  </si>
  <si>
    <t>ACNEOL SR</t>
  </si>
  <si>
    <t>BIOGENIC SA 200</t>
  </si>
  <si>
    <t>LIPOSSOMAS DE RESVERATRIOL</t>
  </si>
  <si>
    <t>SILICONE DC5225C</t>
  </si>
  <si>
    <t>SILICONE DC9040</t>
  </si>
  <si>
    <t>SILICONE DC245</t>
  </si>
  <si>
    <t>EUXYL PE 9010</t>
  </si>
  <si>
    <t>Herbal Control 22.</t>
  </si>
  <si>
    <t>SUNSIL 150H</t>
  </si>
  <si>
    <t>ORGASOL CARESSE</t>
  </si>
  <si>
    <t>SARCOSINATE LAUROYL NA LS30</t>
  </si>
  <si>
    <t>HUILE PEPINS COURGE ENRICHIE</t>
  </si>
  <si>
    <t>METHYL GLUCETH 20</t>
  </si>
  <si>
    <t>SORBATE POLY 20</t>
  </si>
  <si>
    <t>MIRANOL C2M CONC ( COCOAMPHODIACETADE 2NA 38-40%)</t>
  </si>
  <si>
    <t>ELFACOC GT 282 ( CETEARETH-60 MYRISTYL GLYCOL)</t>
  </si>
  <si>
    <t>DECYL GLUCOSIDE</t>
  </si>
  <si>
    <t>INDUSTRIALIZAÇÃO ACTINE FREE SAB LIQUIDO</t>
  </si>
  <si>
    <t>BISNAGA ACTINE SAB LIQ 60ML SLEEVE '</t>
  </si>
  <si>
    <t>CAIXA PAP 036</t>
  </si>
  <si>
    <t>GRANEL ACTINE SAB LIQUIDO</t>
  </si>
  <si>
    <t>FRASCO PET LARANJA 140ML</t>
  </si>
  <si>
    <t>ROT ACTINE SAB. LIQUIDO FRENTE</t>
  </si>
  <si>
    <t>ROT ACTINE SAB. LIQUIDO VERSO</t>
  </si>
  <si>
    <t>VALVULA PRECISÃO DO BRASIL (24/410 SOFT BRANCA)</t>
  </si>
  <si>
    <t>SLEEVE 52mm BOBINA</t>
  </si>
  <si>
    <t>CAIXA 033</t>
  </si>
  <si>
    <t>VALVULA PRECISÃO DO BRASIL (SOFT BRANCA) 24/410 - 240ML</t>
  </si>
  <si>
    <t>FRASCO PET LARANJA 240ML</t>
  </si>
  <si>
    <t>ROT ACTINE SAB LIQ 240ML FRENT</t>
  </si>
  <si>
    <t>ROT ACTINE SAB LIQ 240ML VERSO</t>
  </si>
  <si>
    <t>CAIXA P/ FRASCO DE 240 ML</t>
  </si>
  <si>
    <t>GRANEL ACTINE ESFOLIANTE  1TON</t>
  </si>
  <si>
    <t>BISNAGA ACTINE ESFOLIANTE  60G SLEEVE</t>
  </si>
  <si>
    <t>GRANEL ACTINE PROTETOR SOLAR FPS30</t>
  </si>
  <si>
    <t>BISNAGA ACTINE SOLAR FPS30  60ML SLEEVE</t>
  </si>
  <si>
    <t>CART ACTINE PROTETOR SOLAR</t>
  </si>
  <si>
    <t>CAIXA 031</t>
  </si>
  <si>
    <t>MASSA 100% VEGETAL P/ SABONETE</t>
  </si>
  <si>
    <t>COMPOSTO HIDRATANTE S820A1DV</t>
  </si>
  <si>
    <t>ASTROCARYUM MURUMURU SODIO</t>
  </si>
  <si>
    <t>ACIDO ETIDRONICO</t>
  </si>
  <si>
    <t>ENXOFRE</t>
  </si>
  <si>
    <t>ESSENCIA ACTINE</t>
  </si>
  <si>
    <t>FILME POLIPROPILENO BOPP</t>
  </si>
  <si>
    <t>CARTUCHO ACTINE  SABONETE BARRA 80G P DW</t>
  </si>
  <si>
    <t>CAIXA 087</t>
  </si>
  <si>
    <t>HUILE JOJOBA</t>
  </si>
  <si>
    <t>KARITE BEURRE SB45</t>
  </si>
  <si>
    <t>PARFUM ADELINE 84A</t>
  </si>
  <si>
    <t>CARTUCHO SUAVIE SABONETE BARRA 80G DW</t>
  </si>
  <si>
    <t>GRANEL ACTINE LOÇÃO ADSTRINGENTE</t>
  </si>
  <si>
    <t>FRASCO ACTINE LOCAO ADSTR.</t>
  </si>
  <si>
    <t>TAMPA ACTINE LOCAO ADSTR.</t>
  </si>
  <si>
    <t>CAIXA 040</t>
  </si>
  <si>
    <t>ROTULO ACTINE FREE SAB LIQ</t>
  </si>
  <si>
    <t>CONTRARROTULO ACTINE FREE SAB</t>
  </si>
  <si>
    <t>FRASCO ACTINE FREE 1400ML</t>
  </si>
  <si>
    <t>GRANEL ACTINE FREE SAB LIQ</t>
  </si>
  <si>
    <t>CARTUCHO ACTINE FREE 80G</t>
  </si>
  <si>
    <t>NANO MELALEUCA</t>
  </si>
  <si>
    <t>GRANEL ACTINE TRAT ANTIACNE</t>
  </si>
  <si>
    <t>BISNAGA ACTINE TRAT 30G</t>
  </si>
  <si>
    <t>CAIXA 500</t>
  </si>
  <si>
    <t>CARTUCHO ACTINE  TRAT GEL ANTIACNE 30G P DW</t>
  </si>
  <si>
    <t>GRANEL DOCTAR SHAMPOO</t>
  </si>
  <si>
    <t>FRASCO PET AMBAR DOCTAR 140ML</t>
  </si>
  <si>
    <t>TAMPA FLIP TOP BRANCA DOCTAR</t>
  </si>
  <si>
    <t>ROT DOCTAR SHAMPOO FRENTE</t>
  </si>
  <si>
    <t>ROT DOCTAR SHAMPOO VERSO</t>
  </si>
  <si>
    <t>CAIXA  140ml SHAMPOO</t>
  </si>
  <si>
    <t>GRANEL DOCTAR CREME</t>
  </si>
  <si>
    <t>BISNAGA DOCTAR CREME 100ML</t>
  </si>
  <si>
    <t>CARTUCHO DOCTAR CREME 100ML</t>
  </si>
  <si>
    <t>CLEANANCE GEL GRANEL N.FORMULA</t>
  </si>
  <si>
    <t>BISNAGA CLEANANCE 60ML</t>
  </si>
  <si>
    <t>CAIXA AV 060</t>
  </si>
  <si>
    <t>LAURATE GLYCERIL</t>
  </si>
  <si>
    <t>FIRST DAY HYPO 448941</t>
  </si>
  <si>
    <t>FLOW PACK SABONETE BARRA 80G AV DW DU</t>
  </si>
  <si>
    <t>CARTUCHO CLEANANCE SAB BARRA</t>
  </si>
  <si>
    <t>BULA AVENE CLEAANCE BARRA</t>
  </si>
  <si>
    <t>CAIXA AV CLEANANCE SAB BARRA 80G</t>
  </si>
  <si>
    <t>GRANEL KLINSE SHAMPOO</t>
  </si>
  <si>
    <t>FRASCO PET AZUL KLINSE 140ML</t>
  </si>
  <si>
    <t>TAMPA FLIP TOP AZUL KLINSE</t>
  </si>
  <si>
    <t>ROT KLINSE SHAMPOO FRENTE</t>
  </si>
  <si>
    <t>ROT KLINSE SHAMPOO VERSO</t>
  </si>
  <si>
    <t>GRANEL KLINSE SHAMPOO NEUTRO</t>
  </si>
  <si>
    <t>FRASCO PET BRANCO 140ML</t>
  </si>
  <si>
    <t>ROT KLINSE SHAMPOO NEUTRO FR</t>
  </si>
  <si>
    <t>ROT KLINSE SHAMPOO NEUTRO VER</t>
  </si>
  <si>
    <t>TRICLOROCARBANILIDA - TCC</t>
  </si>
  <si>
    <t>CARTUCHO SOAPELLE  SABONETE BARRA 80G P DW</t>
  </si>
  <si>
    <t>MANTEIGA DE KARITE</t>
  </si>
  <si>
    <t>OLEO DE AMENDOAS</t>
  </si>
  <si>
    <t>AMIDO DE MILHO</t>
  </si>
  <si>
    <t>TITANIUM DIOXIDE</t>
  </si>
  <si>
    <t>PVP K-30</t>
  </si>
  <si>
    <t>PATIONIC 138C</t>
  </si>
  <si>
    <t>SODIUM COCOYL ISETHIONATE</t>
  </si>
  <si>
    <t>ANTI-OXIDANTE FENOLICO</t>
  </si>
  <si>
    <t>D PANTENOL</t>
  </si>
  <si>
    <t>CERAMIDAS SH1%</t>
  </si>
  <si>
    <t>CART SKINSEC SAB BARRA 80G NF</t>
  </si>
  <si>
    <t>GRANEL SKINSEC SAB LIQ</t>
  </si>
  <si>
    <t>ROT SKIN SEC SAB. LIQ. FRENTE</t>
  </si>
  <si>
    <t>ROT SKIN SEC SAB. LIQ. VERSO</t>
  </si>
  <si>
    <t>SKIN SEC LOÇAO HIDRAT. GRANEL</t>
  </si>
  <si>
    <t>VALV. ARC8 PLP24/410 BCA 240ML</t>
  </si>
  <si>
    <t>RÓTULO SKIN SEC LOÇAO HIDRATAN</t>
  </si>
  <si>
    <t>CONTRA RÓTULO SKIN SEC LOÇAO</t>
  </si>
  <si>
    <t>FRASCO PET BRANCO 240ML</t>
  </si>
  <si>
    <t>TAMPA FLIP TOP BRANCA</t>
  </si>
  <si>
    <t>CONTRA RÓTULO SKIN SEC LOÇÃO</t>
  </si>
  <si>
    <t>FRS PET BRANCO OPACO 60ML</t>
  </si>
  <si>
    <t>INDUST. SKIN SEC LOÇÃO 60 ML</t>
  </si>
  <si>
    <t>GRANEL SUAVIE SAB LIQUIDO</t>
  </si>
  <si>
    <t>ROTULO SUAVIE SAB LIQ 140ML P DW</t>
  </si>
  <si>
    <t>CONTRA ROTULO SUAVIE SAB LIQ 140ML P DW</t>
  </si>
  <si>
    <t>BISNAGA SUAVIE SAB LIQ  60ML P DW</t>
  </si>
  <si>
    <t>ROTULO SKINSEC LOC SEM PERFUME</t>
  </si>
  <si>
    <t>C ROTULO SKINSEC LOC S/PERFUME</t>
  </si>
  <si>
    <t>SKINSEC LOC SEM PERFUME GRANEL</t>
  </si>
  <si>
    <t>BISNAGA SUNSAFE FPS30</t>
  </si>
  <si>
    <t>CART SUNSAFE FPS30</t>
  </si>
  <si>
    <t>SUNSAFE P. SOLAR FPS30 GRANEL</t>
  </si>
  <si>
    <t>BISNAGA SUNSAFE FPS60 COLOR</t>
  </si>
  <si>
    <t>CART SUNSAFE FPS60 COLOR</t>
  </si>
  <si>
    <t>SUNSAFE COLOR PS FPS60 GRANEL</t>
  </si>
  <si>
    <t>BISNAGA SUNSAFE FPS30 COLOR</t>
  </si>
  <si>
    <t>CART SUNSAFE FPS30 COLOR</t>
  </si>
  <si>
    <t>SUNSAFE COLOR PS FPS30 GRANEL</t>
  </si>
  <si>
    <t>AVENE SOLAR FPS30 COR GRANEL</t>
  </si>
  <si>
    <t>BISNAGA AVENE SOLAR FPS 30 TT</t>
  </si>
  <si>
    <t>CART AV SOLAR TQ FPS30 COLOR</t>
  </si>
  <si>
    <t>CAIXA PAP SOLARES</t>
  </si>
  <si>
    <t>BULA AVENE SOLAR</t>
  </si>
  <si>
    <t>AVENE SOLAR FPS30 GRANEL</t>
  </si>
  <si>
    <t>BISNAGA AVENE SOLAR FPS 30</t>
  </si>
  <si>
    <t>CART AV SOLAR TQ FPS30</t>
  </si>
  <si>
    <t>ESTRUT. ACTINE PROTETOR SOLAR</t>
  </si>
  <si>
    <t>CAIXA 054</t>
  </si>
  <si>
    <t>ARTE SACHE ACTINE ESFOLIANTE F</t>
  </si>
  <si>
    <t>FLOW PACK ACTINE SABONETE BARRA 16G P DW</t>
  </si>
  <si>
    <t>ARTE SACHE DOCTAR SHAMPOO 10ML</t>
  </si>
  <si>
    <t>ESTRUTURA DOCTAR CREME 10ML</t>
  </si>
  <si>
    <t>FLOW PACK CLEANANCE  SABONETE BARRA 16G P AV</t>
  </si>
  <si>
    <t>AV CAIXA SAB BARRA AG AVENE</t>
  </si>
  <si>
    <t>ARTE SACHE ACTINE LÍQUIDO 5ML</t>
  </si>
  <si>
    <t>ESTRUTURA ACTINE FREE DAB LIQ</t>
  </si>
  <si>
    <t>FLOW PACK ACTINE FREE</t>
  </si>
  <si>
    <t>ESTRUTURA ACTINE TRAT GEL ANTIACNE 5G P DW</t>
  </si>
  <si>
    <t>ARTE SACHE KLINSE SHAMPOO 10ML</t>
  </si>
  <si>
    <t>ARTE SACHE KLINSE N SHAMP 10ML</t>
  </si>
  <si>
    <t>GRANEL SKIN SEC LOÇÃO COM PERFUME</t>
  </si>
  <si>
    <t>ESTRUTURA SACHE SKINSEC LOÇÃO</t>
  </si>
  <si>
    <t>GRANEL SKIN SEC LOÇÃO SEM PERFUME</t>
  </si>
  <si>
    <t>ESTRUTURA SKISEC LOCAO S/PERF.</t>
  </si>
  <si>
    <t>FLOW PACK SOAPELLE  SABONETE BARRA 16G P DW</t>
  </si>
  <si>
    <t>GRANEL SOAPELLE SAB LIQ</t>
  </si>
  <si>
    <t>ARTE SACHE SOAPELLE LÍQUID 5ML</t>
  </si>
  <si>
    <t>ARTE SACHE SKINSEC LÍQUID 5ML</t>
  </si>
  <si>
    <t>FLOW PACK SKINSEC BARRA AG NF</t>
  </si>
  <si>
    <t>FLOW PACK SUAVIE SABONETE BARRA 16G P DW</t>
  </si>
  <si>
    <t>ESTRUTURA SUAVIE SAB LIQ 5ML P DW</t>
  </si>
  <si>
    <t>FRASCO ACTINE LOCAO ADSTR. AG</t>
  </si>
  <si>
    <t>TAMPA ACTINE LOCAO ADSTR. AG</t>
  </si>
  <si>
    <t>INDUST. ACTINE LOCAO ADSTR. AG</t>
  </si>
  <si>
    <t>SUNSAFE P. SOLAR FPS60 GRANEL</t>
  </si>
  <si>
    <t>ESTR SACHET SUNSAFE FPS60</t>
  </si>
  <si>
    <t>ESTR SACHET SUNSAFE FPS30</t>
  </si>
  <si>
    <t>EST SACHET SUNSAFE FPS30 COLOR</t>
  </si>
  <si>
    <t>EST SACHET SUNSAFE FPS60 COLOR</t>
  </si>
  <si>
    <t>ESTR SACHET AV SOLAR FPS30</t>
  </si>
  <si>
    <t>CAIXA PAP SOLARES  SACHET</t>
  </si>
  <si>
    <t>ESTR SACHET AV SOLAR FPS30 TT</t>
  </si>
  <si>
    <t>AVENE SOLAR FPS50 GRANEL</t>
  </si>
  <si>
    <t>ESTR SACHET AV SOLAR FPS50</t>
  </si>
  <si>
    <t>AVENE SOLAR FPS50 COR GRANEL</t>
  </si>
  <si>
    <t>ESTR SACHET AV SOLAR FPS50 TT</t>
  </si>
  <si>
    <t>BISNAGA ACTINE SOLAR FPS30  120 ML SLEEVE</t>
  </si>
  <si>
    <t>CAIXA PAPELAO 120</t>
  </si>
  <si>
    <t>DISODIUM COCOAMPHODIACETATE</t>
  </si>
  <si>
    <t>SODIUM LAUROYL SARCOSINATE</t>
  </si>
  <si>
    <t>CETEARETH 60 MYRISTYL GLYCOL</t>
  </si>
  <si>
    <t>POLYSORBATE 20</t>
  </si>
  <si>
    <t>DECIL GLUCOSIDEO</t>
  </si>
  <si>
    <t>GRANEL ACTINE CONTROL SAB LIQ</t>
  </si>
  <si>
    <t>ROTULO ACTINE CONTROL SAB LIQ</t>
  </si>
  <si>
    <t>CONTRA RÓTULO ACTINE CONTROL SAB LIQ</t>
  </si>
  <si>
    <t>ESTRUTURA ACTINE CONTROL SAB LIQ</t>
  </si>
  <si>
    <t>CARTUCHO ACTINE CONTROL SAB BARRA 80G</t>
  </si>
  <si>
    <t>FLOW PACK ACTINE CONTROL SAB BARRA 16G P DW</t>
  </si>
  <si>
    <t>GRANEL CLEANANCE SOLAR FPS 30</t>
  </si>
  <si>
    <t>BISNAGA CLEANANCE SOLAR SPF 30</t>
  </si>
  <si>
    <t>CARTUCHO CLEANANCE SOLAR SPF 30</t>
  </si>
  <si>
    <t>SACHE CLEANANCE SOLAR FPS30 3ML PF AV</t>
  </si>
  <si>
    <t>GRANEL CLEANANCE SOLAR FPS 50</t>
  </si>
  <si>
    <t>SACHE CLEANANCE SOLAR FPS50+ 3ML PF AV</t>
  </si>
  <si>
    <t>CARTUCHO CLEANANCE SOLAR FPS50+ 50ML PF AV</t>
  </si>
  <si>
    <t>BISNAGA CLEANANCE SOLAR FPS 50</t>
  </si>
  <si>
    <t>CLEANANCE GEL GRANEL 1T</t>
  </si>
  <si>
    <t>ESTRUTURA CLEANANCE GEL 5</t>
  </si>
  <si>
    <t>CLEANANCE GEL GRANEL 3T</t>
  </si>
  <si>
    <t>BISNAGA CLEANANCE GEL 60ML PF AV</t>
  </si>
  <si>
    <t>BISNAGA CLEANANCE GEL 150</t>
  </si>
  <si>
    <t>CAIXA PAP 150</t>
  </si>
  <si>
    <t>FRASCO CLEANANCE GEL 300</t>
  </si>
  <si>
    <t>CAPS DUOCAP JANVIER</t>
  </si>
  <si>
    <t>CAIXA PAP 300</t>
  </si>
  <si>
    <t>HUILE AMANDE DOUCE RAFFINEE</t>
  </si>
  <si>
    <t>L - SERINE</t>
  </si>
  <si>
    <t>BASE SYNDET MI HS 27/21</t>
  </si>
  <si>
    <t>NOYAU ETA GLYCERINE</t>
  </si>
  <si>
    <t>FLOW PACK CLEANANCE HYDRA PAIN  SAB BARRA</t>
  </si>
  <si>
    <t>ZINC COCETH SULFATE</t>
  </si>
  <si>
    <t>NA LAUROYL METHYL ISETHIONATE</t>
  </si>
  <si>
    <t>SODIUM COCOAMPHOACETATE</t>
  </si>
  <si>
    <t>BENZOATE SODIUM</t>
  </si>
  <si>
    <t>PARF. PF617565 E1302515/01 AV</t>
  </si>
  <si>
    <t>COL JAUNE CI 19410</t>
  </si>
  <si>
    <t>1707 - ÁCIDO CÍTRICO MONOHIDRATADO</t>
  </si>
  <si>
    <t>COL VERT TURQUOISE CI 61570</t>
  </si>
  <si>
    <t>BISNAGA ACTINE CONTROL SAB LIQ 60ML SLEEVE</t>
  </si>
  <si>
    <t>BISNAGA SKIN SEC LOÇÃO PERFUME SUAVE</t>
  </si>
  <si>
    <t>CAIXA PAP 200</t>
  </si>
  <si>
    <t>BISNAGA SKIN SEC LOÇÃO S/ PARF</t>
  </si>
  <si>
    <t>FRASCO SKIN SEC LOÇÃO</t>
  </si>
  <si>
    <t>VALVULA SKIN SEC LOÇÃO</t>
  </si>
  <si>
    <t>CAIXA PAP 400</t>
  </si>
  <si>
    <t>NEO HELIOPAN HYDRO</t>
  </si>
  <si>
    <t>EMULGINVL 75</t>
  </si>
  <si>
    <t>DUB ININ</t>
  </si>
  <si>
    <t>UVINUL A PLUS</t>
  </si>
  <si>
    <t>ETHYLHEXYL METHOXYCINNAMATE</t>
  </si>
  <si>
    <t>ESCALOL HMS</t>
  </si>
  <si>
    <t>BISETHYLHEXYLOXYPHENOL METHO.</t>
  </si>
  <si>
    <t>UVINUL T 150</t>
  </si>
  <si>
    <t>UVINUL N539T</t>
  </si>
  <si>
    <t>TINOGARD TS</t>
  </si>
  <si>
    <t>BTH</t>
  </si>
  <si>
    <t>PEMULEN TR2</t>
  </si>
  <si>
    <t>MSS 500 3H SILICA</t>
  </si>
  <si>
    <t>AMIDON MAIS MODIFIE DRY FLO PC</t>
  </si>
  <si>
    <t>SULF CHONDROITINE SOD AVIAIR</t>
  </si>
  <si>
    <t>EXTRAIT LIPIDIQUE DE SOJA</t>
  </si>
  <si>
    <t>SITOSTEROL (BETA) 95%</t>
  </si>
  <si>
    <t>POLOXAMER 188</t>
  </si>
  <si>
    <t>LECITHINE SOJA</t>
  </si>
  <si>
    <t>CAPRIC CAPRYLIC TRIGLY 30 70</t>
  </si>
  <si>
    <t>GLYCERIDES COCO HYDROGENE</t>
  </si>
  <si>
    <t>TOCOPHERYL GLUCOSIDE 50%</t>
  </si>
  <si>
    <t>METHOXYCINNAMATE(p)ETHYLHEXYL</t>
  </si>
  <si>
    <t>OCTOCRILENO</t>
  </si>
  <si>
    <t>DECAMETIL CICLOPENTASILOXANE</t>
  </si>
  <si>
    <t>CARBOMERE K</t>
  </si>
  <si>
    <t>ACRYLATE(POLYMETHYLMET)</t>
  </si>
  <si>
    <t>CHLORPHENESINE PURIFIEE</t>
  </si>
  <si>
    <t>622384 ASCORBYL GLUCOSIDE</t>
  </si>
  <si>
    <t>PENTANOATE NEO ISODECYL</t>
  </si>
  <si>
    <t>CETEARYL ISONONANOATE</t>
  </si>
  <si>
    <t>SILICE COLLOIDALE V300</t>
  </si>
  <si>
    <t>PARF TROPIQUE 53259 ( 403929)</t>
  </si>
  <si>
    <t>GRANEL AVENE TOQUE SECO FPS70</t>
  </si>
  <si>
    <t>BISNAGA AVENE SOLAR TS FPS70</t>
  </si>
  <si>
    <t>CARTUCHO AVENE SOLAR TS FPS70</t>
  </si>
  <si>
    <t>GRANEL AVENE TOQUE SECO FPS70 COLOR</t>
  </si>
  <si>
    <t>BISNAGA AVENE SOLAR TS FPS70 COLOR</t>
  </si>
  <si>
    <t>CARTUCHO AVENE SOLAR TS FPS70 COLOR</t>
  </si>
  <si>
    <t>ÁCIDO SALICÍLICO MERCK</t>
  </si>
  <si>
    <t>ECOEXTRACT ALOE VERA</t>
  </si>
  <si>
    <t>OLEO DE MELALEUCA</t>
  </si>
  <si>
    <t>691861 - Trisodiumethylenediamine Disuccinate</t>
  </si>
  <si>
    <t>ESS. CALMING THERAPY EAF24392</t>
  </si>
  <si>
    <t>692539 - MIRACARE SLB 205 W</t>
  </si>
  <si>
    <t>117318 - COCAMIDE MONOISOPROPOLAMIDE</t>
  </si>
  <si>
    <t>DIPROPILENOGLICOL</t>
  </si>
  <si>
    <t>ALKONIX SC</t>
  </si>
  <si>
    <t>HOSTAPON CCG</t>
  </si>
  <si>
    <t>GENAPOL EGL</t>
  </si>
  <si>
    <t>ESSENCIA CHA VERDE</t>
  </si>
  <si>
    <t>GENAMIN PQ7</t>
  </si>
  <si>
    <t>PHYTOLAIT CHA VERDE</t>
  </si>
  <si>
    <t>CARTUCHO CLEANANCE HYDRA PAIN SAB BARRA</t>
  </si>
  <si>
    <t>SODIUM COCOYL ISETHIONATE MEL</t>
  </si>
  <si>
    <t>WHITE BEESWAX</t>
  </si>
  <si>
    <t>CETYL ALCOHOL</t>
  </si>
  <si>
    <t>HUILE PALME ETHOXYLEE</t>
  </si>
  <si>
    <t>PARF. SURGRAS 401439 E1301981</t>
  </si>
  <si>
    <t>FLOW PACK CLEANANCE BARRA 80G</t>
  </si>
  <si>
    <t>CARTUCHO TRIXERA SABONETE BARRA FAMILIA 80G P AV</t>
  </si>
  <si>
    <t>BULA TRIXERA SABONETE BARRA AV P</t>
  </si>
  <si>
    <t>FLOW PACK TRIXERA SABONETE BARRA 16G P AV</t>
  </si>
  <si>
    <t>ESTRUTURA AVENE SOLAR TS FPS70</t>
  </si>
  <si>
    <t>ESTRUTURA AVENE SOLAR TS FPS70 COLOR</t>
  </si>
  <si>
    <t>1702 VASELINA BRANCA QUALIDADE A</t>
  </si>
  <si>
    <t>12748 ÁCIDO ESTEÁRICO 50 PASTILHAS</t>
  </si>
  <si>
    <t>1826 HUILE SILICONE DM350</t>
  </si>
  <si>
    <t>6444 MACROGOL 600P</t>
  </si>
  <si>
    <t>1836 TRIETANOLAMINA</t>
  </si>
  <si>
    <t>110858 ETHYLHEXYLGLYCERINE</t>
  </si>
  <si>
    <t>613925 PENTYLENE GLYCOL</t>
  </si>
  <si>
    <t>SEPINEO P600</t>
  </si>
  <si>
    <t>23462 CARBOPOL 980</t>
  </si>
  <si>
    <t>ALANTOÍNA</t>
  </si>
  <si>
    <t>CARBOPOL U20</t>
  </si>
  <si>
    <t>DIBUTYL ADIPATE</t>
  </si>
  <si>
    <t>DC EP 9801 HIDRO COSMETIC POWDER</t>
  </si>
  <si>
    <t>DIÓXIDO DE TITÂNIO MICRO</t>
  </si>
  <si>
    <t>COCO-CAPRYLATE/CAPRATE</t>
  </si>
  <si>
    <t>SODIUM STEAROYL GLUTAMATE</t>
  </si>
  <si>
    <t>METHILAN GMS AE</t>
  </si>
  <si>
    <t>PEMULEN TR-1</t>
  </si>
  <si>
    <t>SENSIVA SC 10</t>
  </si>
  <si>
    <t>SEPICONTROL A5</t>
  </si>
  <si>
    <t>SEPIMAT CP 5</t>
  </si>
  <si>
    <t>SKIN COLOR AMARELO 6</t>
  </si>
  <si>
    <t>SKIN COLOR CARAMELO</t>
  </si>
  <si>
    <t>SKIN COLOR MÉDIO ESCURO</t>
  </si>
  <si>
    <t>NYLON 12</t>
  </si>
  <si>
    <t>P REFINYL BSP</t>
  </si>
  <si>
    <t>TEGOSOFT GM6</t>
  </si>
  <si>
    <t>HEXILENEGLICOL</t>
  </si>
  <si>
    <t>GRANEL Aqua-fluido com cor MAT PERFECT FPS30 AV</t>
  </si>
  <si>
    <t>SACHE AQUA-FLUIDO COM COR MAT PERFECT 30 3ML PF AV</t>
  </si>
  <si>
    <t>BISNAGA AQUA-FLUIDO COM COR MAT PERFECT 30 50ML PF AV</t>
  </si>
  <si>
    <t>CARTUCHO AQUA-FLUIDO COM COR MAT PERFECT 30 50ML PF AV</t>
  </si>
  <si>
    <t>CAIXA BISNAGA 50ML D30 C/CART 12UN</t>
  </si>
  <si>
    <t>GRANEL Aqua-fluido MAT PERFECT FPS30 AV</t>
  </si>
  <si>
    <t>SACHE AQUA-FLUIDO MAT PERFECT 30 3ML PF AV</t>
  </si>
  <si>
    <t>BISNAGA AQUA-FLUIDO MAT PERFECT 30 50ML PF AV</t>
  </si>
  <si>
    <t>CARTUCHO AQUA-FLUIDO MAT PERFECT 30 50ML PF AV</t>
  </si>
  <si>
    <t>ESTRUTURA CLEANANCE SOLAR FPS30</t>
  </si>
  <si>
    <t>GRANEL CLEANANCE SOLAR FPS30 AV</t>
  </si>
  <si>
    <t>BISNAGA CLEANANCE SOLAR FPS30 50ML PF AV</t>
  </si>
  <si>
    <t>CARTUCHO CLEANANCE SOLAR FPS30 50ML PF AV</t>
  </si>
  <si>
    <t>GRANEL Fluido com cor MAT PERFECT FPS60 AV</t>
  </si>
  <si>
    <t>SACHE FLUIDO COM COR MAT PERFECT 60 3ML PF AV</t>
  </si>
  <si>
    <t>BISNAGA FLUIDO COM COR MAT PERFECT 60 50ML PF AV</t>
  </si>
  <si>
    <t>CARTUCHO FLUIDO COM COR MAT PERFECT 60 50ML PF AV</t>
  </si>
  <si>
    <t>GRANEL Fluido MAT PERFECT FPS60 AV</t>
  </si>
  <si>
    <t>SACHE FLUIDO MAT PERFECT 60 3ML PF AV</t>
  </si>
  <si>
    <t>BISNAGA FLUIDO MAT PERFECT 60 50ML PF AV</t>
  </si>
  <si>
    <t>CARTUCHO FLUIDO MAT PERFECT 60 50ML PF AV</t>
  </si>
  <si>
    <t>GRANEL AV TRIXERA BAUME</t>
  </si>
  <si>
    <t>SACHE TRIXERA NUTRI-FLUIDA 10ML PF AV</t>
  </si>
  <si>
    <t>FRASCO TRIXERA NUTRI-FLUIDA 400ML PF AV</t>
  </si>
  <si>
    <t>VÁLVULA BICO DE PATO 28/410 BRANCA C/ CLIP</t>
  </si>
  <si>
    <t>CAIXA FRASCO 400ML SEM CARTUCHO 12UN</t>
  </si>
  <si>
    <t>BISNAGA TRIXERA NUTRI-FLUIDA 200ML PF AV</t>
  </si>
  <si>
    <t>CAIXA BISNAGA 200ML SEM CARTUCHO 12UN</t>
  </si>
  <si>
    <t>GRANEL AV TRIXERA LAIT</t>
  </si>
  <si>
    <t>SACHE TRIXERA HYDRA-FLUIDA 10ML PF AV</t>
  </si>
  <si>
    <t>BISNAGA TRIXERA HYDRA-FLUIDA 200ML PF AV</t>
  </si>
  <si>
    <t>FRASCO TRIXERA HYDRA-FLUIDA 400ML PF AV</t>
  </si>
  <si>
    <t>VÁLVULA TRIXERA HYDRA-FLUIDA CORAL PF AV</t>
  </si>
  <si>
    <t>FRASCO ACTINE MICELAR 10ML AG P DW</t>
  </si>
  <si>
    <t>ACTINE LOÇÃO MICELAR</t>
  </si>
  <si>
    <t>INDUST ACTINE LOÇÃO MICELAR 10ML</t>
  </si>
  <si>
    <t>FRASCO ACTINE MICELAR 200ML P DW</t>
  </si>
  <si>
    <t>SACHE ACTINE SOLAR PELE CLARA FPS30 5ML</t>
  </si>
  <si>
    <t>GRANEL ACTINE SOLAR FPS30 COLOR</t>
  </si>
  <si>
    <t>BISNAGA ACTINE SOLAR PELE CLARA FPS30 50ML P DW</t>
  </si>
  <si>
    <t>CARTUCHO ACTINE SOLAR PELE CLARA FPS30 50ML P DW</t>
  </si>
  <si>
    <t>BISNAGA ACTINE SOLAR PELE MORENA FPS30 50ML P DW</t>
  </si>
  <si>
    <t>CARTUCHO ACTINE SOLAR PELE MORENA FPS30 50ML P DW</t>
  </si>
  <si>
    <t>GRANEL ACTINE SOLAR FPS30 COLOR PELE MORENA</t>
  </si>
  <si>
    <t>SACHE ACTINE SOLAR PELE MORENA FPS30 5ML P DW</t>
  </si>
  <si>
    <t>SACHE ACTINE SOLAR FPS70 5ML P DW</t>
  </si>
  <si>
    <t>GRANEL ACTINE PROTETOR SOLAR FPS70</t>
  </si>
  <si>
    <t>BISNAGA ACTINE SOLAR FPS70 50ML P DW</t>
  </si>
  <si>
    <t>CARTUCHO ACTINE SOLAR FPS70 50ML P DW</t>
  </si>
  <si>
    <t>DW GRANEL DOCTAR SENSI SHAMPOO</t>
  </si>
  <si>
    <t>ESTRUTURA DOCTAR SENSI SHAMPOO 8ML P DW</t>
  </si>
  <si>
    <t>BISNAGA DOCTAR SENSI SHAMPOO 120ML P DW</t>
  </si>
  <si>
    <t>ESTRUTURA ANAPHASE SHAMPOO 8ML PF DU</t>
  </si>
  <si>
    <t>DU GRANEL ANAPHASE SHAMPOO</t>
  </si>
  <si>
    <t>ESTRUTURA EXTRA-DOUX SHAMPOO 8ML PF DU</t>
  </si>
  <si>
    <t>DU GRANEL EXTRA DOUX   SHAMPOO</t>
  </si>
  <si>
    <t>ESTRUTURA KELUAL DS SHAMPOO 8ML PF DU</t>
  </si>
  <si>
    <t>DU GRANEL KELUAL DS SHAMPOO</t>
  </si>
  <si>
    <t>GRANEL DUCRAY KERACNYL FOAMING GEL</t>
  </si>
  <si>
    <t>ESTRUTURA KERACNYL GEL 5ML PF DU</t>
  </si>
  <si>
    <t>BISNAGA KERACNYL GEL 60ML PF DU</t>
  </si>
  <si>
    <t>BISNAGA KERACNYL GEL 150ML PF DU</t>
  </si>
  <si>
    <t>ESTRUTURA KERTYOL PSO SHAMPOO 8ML PF DU</t>
  </si>
  <si>
    <t>DU GRANEL KERTYOL PSO SHAMPOO</t>
  </si>
  <si>
    <t>ESTRUTURA SENSINOL SHAMPOO 8ML PF DU</t>
  </si>
  <si>
    <t>DU GRANEL SENSINOL SHAMPOO</t>
  </si>
  <si>
    <t>ESTRUTURA SQUANORM SHAMPOO 8ML PF DU</t>
  </si>
  <si>
    <t>DU GRANEL SQUANORM  SHAMPOO PELLICULES SÈCHES</t>
  </si>
  <si>
    <t>SACHE SUNSAFE PROT SOLAR FPS60 3ML P DW</t>
  </si>
  <si>
    <t>SACHE SUNSAFE PROT SOLAR FPS60 COLOR 3ML P DW</t>
  </si>
  <si>
    <t>SACHE NUTRIOL LOÇÃO HIDRATANTE C/ PERF 8ML NCG18 P DW</t>
  </si>
  <si>
    <t>GRANEL NUTRIOL LOÇÃO HIDRATANTE COM PERFUME E PARABENOS</t>
  </si>
  <si>
    <t>BISNAGA NUTRIOL LOÇÃO HIDRATANTE C/ PERF 200ML NCG18 P DW</t>
  </si>
  <si>
    <t>SACHE NUTRIOL LOÇÃO HIDRATANTE S/ PERF 8ML NCG18 P DW</t>
  </si>
  <si>
    <t>GRANEL NUTRIOL LOÇÃO HIDRATANTE SEM PERFUME</t>
  </si>
  <si>
    <t>BISNAGA NUTRIOL LOÇÃO HIDRATANTE S/ PERF 200ML NCG18 P DW</t>
  </si>
  <si>
    <t>FRASCO NUTRIOL LOÇÃO HIDRATANTE S/ PERF 400ML NCG18 P DW</t>
  </si>
  <si>
    <t>VÁLVULA BICO DE PATO 28/410 AZUL C/CLIP</t>
  </si>
  <si>
    <t>SACHE DOCTAR SHAMPOO 8ML NCG18 P DW</t>
  </si>
  <si>
    <t>GRANEL DOCTAR SHAMPOO REFORMULAÇÃO</t>
  </si>
  <si>
    <t>TAMPA FLIP TOP 24/410 BRANCA LUPLASTIC DARROW 140ML DW</t>
  </si>
  <si>
    <t>ROTULO DOCTAR SHAMPOO 140ML NCG18 P DW</t>
  </si>
  <si>
    <t>CONTRA-ROTULO DOCTAR SHAMPOO 140ML NCG18 P DW</t>
  </si>
  <si>
    <t>FLOW PACK SUAVIE SAB BARRA 16G NCG18 P DW</t>
  </si>
  <si>
    <t>CARTUCHO SUAVIE SAB BARRA 80G NCG18 P DW</t>
  </si>
  <si>
    <t>SACHE SUAVIE SAB LIQUIDO 5ML NCG18 P DW</t>
  </si>
  <si>
    <t>BISNAGA SUAVIE SAB LIQUIDO 60ML NCG18 P DW</t>
  </si>
  <si>
    <t>SLEEVE PET TRANSPARENTE</t>
  </si>
  <si>
    <t>ROTULO SUAVIE SAB LIQUIDO 140ML NCG18 P DW</t>
  </si>
  <si>
    <t>CONTRA-ROTULO SUAVIE SAB LIQUIDO 140ML NCG18 P DW</t>
  </si>
  <si>
    <t>FLOW PACK NUTRIOL SAB BARRA 16G NCG18 P DW</t>
  </si>
  <si>
    <t>CARTUCHO NUTRIOL SAB BARRA 80G NCG18 P DW</t>
  </si>
  <si>
    <t>SACHE NUTRIOL SAB LIQUIDO 5ML NCG18 P DW</t>
  </si>
  <si>
    <t>GRANEL NUTRIOL SABONETE LIQUIDO</t>
  </si>
  <si>
    <t>CONTRA-ROTULO NUTRIOL SAB LIQUIDO 140ML NCG18 P DW</t>
  </si>
  <si>
    <t>ROTULO NUTRIOL SAB LIQUIDO 140ML NCG18 P DW</t>
  </si>
  <si>
    <t>BISNAGA ACTINE TRAT 30G NCG18 P DW</t>
  </si>
  <si>
    <t>CARTUCHO ACTINE TRAT 30G NCG18 P DW</t>
  </si>
  <si>
    <t>SACHE ACTINE TRAT 3G NCG18 P DW</t>
  </si>
  <si>
    <t>SACHE SUNSAFE PROT SOLAR FPS30 3ML NCG18 P DW</t>
  </si>
  <si>
    <t>CARTUCHO SUNSAFE PROT SOLAR FPS30 50ML NCG18 P DW</t>
  </si>
  <si>
    <t>BISNAGA SUNSAFE PROT SOLAR FPS30 50ML NCG18 P DW</t>
  </si>
  <si>
    <t>SACHE SUNSAFE PROT SOLAR FPS30 COLOR 3ML NCG18 P DW</t>
  </si>
  <si>
    <t>CARTUCHO SUNSAFE PROT SOLAR FPS30 COLOR 50ML NCG18 P DW</t>
  </si>
  <si>
    <t>BISNAGA SUNSAFE PROT SOLAR FPS30 COLOR 50ML NCG18 P DW</t>
  </si>
  <si>
    <t>CARTUCHO SUNSAFE PROT SOLAR FPS60 50ML NCG18 P DW</t>
  </si>
  <si>
    <t>BISNAGA SUNSAFE PROT SOLAR FPS60 50ML NCG18 P DW</t>
  </si>
  <si>
    <t>CARTUCHO SUNSAFE PROT SOLAR FPS60 COLOR 50ML NCG18 P DW</t>
  </si>
  <si>
    <t>BISNAGA SUNSAFE PROT SOLAR FPS60 COLOR 50ML NCG18 P DW</t>
  </si>
  <si>
    <t>SACHE ACTINE ESFOLIANTE 5G NCG18 P DW</t>
  </si>
  <si>
    <t>BISNAGA ACTINE ESFOLIANTE 60G NCG18 P DW</t>
  </si>
  <si>
    <t>FLOW PACK ACTINE CONTROL SAB BARRA NF 16G P DW</t>
  </si>
  <si>
    <t>NANOMELALEUCA LV N</t>
  </si>
  <si>
    <t>SACHE ACTINE CONTROL SAB LIQUIDO 5ML NCG18 P DW</t>
  </si>
  <si>
    <t>CARTUCHO ACTINE CONTROL SAB BARRA NF 80G P DW</t>
  </si>
  <si>
    <t>BISNAGA ACTINE CONTROL SAB LIQUIDO 60ML NCG18 P DW</t>
  </si>
  <si>
    <t>CONTRA-ROTULO ACTINE CONTROL SAB LIQUIDO 140ML NCG18 P DW</t>
  </si>
  <si>
    <t>ROTULO ACTINE CONTROL SAB LIQUIDO 140ML NCG18 P DW</t>
  </si>
  <si>
    <t>FLOW PACK ACTINE SAB BARRA 16G NCG18 P DW</t>
  </si>
  <si>
    <t>CARTUCHO ACTINE SAB BARRA 80G NCG18 P DW</t>
  </si>
  <si>
    <t>BISNAGA ACTINE SAB LIQUIDO 60ML NCG18 P DW</t>
  </si>
  <si>
    <t>ROTULO ACTINE SAB LIQUIDO 140ML NCG18 P DW</t>
  </si>
  <si>
    <t>CONTRA-ROTULO ACTINE SAB LIQUIDO 140ML NCG18 P DW</t>
  </si>
  <si>
    <t>SACHE ACTINE SAB LIQUIDO 5ML NCG18 P DW</t>
  </si>
  <si>
    <t>CONTRA-ROTULO ACTINE SAB LIQUIDO 240ML NCG18 P DW</t>
  </si>
  <si>
    <t>ROTULO ACTINE SAB LIQUIDO 240ML NCG18 P DW</t>
  </si>
  <si>
    <t>FRASCO ACTINE SAB LIQ 400ML P DW</t>
  </si>
  <si>
    <t>FLOW PACK SOAPELLE SAB BARRA 16G NCG18 P DW</t>
  </si>
  <si>
    <t>CARTUCHO SOAPELLE SAB BARRA 80G NCG18 P DW</t>
  </si>
  <si>
    <t>SACHE SOAPELLE SAB LIQUIDO 5ML NCG18 P DW</t>
  </si>
  <si>
    <t>CONTRA-ROTULO SOAPELLE SAB LIQUIDO 140ML NCG18 P DW</t>
  </si>
  <si>
    <t>ROTULO SOAPELLE SAB LIQUIDO 140ML NCG18 P DW</t>
  </si>
  <si>
    <t>GRANEL KLINSE SHP NF</t>
  </si>
  <si>
    <t>SACHE KLINSE SHAMPOO 8ML NCG18 P DW</t>
  </si>
  <si>
    <t>TAMPA FLIP TOP 24/410 AZUL LUPLASTIC DARROW 140ML DW</t>
  </si>
  <si>
    <t>ROTULO KLINSE SHAMPOO 140ML NCG18 P DW</t>
  </si>
  <si>
    <t>CONTRA-ROTULO KLINSE SHAMPOO 140ML NCG18 P DW</t>
  </si>
  <si>
    <t>SACHE KLINSE NEUTRO SHAMPOO 8ML NCG18 P DW</t>
  </si>
  <si>
    <t>ROTULO KLINSE NEUTRO SHAMPOO 140ML NCG18 P DW</t>
  </si>
  <si>
    <t>CONTRA-ROTULO KLINSE NEUTRO SHAMPOO 140ML NCG18 P DW</t>
  </si>
  <si>
    <t>SACHE ACTINE PROT SOLAR FPS30 3ML NR P DW</t>
  </si>
  <si>
    <t>BISNAGA ACTINE PROT SOLAR FPS30 60ML NR P DW</t>
  </si>
  <si>
    <t>CARTUCHO ACTINE PROT SOLAR FPS30 60ML NR P DW</t>
  </si>
  <si>
    <t>BISNAGA ACTINE PROT SOLAR FPS30 120ML NR P DW</t>
  </si>
  <si>
    <t>SACHE DOCTAR CREME 5ML NCG18 P DW</t>
  </si>
  <si>
    <t>BISNAGA DOCTAR CREME 100ML NCG18 P DW</t>
  </si>
  <si>
    <t>CARTUCHO DOCTAR CREME 100ML NCG18 P DW</t>
  </si>
  <si>
    <t>CAIXA BISNAGA 100ML C/CART 12UN</t>
  </si>
  <si>
    <t>FRASCO ACTINE LOÇÃO ADSTRINGENTE 190ML NCG18 P DW</t>
  </si>
  <si>
    <t>BISNAGA ANAPHASE SHAMPOO 200ML PEF DU</t>
  </si>
  <si>
    <t>BISNAGA ANAPHASE SHAMPOO 100ML PEF DU</t>
  </si>
  <si>
    <t>CAIXA BISNAGA 100ML D40 S/CART 12UN</t>
  </si>
  <si>
    <t>SACHE SUNSAFE PROT SOLAR FPS60 3ML NCG18 P DW</t>
  </si>
  <si>
    <t>SACHE SUNSAFE PROT SOLAR FPS60 COLOR 3ML NCG18 P DW</t>
  </si>
  <si>
    <t>CARTUCHO KELUAL DS SHAMPOO 100ML PEF DU</t>
  </si>
  <si>
    <t>BISNAGA KELUAL DS SHAMPOO 100ML PEF DU</t>
  </si>
  <si>
    <t>CARTUCHO KERTYOL PSO SHAMPOO 100ML PEF DU</t>
  </si>
  <si>
    <t>BISNAGA KERTYOL PSO SHAMPOO 100ML</t>
  </si>
  <si>
    <t>692920 OTZ 10</t>
  </si>
  <si>
    <t>25755 PVP/EICOSENE COPM 30-70</t>
  </si>
  <si>
    <t>692495 1,2 HEXANEDIOL</t>
  </si>
  <si>
    <t>692675 PARF. PF403929 E130277705</t>
  </si>
  <si>
    <t>693137 CAPR.GLY 1 / ETA 99</t>
  </si>
  <si>
    <t>INDUSTRIALIZAÇÃO GRANEL CLEANANCE 50+</t>
  </si>
  <si>
    <t>692542 ASCOPHYSCIENT</t>
  </si>
  <si>
    <t>INDUSTRIALIZAÇÃO AV GRANEL CREME 50+  ANTI AGE</t>
  </si>
  <si>
    <t>FLOW PACK TRIXERA SABONETE BARRA FAMILIA 16G P AV</t>
  </si>
  <si>
    <t>INDUSTRIALIZAÇÃO GRANEL ACTINE ANTI ACNE FPS30</t>
  </si>
  <si>
    <t>INDUSTRIALIZAÇÃO GRANEL ACTINE ANTI ACNE FPS60</t>
  </si>
  <si>
    <t>ROTULO ACTINE SAB LIQUIDO 240ML 20% P DW</t>
  </si>
  <si>
    <t>CONTRA-ROTULO ACTINE SAB LIQUIDO 240ML 20% P DW</t>
  </si>
  <si>
    <t>AV GRANEL PHYSIOLIFT CREME NOITE</t>
  </si>
  <si>
    <t>ESTRUTURA PHYSIOLIFT NUIT 2ML PF AV</t>
  </si>
  <si>
    <t>AV GRANEL PHYSIOLIFT CREME PARA OLHOS</t>
  </si>
  <si>
    <t>ESTRUTURA PHYSIOLIFT YEUX 2ML PF AV</t>
  </si>
  <si>
    <t>ESTRUTURA FLUIDO ANTI ACNE MAT P FPS60 3G PF AV</t>
  </si>
  <si>
    <t>AV GRANEL FLUIDO ANTI ACNE MAT PERFECT FPS50</t>
  </si>
  <si>
    <t>BISNAGA FLUIDO ANTI ACNE MAT P FPS60 40G PF AV</t>
  </si>
  <si>
    <t>CARTUCHO FLUIDO ANTI ACNE MAT P FPS60 40G PF AV</t>
  </si>
  <si>
    <t>12242 HUILE CARTHAME HYBRIDE</t>
  </si>
  <si>
    <t>113636 HUILE ONAGRE</t>
  </si>
  <si>
    <t>408000 HUILE OLIVE VIERGE</t>
  </si>
  <si>
    <t>620681 HUILE CAMELINE</t>
  </si>
  <si>
    <t>692531 PARF SOIN PRECIEUX E_1126170</t>
  </si>
  <si>
    <t>ESTRUTURA NUTRIOL HIDRAT C/ PERF SP 8ML P DW</t>
  </si>
  <si>
    <t>GRANEL NUTRIOL LOÇÃO COM PERFUME E SEM PARABENOS</t>
  </si>
  <si>
    <t>BISNAGA NUTRIOL HIDRAT C/ PERF SP 200ML P DW</t>
  </si>
  <si>
    <t>FRASCO NUTRIOL HIDRAT S/ PERF SP 400ML P DW</t>
  </si>
  <si>
    <t>GRANEL NUTRIOL LOÇÃO SEM PERFUME E SEM PARABENOS</t>
  </si>
  <si>
    <t>ESTRUTURA NUTRIOL HIDRAT S/ PERF SP 8ML P DW</t>
  </si>
  <si>
    <t>BISNAGA NUTRIOL HIDRAT S/ PERF SP 200ML P DW</t>
  </si>
  <si>
    <t>ESTRUTURA ACTINE MASCARA ESFOLIANTE 5ML P DW</t>
  </si>
  <si>
    <t>GRANEL ACTINE MASCARA ESFOLIANTE</t>
  </si>
  <si>
    <t>BISNAGA ACTINE SOLAR ANTI ACNE FPS60 40G P DW</t>
  </si>
  <si>
    <t>CARTUCHO ACTINE SOLAR ANTI ACNE FPS60 40G P DW</t>
  </si>
  <si>
    <t>GRANEL ACTINE ANTI ACNE FPS60</t>
  </si>
  <si>
    <t>ESTRUTURA ACTINE SOLAR ANTI ACNE FPS60 3G P DW</t>
  </si>
  <si>
    <t>BISNAGA ACTINE SOLAR ANTI ACNE FPS30 40G P DW</t>
  </si>
  <si>
    <t>CARTUCHO ACTINE SOLAR ANTI ACNE FPS30 40G P DW</t>
  </si>
  <si>
    <t>GRANEL ACTINE ANTI ACNE FPS30</t>
  </si>
  <si>
    <t>ESTRUTURA ACTINE SOLAR ANTI ACNE FPS30 3G P DW</t>
  </si>
  <si>
    <t>C47-060 SUNCROMA TITANIUM DIOXIDE</t>
  </si>
  <si>
    <t>8301 CETEARETH-20</t>
  </si>
  <si>
    <t>10101 HECTORITE</t>
  </si>
  <si>
    <t>IMERCARE 2KS</t>
  </si>
  <si>
    <t>119992 AMINO CHELATE ZINC 20%</t>
  </si>
  <si>
    <t>603101 DEXPANTHENOL</t>
  </si>
  <si>
    <t>629928 EAU DISTILLEE HAMAMELIS</t>
  </si>
  <si>
    <t>692528 PARF.EVANESCENCE E_1116944/01</t>
  </si>
  <si>
    <t>692799 CELLULOSE ACETATE 300</t>
  </si>
  <si>
    <t>692800 CELLULOSE ACETATE 500</t>
  </si>
  <si>
    <t>692899 UNICERT BLUE 05601 J</t>
  </si>
  <si>
    <t>692900 UNICERT GREEN 06503-J</t>
  </si>
  <si>
    <t>692905 COL.FD&amp;C YELLOW 5 CI19140</t>
  </si>
  <si>
    <t>INDUSTRIALIZAÇÃO ACTINE MASCARA ESFOLIANTE</t>
  </si>
  <si>
    <t>CARTUCHO ACTINE SAB BARRA 20% 80G  DW</t>
  </si>
  <si>
    <t>ROTULO DOCTAR SHAMPOO 140ML 20% P DW</t>
  </si>
  <si>
    <t>CONTRA-ROTULO DOCTAR SHAMPOO 140ML 20% P DW</t>
  </si>
  <si>
    <t>BISNAGA EMULSÃO SOLAR TOQUE SECO COR FPS70 40G PF AV</t>
  </si>
  <si>
    <t>CARTUCHO EMULSÃO SOLAR TOQUE SECO COR FPS70 40G PF AV</t>
  </si>
  <si>
    <t>FOLHETO EXPLICATIVO AVENE SOLAR PEF AV</t>
  </si>
  <si>
    <t>BISNAGA EMULSÃO SOLAR TOQUE SECO FPS70 40G PF AV</t>
  </si>
  <si>
    <t>CARTUCHO EMULSÃO SOLAR TOQUE SECO FPS70 40G PF AV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</si>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</sst>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8"/>
      <color theme="1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5">
    <xf numFmtId="0" fontId="0" fillId="0" borderId="0" xfId="0"/>
    <xf numFmtId="49" fontId="0" fillId="0" borderId="0" xfId="0" applyNumberFormat="1"/>
    <xf numFmtId="0" fontId="18" fillId="33" borderId="10" xfId="0" applyFont="1" applyFill="1" applyBorder="1" applyAlignment="1">
      <alignment horizontal="center" vertical="top" wrapText="1" readingOrder="1"/>
    </xf>
    <xf numFmtId="0" fontId="20" fillId="0" borderId="10" xfId="42" applyFont="1" applyBorder="1" applyAlignment="1">
      <alignment vertical="top" wrapText="1" readingOrder="1"/>
    </xf>
    <xf numFmtId="0" fontId="21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46"/>
  <sheetViews>
    <sheetView topLeftCell="D1" workbookViewId="0">
      <selection activeCell="G1" sqref="G1:G2246"/>
    </sheetView>
  </sheetViews>
  <sheetFormatPr defaultRowHeight="15" x14ac:dyDescent="0.25"/>
  <cols>
    <col min="1" max="3" width="0" hidden="1" customWidth="1"/>
  </cols>
  <sheetData>
    <row r="1" spans="1:7" x14ac:dyDescent="0.25">
      <c r="A1" s="1" t="s">
        <v>1143</v>
      </c>
      <c r="B1" s="1" t="s">
        <v>1144</v>
      </c>
      <c r="C1" s="1" t="s">
        <v>0</v>
      </c>
      <c r="D1" t="str">
        <f>IFERROR(VLOOKUP(A1,depara!A:B,2,0),A1)</f>
        <v>7010452</v>
      </c>
      <c r="E1">
        <f>VLOOKUP(B1,'inumos depara'!$A:$B,2,0)</f>
        <v>16298556</v>
      </c>
      <c r="F1" s="1" t="str">
        <f>C1</f>
        <v>0.05</v>
      </c>
      <c r="G1" t="str">
        <f>D1&amp;","&amp;E1&amp;","&amp;F1</f>
        <v>7010452,16298556,0.05</v>
      </c>
    </row>
    <row r="2" spans="1:7" x14ac:dyDescent="0.25">
      <c r="A2" s="1" t="s">
        <v>1143</v>
      </c>
      <c r="B2" s="1" t="s">
        <v>1145</v>
      </c>
      <c r="C2" s="1" t="s">
        <v>1</v>
      </c>
      <c r="D2" t="str">
        <f>IFERROR(VLOOKUP(A2,depara!A:B,2,0),A2)</f>
        <v>7010452</v>
      </c>
      <c r="E2">
        <f>VLOOKUP(B2,'inumos depara'!$A:$B,2,0)</f>
        <v>16298557</v>
      </c>
      <c r="F2" s="1" t="str">
        <f t="shared" ref="F2:F65" si="0">C2</f>
        <v>0.003</v>
      </c>
      <c r="G2" t="str">
        <f t="shared" ref="G2:G65" si="1">D2&amp;","&amp;E2&amp;","&amp;F2</f>
        <v>7010452,16298557,0.003</v>
      </c>
    </row>
    <row r="3" spans="1:7" x14ac:dyDescent="0.25">
      <c r="A3" s="1" t="s">
        <v>1143</v>
      </c>
      <c r="B3" s="1" t="s">
        <v>1146</v>
      </c>
      <c r="C3" s="1" t="s">
        <v>2</v>
      </c>
      <c r="D3" t="str">
        <f>IFERROR(VLOOKUP(A3,depara!A:B,2,0),A3)</f>
        <v>7010452</v>
      </c>
      <c r="E3">
        <f>VLOOKUP(B3,'inumos depara'!$A:$B,2,0)</f>
        <v>16298558</v>
      </c>
      <c r="F3" s="1" t="str">
        <f t="shared" si="0"/>
        <v>0.0007</v>
      </c>
      <c r="G3" t="str">
        <f t="shared" si="1"/>
        <v>7010452,16298558,0.0007</v>
      </c>
    </row>
    <row r="4" spans="1:7" x14ac:dyDescent="0.25">
      <c r="A4" s="1" t="s">
        <v>1143</v>
      </c>
      <c r="B4" s="1" t="s">
        <v>1147</v>
      </c>
      <c r="C4" s="1" t="s">
        <v>0</v>
      </c>
      <c r="D4" t="str">
        <f>IFERROR(VLOOKUP(A4,depara!A:B,2,0),A4)</f>
        <v>7010452</v>
      </c>
      <c r="E4">
        <f>VLOOKUP(B4,'inumos depara'!$A:$B,2,0)</f>
        <v>16298559</v>
      </c>
      <c r="F4" s="1" t="str">
        <f t="shared" si="0"/>
        <v>0.05</v>
      </c>
      <c r="G4" t="str">
        <f t="shared" si="1"/>
        <v>7010452,16298559,0.05</v>
      </c>
    </row>
    <row r="5" spans="1:7" x14ac:dyDescent="0.25">
      <c r="A5" s="1" t="s">
        <v>1143</v>
      </c>
      <c r="B5" s="1" t="s">
        <v>1148</v>
      </c>
      <c r="C5" s="1" t="s">
        <v>3</v>
      </c>
      <c r="D5" t="str">
        <f>IFERROR(VLOOKUP(A5,depara!A:B,2,0),A5)</f>
        <v>7010452</v>
      </c>
      <c r="E5">
        <f>VLOOKUP(B5,'inumos depara'!$A:$B,2,0)</f>
        <v>16298560</v>
      </c>
      <c r="F5" s="1" t="str">
        <f t="shared" si="0"/>
        <v>0.055</v>
      </c>
      <c r="G5" t="str">
        <f t="shared" si="1"/>
        <v>7010452,16298560,0.055</v>
      </c>
    </row>
    <row r="6" spans="1:7" x14ac:dyDescent="0.25">
      <c r="A6" s="1" t="s">
        <v>1143</v>
      </c>
      <c r="B6" s="1" t="s">
        <v>1149</v>
      </c>
      <c r="C6" s="1" t="s">
        <v>1150</v>
      </c>
      <c r="D6" t="str">
        <f>IFERROR(VLOOKUP(A6,depara!A:B,2,0),A6)</f>
        <v>7010452</v>
      </c>
      <c r="E6">
        <f>VLOOKUP(B6,'inumos depara'!$A:$B,2,0)</f>
        <v>16298561</v>
      </c>
      <c r="F6" s="1" t="str">
        <f t="shared" si="0"/>
        <v>1</v>
      </c>
      <c r="G6" t="str">
        <f t="shared" si="1"/>
        <v>7010452,16298561,1</v>
      </c>
    </row>
    <row r="7" spans="1:7" x14ac:dyDescent="0.25">
      <c r="A7" s="1" t="s">
        <v>1143</v>
      </c>
      <c r="B7" s="1" t="s">
        <v>1151</v>
      </c>
      <c r="C7" s="1" t="s">
        <v>4</v>
      </c>
      <c r="D7" t="str">
        <f>IFERROR(VLOOKUP(A7,depara!A:B,2,0),A7)</f>
        <v>7010452</v>
      </c>
      <c r="E7">
        <f>VLOOKUP(B7,'inumos depara'!$A:$B,2,0)</f>
        <v>16298562</v>
      </c>
      <c r="F7" s="1" t="str">
        <f t="shared" si="0"/>
        <v>0.005</v>
      </c>
      <c r="G7" t="str">
        <f t="shared" si="1"/>
        <v>7010452,16298562,0.005</v>
      </c>
    </row>
    <row r="8" spans="1:7" x14ac:dyDescent="0.25">
      <c r="A8" s="1" t="s">
        <v>1143</v>
      </c>
      <c r="B8" s="1" t="s">
        <v>1152</v>
      </c>
      <c r="C8" s="1" t="s">
        <v>1</v>
      </c>
      <c r="D8" t="str">
        <f>IFERROR(VLOOKUP(A8,depara!A:B,2,0),A8)</f>
        <v>7010452</v>
      </c>
      <c r="E8">
        <f>VLOOKUP(B8,'inumos depara'!$A:$B,2,0)</f>
        <v>16298563</v>
      </c>
      <c r="F8" s="1" t="str">
        <f t="shared" si="0"/>
        <v>0.003</v>
      </c>
      <c r="G8" t="str">
        <f t="shared" si="1"/>
        <v>7010452,16298563,0.003</v>
      </c>
    </row>
    <row r="9" spans="1:7" x14ac:dyDescent="0.25">
      <c r="A9" s="1" t="s">
        <v>1143</v>
      </c>
      <c r="B9" s="1" t="s">
        <v>1153</v>
      </c>
      <c r="C9" s="1" t="s">
        <v>1</v>
      </c>
      <c r="D9" t="str">
        <f>IFERROR(VLOOKUP(A9,depara!A:B,2,0),A9)</f>
        <v>7010452</v>
      </c>
      <c r="E9">
        <f>VLOOKUP(B9,'inumos depara'!$A:$B,2,0)</f>
        <v>16298564</v>
      </c>
      <c r="F9" s="1" t="str">
        <f t="shared" si="0"/>
        <v>0.003</v>
      </c>
      <c r="G9" t="str">
        <f t="shared" si="1"/>
        <v>7010452,16298564,0.003</v>
      </c>
    </row>
    <row r="10" spans="1:7" x14ac:dyDescent="0.25">
      <c r="A10" s="1" t="s">
        <v>1143</v>
      </c>
      <c r="B10" s="1" t="s">
        <v>1154</v>
      </c>
      <c r="C10" s="1" t="s">
        <v>5</v>
      </c>
      <c r="D10" t="str">
        <f>IFERROR(VLOOKUP(A10,depara!A:B,2,0),A10)</f>
        <v>7010452</v>
      </c>
      <c r="E10">
        <f>VLOOKUP(B10,'inumos depara'!$A:$B,2,0)</f>
        <v>16298565</v>
      </c>
      <c r="F10" s="1" t="str">
        <f t="shared" si="0"/>
        <v>0.002</v>
      </c>
      <c r="G10" t="str">
        <f t="shared" si="1"/>
        <v>7010452,16298565,0.002</v>
      </c>
    </row>
    <row r="11" spans="1:7" x14ac:dyDescent="0.25">
      <c r="A11" s="1" t="s">
        <v>1143</v>
      </c>
      <c r="B11" s="1" t="s">
        <v>1155</v>
      </c>
      <c r="C11" s="1" t="s">
        <v>4</v>
      </c>
      <c r="D11" t="str">
        <f>IFERROR(VLOOKUP(A11,depara!A:B,2,0),A11)</f>
        <v>7010452</v>
      </c>
      <c r="E11">
        <f>VLOOKUP(B11,'inumos depara'!$A:$B,2,0)</f>
        <v>16298566</v>
      </c>
      <c r="F11" s="1" t="str">
        <f t="shared" si="0"/>
        <v>0.005</v>
      </c>
      <c r="G11" t="str">
        <f t="shared" si="1"/>
        <v>7010452,16298566,0.005</v>
      </c>
    </row>
    <row r="12" spans="1:7" x14ac:dyDescent="0.25">
      <c r="A12" s="1" t="s">
        <v>1143</v>
      </c>
      <c r="B12" s="1" t="s">
        <v>1156</v>
      </c>
      <c r="C12" s="1" t="s">
        <v>4</v>
      </c>
      <c r="D12" t="str">
        <f>IFERROR(VLOOKUP(A12,depara!A:B,2,0),A12)</f>
        <v>7010452</v>
      </c>
      <c r="E12">
        <f>VLOOKUP(B12,'inumos depara'!$A:$B,2,0)</f>
        <v>16298567</v>
      </c>
      <c r="F12" s="1" t="str">
        <f t="shared" si="0"/>
        <v>0.005</v>
      </c>
      <c r="G12" t="str">
        <f t="shared" si="1"/>
        <v>7010452,16298567,0.005</v>
      </c>
    </row>
    <row r="13" spans="1:7" x14ac:dyDescent="0.25">
      <c r="A13" s="1" t="s">
        <v>1143</v>
      </c>
      <c r="B13" s="1" t="s">
        <v>1157</v>
      </c>
      <c r="C13" s="1" t="s">
        <v>6</v>
      </c>
      <c r="D13" t="str">
        <f>IFERROR(VLOOKUP(A13,depara!A:B,2,0),A13)</f>
        <v>7010452</v>
      </c>
      <c r="E13">
        <f>VLOOKUP(B13,'inumos depara'!$A:$B,2,0)</f>
        <v>16298568</v>
      </c>
      <c r="F13" s="1" t="str">
        <f t="shared" si="0"/>
        <v>0.01</v>
      </c>
      <c r="G13" t="str">
        <f t="shared" si="1"/>
        <v>7010452,16298568,0.01</v>
      </c>
    </row>
    <row r="14" spans="1:7" x14ac:dyDescent="0.25">
      <c r="A14" s="1" t="s">
        <v>1143</v>
      </c>
      <c r="B14" s="1" t="s">
        <v>1158</v>
      </c>
      <c r="C14" s="1" t="s">
        <v>7</v>
      </c>
      <c r="D14" t="str">
        <f>IFERROR(VLOOKUP(A14,depara!A:B,2,0),A14)</f>
        <v>7010452</v>
      </c>
      <c r="E14">
        <f>VLOOKUP(B14,'inumos depara'!$A:$B,2,0)</f>
        <v>16298569</v>
      </c>
      <c r="F14" s="1" t="str">
        <f t="shared" si="0"/>
        <v>0.025</v>
      </c>
      <c r="G14" t="str">
        <f t="shared" si="1"/>
        <v>7010452,16298569,0.025</v>
      </c>
    </row>
    <row r="15" spans="1:7" x14ac:dyDescent="0.25">
      <c r="A15" s="1" t="s">
        <v>1143</v>
      </c>
      <c r="B15" s="1" t="s">
        <v>1159</v>
      </c>
      <c r="C15" s="1" t="s">
        <v>4</v>
      </c>
      <c r="D15" t="str">
        <f>IFERROR(VLOOKUP(A15,depara!A:B,2,0),A15)</f>
        <v>7010452</v>
      </c>
      <c r="E15">
        <f>VLOOKUP(B15,'inumos depara'!$A:$B,2,0)</f>
        <v>16298570</v>
      </c>
      <c r="F15" s="1" t="str">
        <f t="shared" si="0"/>
        <v>0.005</v>
      </c>
      <c r="G15" t="str">
        <f t="shared" si="1"/>
        <v>7010452,16298570,0.005</v>
      </c>
    </row>
    <row r="16" spans="1:7" x14ac:dyDescent="0.25">
      <c r="A16" s="1" t="s">
        <v>1143</v>
      </c>
      <c r="B16" s="1" t="s">
        <v>1160</v>
      </c>
      <c r="C16" s="1" t="s">
        <v>8</v>
      </c>
      <c r="D16" t="str">
        <f>IFERROR(VLOOKUP(A16,depara!A:B,2,0),A16)</f>
        <v>7010452</v>
      </c>
      <c r="E16">
        <f>VLOOKUP(B16,'inumos depara'!$A:$B,2,0)</f>
        <v>16298571</v>
      </c>
      <c r="F16" s="1" t="str">
        <f t="shared" si="0"/>
        <v>0.06</v>
      </c>
      <c r="G16" t="str">
        <f t="shared" si="1"/>
        <v>7010452,16298571,0.06</v>
      </c>
    </row>
    <row r="17" spans="1:7" x14ac:dyDescent="0.25">
      <c r="A17" s="1" t="s">
        <v>1143</v>
      </c>
      <c r="B17" s="1" t="s">
        <v>1161</v>
      </c>
      <c r="C17" s="1" t="s">
        <v>8</v>
      </c>
      <c r="D17" t="str">
        <f>IFERROR(VLOOKUP(A17,depara!A:B,2,0),A17)</f>
        <v>7010452</v>
      </c>
      <c r="E17">
        <f>VLOOKUP(B17,'inumos depara'!$A:$B,2,0)</f>
        <v>16298572</v>
      </c>
      <c r="F17" s="1" t="str">
        <f t="shared" si="0"/>
        <v>0.06</v>
      </c>
      <c r="G17" t="str">
        <f t="shared" si="1"/>
        <v>7010452,16298572,0.06</v>
      </c>
    </row>
    <row r="18" spans="1:7" x14ac:dyDescent="0.25">
      <c r="A18" s="1" t="s">
        <v>1162</v>
      </c>
      <c r="B18" s="1" t="s">
        <v>1153</v>
      </c>
      <c r="C18" s="1" t="s">
        <v>1</v>
      </c>
      <c r="D18" t="str">
        <f>IFERROR(VLOOKUP(A18,depara!A:B,2,0),A18)</f>
        <v>7010453</v>
      </c>
      <c r="E18">
        <f>VLOOKUP(B18,'inumos depara'!$A:$B,2,0)</f>
        <v>16298564</v>
      </c>
      <c r="F18" s="1" t="str">
        <f t="shared" si="0"/>
        <v>0.003</v>
      </c>
      <c r="G18" t="str">
        <f t="shared" si="1"/>
        <v>7010453,16298564,0.003</v>
      </c>
    </row>
    <row r="19" spans="1:7" x14ac:dyDescent="0.25">
      <c r="A19" s="1" t="s">
        <v>1162</v>
      </c>
      <c r="B19" s="1" t="s">
        <v>1152</v>
      </c>
      <c r="C19" s="1" t="s">
        <v>1</v>
      </c>
      <c r="D19" t="str">
        <f>IFERROR(VLOOKUP(A19,depara!A:B,2,0),A19)</f>
        <v>7010453</v>
      </c>
      <c r="E19">
        <f>VLOOKUP(B19,'inumos depara'!$A:$B,2,0)</f>
        <v>16298563</v>
      </c>
      <c r="F19" s="1" t="str">
        <f t="shared" si="0"/>
        <v>0.003</v>
      </c>
      <c r="G19" t="str">
        <f t="shared" si="1"/>
        <v>7010453,16298563,0.003</v>
      </c>
    </row>
    <row r="20" spans="1:7" x14ac:dyDescent="0.25">
      <c r="A20" s="1" t="s">
        <v>1162</v>
      </c>
      <c r="B20" s="1" t="s">
        <v>1163</v>
      </c>
      <c r="C20" s="1" t="s">
        <v>1150</v>
      </c>
      <c r="D20" t="str">
        <f>IFERROR(VLOOKUP(A20,depara!A:B,2,0),A20)</f>
        <v>7010453</v>
      </c>
      <c r="E20">
        <f>VLOOKUP(B20,'inumos depara'!$A:$B,2,0)</f>
        <v>16298573</v>
      </c>
      <c r="F20" s="1" t="str">
        <f t="shared" si="0"/>
        <v>1</v>
      </c>
      <c r="G20" t="str">
        <f t="shared" si="1"/>
        <v>7010453,16298573,1</v>
      </c>
    </row>
    <row r="21" spans="1:7" x14ac:dyDescent="0.25">
      <c r="A21" s="1" t="s">
        <v>1162</v>
      </c>
      <c r="B21" s="1" t="s">
        <v>1148</v>
      </c>
      <c r="C21" s="1" t="s">
        <v>3</v>
      </c>
      <c r="D21" t="str">
        <f>IFERROR(VLOOKUP(A21,depara!A:B,2,0),A21)</f>
        <v>7010453</v>
      </c>
      <c r="E21">
        <f>VLOOKUP(B21,'inumos depara'!$A:$B,2,0)</f>
        <v>16298560</v>
      </c>
      <c r="F21" s="1" t="str">
        <f t="shared" si="0"/>
        <v>0.055</v>
      </c>
      <c r="G21" t="str">
        <f t="shared" si="1"/>
        <v>7010453,16298560,0.055</v>
      </c>
    </row>
    <row r="22" spans="1:7" x14ac:dyDescent="0.25">
      <c r="A22" s="1" t="s">
        <v>1162</v>
      </c>
      <c r="B22" s="1" t="s">
        <v>1155</v>
      </c>
      <c r="C22" s="1" t="s">
        <v>4</v>
      </c>
      <c r="D22" t="str">
        <f>IFERROR(VLOOKUP(A22,depara!A:B,2,0),A22)</f>
        <v>7010453</v>
      </c>
      <c r="E22">
        <f>VLOOKUP(B22,'inumos depara'!$A:$B,2,0)</f>
        <v>16298566</v>
      </c>
      <c r="F22" s="1" t="str">
        <f t="shared" si="0"/>
        <v>0.005</v>
      </c>
      <c r="G22" t="str">
        <f t="shared" si="1"/>
        <v>7010453,16298566,0.005</v>
      </c>
    </row>
    <row r="23" spans="1:7" x14ac:dyDescent="0.25">
      <c r="A23" s="1" t="s">
        <v>1162</v>
      </c>
      <c r="B23" s="1" t="s">
        <v>1156</v>
      </c>
      <c r="C23" s="1" t="s">
        <v>4</v>
      </c>
      <c r="D23" t="str">
        <f>IFERROR(VLOOKUP(A23,depara!A:B,2,0),A23)</f>
        <v>7010453</v>
      </c>
      <c r="E23">
        <f>VLOOKUP(B23,'inumos depara'!$A:$B,2,0)</f>
        <v>16298567</v>
      </c>
      <c r="F23" s="1" t="str">
        <f t="shared" si="0"/>
        <v>0.005</v>
      </c>
      <c r="G23" t="str">
        <f t="shared" si="1"/>
        <v>7010453,16298567,0.005</v>
      </c>
    </row>
    <row r="24" spans="1:7" x14ac:dyDescent="0.25">
      <c r="A24" s="1" t="s">
        <v>1162</v>
      </c>
      <c r="B24" s="1" t="s">
        <v>1151</v>
      </c>
      <c r="C24" s="1" t="s">
        <v>4</v>
      </c>
      <c r="D24" t="str">
        <f>IFERROR(VLOOKUP(A24,depara!A:B,2,0),A24)</f>
        <v>7010453</v>
      </c>
      <c r="E24">
        <f>VLOOKUP(B24,'inumos depara'!$A:$B,2,0)</f>
        <v>16298562</v>
      </c>
      <c r="F24" s="1" t="str">
        <f t="shared" si="0"/>
        <v>0.005</v>
      </c>
      <c r="G24" t="str">
        <f t="shared" si="1"/>
        <v>7010453,16298562,0.005</v>
      </c>
    </row>
    <row r="25" spans="1:7" x14ac:dyDescent="0.25">
      <c r="A25" s="1" t="s">
        <v>1162</v>
      </c>
      <c r="B25" s="1" t="s">
        <v>1147</v>
      </c>
      <c r="C25" s="1" t="s">
        <v>0</v>
      </c>
      <c r="D25" t="str">
        <f>IFERROR(VLOOKUP(A25,depara!A:B,2,0),A25)</f>
        <v>7010453</v>
      </c>
      <c r="E25">
        <f>VLOOKUP(B25,'inumos depara'!$A:$B,2,0)</f>
        <v>16298559</v>
      </c>
      <c r="F25" s="1" t="str">
        <f t="shared" si="0"/>
        <v>0.05</v>
      </c>
      <c r="G25" t="str">
        <f t="shared" si="1"/>
        <v>7010453,16298559,0.05</v>
      </c>
    </row>
    <row r="26" spans="1:7" x14ac:dyDescent="0.25">
      <c r="A26" s="1" t="s">
        <v>1162</v>
      </c>
      <c r="B26" s="1" t="s">
        <v>1146</v>
      </c>
      <c r="C26" s="1" t="s">
        <v>2</v>
      </c>
      <c r="D26" t="str">
        <f>IFERROR(VLOOKUP(A26,depara!A:B,2,0),A26)</f>
        <v>7010453</v>
      </c>
      <c r="E26">
        <f>VLOOKUP(B26,'inumos depara'!$A:$B,2,0)</f>
        <v>16298558</v>
      </c>
      <c r="F26" s="1" t="str">
        <f t="shared" si="0"/>
        <v>0.0007</v>
      </c>
      <c r="G26" t="str">
        <f t="shared" si="1"/>
        <v>7010453,16298558,0.0007</v>
      </c>
    </row>
    <row r="27" spans="1:7" x14ac:dyDescent="0.25">
      <c r="A27" s="1" t="s">
        <v>1162</v>
      </c>
      <c r="B27" s="1" t="s">
        <v>1145</v>
      </c>
      <c r="C27" s="1" t="s">
        <v>1</v>
      </c>
      <c r="D27" t="str">
        <f>IFERROR(VLOOKUP(A27,depara!A:B,2,0),A27)</f>
        <v>7010453</v>
      </c>
      <c r="E27">
        <f>VLOOKUP(B27,'inumos depara'!$A:$B,2,0)</f>
        <v>16298557</v>
      </c>
      <c r="F27" s="1" t="str">
        <f t="shared" si="0"/>
        <v>0.003</v>
      </c>
      <c r="G27" t="str">
        <f t="shared" si="1"/>
        <v>7010453,16298557,0.003</v>
      </c>
    </row>
    <row r="28" spans="1:7" x14ac:dyDescent="0.25">
      <c r="A28" s="1" t="s">
        <v>1162</v>
      </c>
      <c r="B28" s="1" t="s">
        <v>1144</v>
      </c>
      <c r="C28" s="1" t="s">
        <v>0</v>
      </c>
      <c r="D28" t="str">
        <f>IFERROR(VLOOKUP(A28,depara!A:B,2,0),A28)</f>
        <v>7010453</v>
      </c>
      <c r="E28">
        <f>VLOOKUP(B28,'inumos depara'!$A:$B,2,0)</f>
        <v>16298556</v>
      </c>
      <c r="F28" s="1" t="str">
        <f t="shared" si="0"/>
        <v>0.05</v>
      </c>
      <c r="G28" t="str">
        <f t="shared" si="1"/>
        <v>7010453,16298556,0.05</v>
      </c>
    </row>
    <row r="29" spans="1:7" x14ac:dyDescent="0.25">
      <c r="A29" s="1" t="s">
        <v>1162</v>
      </c>
      <c r="B29" s="1" t="s">
        <v>1161</v>
      </c>
      <c r="C29" s="1" t="s">
        <v>8</v>
      </c>
      <c r="D29" t="str">
        <f>IFERROR(VLOOKUP(A29,depara!A:B,2,0),A29)</f>
        <v>7010453</v>
      </c>
      <c r="E29">
        <f>VLOOKUP(B29,'inumos depara'!$A:$B,2,0)</f>
        <v>16298572</v>
      </c>
      <c r="F29" s="1" t="str">
        <f t="shared" si="0"/>
        <v>0.06</v>
      </c>
      <c r="G29" t="str">
        <f t="shared" si="1"/>
        <v>7010453,16298572,0.06</v>
      </c>
    </row>
    <row r="30" spans="1:7" x14ac:dyDescent="0.25">
      <c r="A30" s="1" t="s">
        <v>1162</v>
      </c>
      <c r="B30" s="1" t="s">
        <v>1160</v>
      </c>
      <c r="C30" s="1" t="s">
        <v>8</v>
      </c>
      <c r="D30" t="str">
        <f>IFERROR(VLOOKUP(A30,depara!A:B,2,0),A30)</f>
        <v>7010453</v>
      </c>
      <c r="E30">
        <f>VLOOKUP(B30,'inumos depara'!$A:$B,2,0)</f>
        <v>16298571</v>
      </c>
      <c r="F30" s="1" t="str">
        <f t="shared" si="0"/>
        <v>0.06</v>
      </c>
      <c r="G30" t="str">
        <f t="shared" si="1"/>
        <v>7010453,16298571,0.06</v>
      </c>
    </row>
    <row r="31" spans="1:7" x14ac:dyDescent="0.25">
      <c r="A31" s="1" t="s">
        <v>1162</v>
      </c>
      <c r="B31" s="1" t="s">
        <v>1159</v>
      </c>
      <c r="C31" s="1" t="s">
        <v>4</v>
      </c>
      <c r="D31" t="str">
        <f>IFERROR(VLOOKUP(A31,depara!A:B,2,0),A31)</f>
        <v>7010453</v>
      </c>
      <c r="E31">
        <f>VLOOKUP(B31,'inumos depara'!$A:$B,2,0)</f>
        <v>16298570</v>
      </c>
      <c r="F31" s="1" t="str">
        <f t="shared" si="0"/>
        <v>0.005</v>
      </c>
      <c r="G31" t="str">
        <f t="shared" si="1"/>
        <v>7010453,16298570,0.005</v>
      </c>
    </row>
    <row r="32" spans="1:7" x14ac:dyDescent="0.25">
      <c r="A32" s="1" t="s">
        <v>1162</v>
      </c>
      <c r="B32" s="1" t="s">
        <v>1158</v>
      </c>
      <c r="C32" s="1" t="s">
        <v>7</v>
      </c>
      <c r="D32" t="str">
        <f>IFERROR(VLOOKUP(A32,depara!A:B,2,0),A32)</f>
        <v>7010453</v>
      </c>
      <c r="E32">
        <f>VLOOKUP(B32,'inumos depara'!$A:$B,2,0)</f>
        <v>16298569</v>
      </c>
      <c r="F32" s="1" t="str">
        <f t="shared" si="0"/>
        <v>0.025</v>
      </c>
      <c r="G32" t="str">
        <f t="shared" si="1"/>
        <v>7010453,16298569,0.025</v>
      </c>
    </row>
    <row r="33" spans="1:7" x14ac:dyDescent="0.25">
      <c r="A33" s="1" t="s">
        <v>1162</v>
      </c>
      <c r="B33" s="1" t="s">
        <v>1157</v>
      </c>
      <c r="C33" s="1" t="s">
        <v>6</v>
      </c>
      <c r="D33" t="str">
        <f>IFERROR(VLOOKUP(A33,depara!A:B,2,0),A33)</f>
        <v>7010453</v>
      </c>
      <c r="E33">
        <f>VLOOKUP(B33,'inumos depara'!$A:$B,2,0)</f>
        <v>16298568</v>
      </c>
      <c r="F33" s="1" t="str">
        <f t="shared" si="0"/>
        <v>0.01</v>
      </c>
      <c r="G33" t="str">
        <f t="shared" si="1"/>
        <v>7010453,16298568,0.01</v>
      </c>
    </row>
    <row r="34" spans="1:7" x14ac:dyDescent="0.25">
      <c r="A34" s="1" t="s">
        <v>1164</v>
      </c>
      <c r="B34" s="1" t="s">
        <v>1165</v>
      </c>
      <c r="C34" s="1" t="s">
        <v>8</v>
      </c>
      <c r="D34" t="str">
        <f>IFERROR(VLOOKUP(A34,depara!A:B,2,0),A34)</f>
        <v>7010456</v>
      </c>
      <c r="E34">
        <f>VLOOKUP(B34,'inumos depara'!$A:$B,2,0)</f>
        <v>16298574</v>
      </c>
      <c r="F34" s="1" t="str">
        <f t="shared" si="0"/>
        <v>0.06</v>
      </c>
      <c r="G34" t="str">
        <f t="shared" si="1"/>
        <v>7010456,16298574,0.06</v>
      </c>
    </row>
    <row r="35" spans="1:7" x14ac:dyDescent="0.25">
      <c r="A35" s="1" t="s">
        <v>1164</v>
      </c>
      <c r="B35" s="1" t="s">
        <v>1166</v>
      </c>
      <c r="C35" s="1" t="s">
        <v>0</v>
      </c>
      <c r="D35" t="str">
        <f>IFERROR(VLOOKUP(A35,depara!A:B,2,0),A35)</f>
        <v>7010456</v>
      </c>
      <c r="E35">
        <f>VLOOKUP(B35,'inumos depara'!$A:$B,2,0)</f>
        <v>16298575</v>
      </c>
      <c r="F35" s="1" t="str">
        <f t="shared" si="0"/>
        <v>0.05</v>
      </c>
      <c r="G35" t="str">
        <f t="shared" si="1"/>
        <v>7010456,16298575,0.05</v>
      </c>
    </row>
    <row r="36" spans="1:7" x14ac:dyDescent="0.25">
      <c r="A36" s="1" t="s">
        <v>1164</v>
      </c>
      <c r="B36" s="1" t="s">
        <v>1167</v>
      </c>
      <c r="C36" s="1" t="s">
        <v>0</v>
      </c>
      <c r="D36" t="str">
        <f>IFERROR(VLOOKUP(A36,depara!A:B,2,0),A36)</f>
        <v>7010456</v>
      </c>
      <c r="E36">
        <f>VLOOKUP(B36,'inumos depara'!$A:$B,2,0)</f>
        <v>16298576</v>
      </c>
      <c r="F36" s="1" t="str">
        <f t="shared" si="0"/>
        <v>0.05</v>
      </c>
      <c r="G36" t="str">
        <f t="shared" si="1"/>
        <v>7010456,16298576,0.05</v>
      </c>
    </row>
    <row r="37" spans="1:7" x14ac:dyDescent="0.25">
      <c r="A37" s="1" t="s">
        <v>1164</v>
      </c>
      <c r="B37" s="1" t="s">
        <v>1168</v>
      </c>
      <c r="C37" s="1" t="s">
        <v>1</v>
      </c>
      <c r="D37" t="str">
        <f>IFERROR(VLOOKUP(A37,depara!A:B,2,0),A37)</f>
        <v>7010456</v>
      </c>
      <c r="E37">
        <f>VLOOKUP(B37,'inumos depara'!$A:$B,2,0)</f>
        <v>16298577</v>
      </c>
      <c r="F37" s="1" t="str">
        <f t="shared" si="0"/>
        <v>0.003</v>
      </c>
      <c r="G37" t="str">
        <f t="shared" si="1"/>
        <v>7010456,16298577,0.003</v>
      </c>
    </row>
    <row r="38" spans="1:7" x14ac:dyDescent="0.25">
      <c r="A38" s="1" t="s">
        <v>1164</v>
      </c>
      <c r="B38" s="1" t="s">
        <v>1169</v>
      </c>
      <c r="C38" s="1" t="s">
        <v>9</v>
      </c>
      <c r="D38" t="str">
        <f>IFERROR(VLOOKUP(A38,depara!A:B,2,0),A38)</f>
        <v>7010456</v>
      </c>
      <c r="E38">
        <f>VLOOKUP(B38,'inumos depara'!$A:$B,2,0)</f>
        <v>16298578</v>
      </c>
      <c r="F38" s="1" t="str">
        <f t="shared" si="0"/>
        <v>0.09</v>
      </c>
      <c r="G38" t="str">
        <f t="shared" si="1"/>
        <v>7010456,16298578,0.09</v>
      </c>
    </row>
    <row r="39" spans="1:7" x14ac:dyDescent="0.25">
      <c r="A39" s="1" t="s">
        <v>1164</v>
      </c>
      <c r="B39" s="1" t="s">
        <v>1170</v>
      </c>
      <c r="C39" s="1" t="s">
        <v>10</v>
      </c>
      <c r="D39" t="str">
        <f>IFERROR(VLOOKUP(A39,depara!A:B,2,0),A39)</f>
        <v>7010456</v>
      </c>
      <c r="E39">
        <f>VLOOKUP(B39,'inumos depara'!$A:$B,2,0)</f>
        <v>16298579</v>
      </c>
      <c r="F39" s="1" t="str">
        <f t="shared" si="0"/>
        <v>0.001</v>
      </c>
      <c r="G39" t="str">
        <f t="shared" si="1"/>
        <v>7010456,16298579,0.001</v>
      </c>
    </row>
    <row r="40" spans="1:7" x14ac:dyDescent="0.25">
      <c r="A40" s="1" t="s">
        <v>1164</v>
      </c>
      <c r="B40" s="1" t="s">
        <v>1171</v>
      </c>
      <c r="C40" s="1" t="s">
        <v>1</v>
      </c>
      <c r="D40" t="str">
        <f>IFERROR(VLOOKUP(A40,depara!A:B,2,0),A40)</f>
        <v>7010456</v>
      </c>
      <c r="E40">
        <f>VLOOKUP(B40,'inumos depara'!$A:$B,2,0)</f>
        <v>16298580</v>
      </c>
      <c r="F40" s="1" t="str">
        <f t="shared" si="0"/>
        <v>0.003</v>
      </c>
      <c r="G40" t="str">
        <f t="shared" si="1"/>
        <v>7010456,16298580,0.003</v>
      </c>
    </row>
    <row r="41" spans="1:7" x14ac:dyDescent="0.25">
      <c r="A41" s="1" t="s">
        <v>1164</v>
      </c>
      <c r="B41" s="1" t="s">
        <v>1172</v>
      </c>
      <c r="C41" s="1" t="s">
        <v>6</v>
      </c>
      <c r="D41" t="str">
        <f>IFERROR(VLOOKUP(A41,depara!A:B,2,0),A41)</f>
        <v>7010456</v>
      </c>
      <c r="E41">
        <f>VLOOKUP(B41,'inumos depara'!$A:$B,2,0)</f>
        <v>16298581</v>
      </c>
      <c r="F41" s="1" t="str">
        <f t="shared" si="0"/>
        <v>0.01</v>
      </c>
      <c r="G41" t="str">
        <f t="shared" si="1"/>
        <v>7010456,16298581,0.01</v>
      </c>
    </row>
    <row r="42" spans="1:7" x14ac:dyDescent="0.25">
      <c r="A42" s="1" t="s">
        <v>1164</v>
      </c>
      <c r="B42" s="1" t="s">
        <v>1173</v>
      </c>
      <c r="C42" s="1" t="s">
        <v>11</v>
      </c>
      <c r="D42" t="str">
        <f>IFERROR(VLOOKUP(A42,depara!A:B,2,0),A42)</f>
        <v>7010456</v>
      </c>
      <c r="E42">
        <f>VLOOKUP(B42,'inumos depara'!$A:$B,2,0)</f>
        <v>16298582</v>
      </c>
      <c r="F42" s="1" t="str">
        <f t="shared" si="0"/>
        <v>0.075</v>
      </c>
      <c r="G42" t="str">
        <f t="shared" si="1"/>
        <v>7010456,16298582,0.075</v>
      </c>
    </row>
    <row r="43" spans="1:7" x14ac:dyDescent="0.25">
      <c r="A43" s="1" t="s">
        <v>1164</v>
      </c>
      <c r="B43" s="1" t="s">
        <v>1174</v>
      </c>
      <c r="C43" s="1" t="s">
        <v>4</v>
      </c>
      <c r="D43" t="str">
        <f>IFERROR(VLOOKUP(A43,depara!A:B,2,0),A43)</f>
        <v>7010456</v>
      </c>
      <c r="E43">
        <f>VLOOKUP(B43,'inumos depara'!$A:$B,2,0)</f>
        <v>16298583</v>
      </c>
      <c r="F43" s="1" t="str">
        <f t="shared" si="0"/>
        <v>0.005</v>
      </c>
      <c r="G43" t="str">
        <f t="shared" si="1"/>
        <v>7010456,16298583,0.005</v>
      </c>
    </row>
    <row r="44" spans="1:7" x14ac:dyDescent="0.25">
      <c r="A44" s="1" t="s">
        <v>1164</v>
      </c>
      <c r="B44" s="1" t="s">
        <v>1175</v>
      </c>
      <c r="C44" s="1" t="s">
        <v>1150</v>
      </c>
      <c r="D44" t="str">
        <f>IFERROR(VLOOKUP(A44,depara!A:B,2,0),A44)</f>
        <v>7010456</v>
      </c>
      <c r="E44">
        <f>VLOOKUP(B44,'inumos depara'!$A:$B,2,0)</f>
        <v>16298584</v>
      </c>
      <c r="F44" s="1" t="str">
        <f t="shared" si="0"/>
        <v>1</v>
      </c>
      <c r="G44" t="str">
        <f t="shared" si="1"/>
        <v>7010456,16298584,1</v>
      </c>
    </row>
    <row r="45" spans="1:7" x14ac:dyDescent="0.25">
      <c r="A45" s="1" t="s">
        <v>1164</v>
      </c>
      <c r="B45" s="1" t="s">
        <v>1176</v>
      </c>
      <c r="C45" s="1" t="s">
        <v>5</v>
      </c>
      <c r="D45" t="str">
        <f>IFERROR(VLOOKUP(A45,depara!A:B,2,0),A45)</f>
        <v>7010456</v>
      </c>
      <c r="E45">
        <f>VLOOKUP(B45,'inumos depara'!$A:$B,2,0)</f>
        <v>16298585</v>
      </c>
      <c r="F45" s="1" t="str">
        <f t="shared" si="0"/>
        <v>0.002</v>
      </c>
      <c r="G45" t="str">
        <f t="shared" si="1"/>
        <v>7010456,16298585,0.002</v>
      </c>
    </row>
    <row r="46" spans="1:7" x14ac:dyDescent="0.25">
      <c r="A46" s="1" t="s">
        <v>1164</v>
      </c>
      <c r="B46" s="1" t="s">
        <v>1177</v>
      </c>
      <c r="C46" s="1" t="s">
        <v>12</v>
      </c>
      <c r="D46" t="str">
        <f>IFERROR(VLOOKUP(A46,depara!A:B,2,0),A46)</f>
        <v>7010456</v>
      </c>
      <c r="E46">
        <f>VLOOKUP(B46,'inumos depara'!$A:$B,2,0)</f>
        <v>16298586</v>
      </c>
      <c r="F46" s="1" t="str">
        <f t="shared" si="0"/>
        <v>0.0015</v>
      </c>
      <c r="G46" t="str">
        <f t="shared" si="1"/>
        <v>7010456,16298586,0.0015</v>
      </c>
    </row>
    <row r="47" spans="1:7" x14ac:dyDescent="0.25">
      <c r="A47" s="1" t="s">
        <v>1178</v>
      </c>
      <c r="B47" s="1" t="s">
        <v>1179</v>
      </c>
      <c r="C47" s="1" t="s">
        <v>13</v>
      </c>
      <c r="D47" t="str">
        <f>IFERROR(VLOOKUP(A47,depara!A:B,2,0),A47)</f>
        <v>7010464</v>
      </c>
      <c r="E47">
        <f>VLOOKUP(B47,'inumos depara'!$A:$B,2,0)</f>
        <v>16298587</v>
      </c>
      <c r="F47" s="1" t="str">
        <f t="shared" si="0"/>
        <v>0.0103</v>
      </c>
      <c r="G47" t="str">
        <f t="shared" si="1"/>
        <v>7010464,16298587,0.0103</v>
      </c>
    </row>
    <row r="48" spans="1:7" x14ac:dyDescent="0.25">
      <c r="A48" s="1" t="s">
        <v>1178</v>
      </c>
      <c r="B48" s="1" t="s">
        <v>1180</v>
      </c>
      <c r="C48" s="1" t="s">
        <v>14</v>
      </c>
      <c r="D48" t="str">
        <f>IFERROR(VLOOKUP(A48,depara!A:B,2,0),A48)</f>
        <v>7010464</v>
      </c>
      <c r="E48">
        <f>VLOOKUP(B48,'inumos depara'!$A:$B,2,0)</f>
        <v>16298588</v>
      </c>
      <c r="F48" s="1" t="str">
        <f t="shared" si="0"/>
        <v>0.0309</v>
      </c>
      <c r="G48" t="str">
        <f t="shared" si="1"/>
        <v>7010464,16298588,0.0309</v>
      </c>
    </row>
    <row r="49" spans="1:7" x14ac:dyDescent="0.25">
      <c r="A49" s="1" t="s">
        <v>1178</v>
      </c>
      <c r="B49" s="1" t="s">
        <v>1181</v>
      </c>
      <c r="C49" s="1" t="s">
        <v>1182</v>
      </c>
      <c r="D49" t="str">
        <f>IFERROR(VLOOKUP(A49,depara!A:B,2,0),A49)</f>
        <v>7010464</v>
      </c>
      <c r="E49">
        <f>VLOOKUP(B49,'inumos depara'!$A:$B,2,0)</f>
        <v>16298589</v>
      </c>
      <c r="F49" s="1" t="str">
        <f t="shared" si="0"/>
        <v>3.26666666666667E-07</v>
      </c>
      <c r="G49" t="str">
        <f t="shared" si="1"/>
        <v>7010464,16298589,3.26666666666667E-07</v>
      </c>
    </row>
    <row r="50" spans="1:7" x14ac:dyDescent="0.25">
      <c r="A50" s="1" t="s">
        <v>1178</v>
      </c>
      <c r="B50" s="1" t="s">
        <v>1183</v>
      </c>
      <c r="C50" s="1" t="s">
        <v>1184</v>
      </c>
      <c r="D50" t="str">
        <f>IFERROR(VLOOKUP(A50,depara!A:B,2,0),A50)</f>
        <v>7010464</v>
      </c>
      <c r="E50">
        <f>VLOOKUP(B50,'inumos depara'!$A:$B,2,0)</f>
        <v>16298590</v>
      </c>
      <c r="F50" s="1" t="str">
        <f t="shared" si="0"/>
        <v>6.95333333333333E-06</v>
      </c>
      <c r="G50" t="str">
        <f t="shared" si="1"/>
        <v>7010464,16298590,6.95333333333333E-06</v>
      </c>
    </row>
    <row r="51" spans="1:7" x14ac:dyDescent="0.25">
      <c r="A51" s="1" t="s">
        <v>1178</v>
      </c>
      <c r="B51" s="1" t="s">
        <v>1185</v>
      </c>
      <c r="C51" s="1" t="s">
        <v>15</v>
      </c>
      <c r="D51" t="str">
        <f>IFERROR(VLOOKUP(A51,depara!A:B,2,0),A51)</f>
        <v>7010464</v>
      </c>
      <c r="E51">
        <f>VLOOKUP(B51,'inumos depara'!$A:$B,2,0)</f>
        <v>16298591</v>
      </c>
      <c r="F51" s="1" t="str">
        <f t="shared" si="0"/>
        <v>0.000515333333333333</v>
      </c>
      <c r="G51" t="str">
        <f t="shared" si="1"/>
        <v>7010464,16298591,0.000515333333333333</v>
      </c>
    </row>
    <row r="52" spans="1:7" x14ac:dyDescent="0.25">
      <c r="A52" s="1" t="s">
        <v>1178</v>
      </c>
      <c r="B52" s="1" t="s">
        <v>1186</v>
      </c>
      <c r="C52" s="1" t="s">
        <v>16</v>
      </c>
      <c r="D52" t="str">
        <f>IFERROR(VLOOKUP(A52,depara!A:B,2,0),A52)</f>
        <v>7010464</v>
      </c>
      <c r="E52">
        <f>VLOOKUP(B52,'inumos depara'!$A:$B,2,0)</f>
        <v>16298592</v>
      </c>
      <c r="F52" s="1" t="str">
        <f t="shared" si="0"/>
        <v>0.00206</v>
      </c>
      <c r="G52" t="str">
        <f t="shared" si="1"/>
        <v>7010464,16298592,0.00206</v>
      </c>
    </row>
    <row r="53" spans="1:7" x14ac:dyDescent="0.25">
      <c r="A53" s="1" t="s">
        <v>1178</v>
      </c>
      <c r="B53" s="1" t="s">
        <v>1187</v>
      </c>
      <c r="C53" s="1" t="s">
        <v>17</v>
      </c>
      <c r="D53" t="str">
        <f>IFERROR(VLOOKUP(A53,depara!A:B,2,0),A53)</f>
        <v>7010464</v>
      </c>
      <c r="E53">
        <f>VLOOKUP(B53,'inumos depara'!$A:$B,2,0)</f>
        <v>16298593</v>
      </c>
      <c r="F53" s="1" t="str">
        <f t="shared" si="0"/>
        <v>0.0206</v>
      </c>
      <c r="G53" t="str">
        <f t="shared" si="1"/>
        <v>7010464,16298593,0.0206</v>
      </c>
    </row>
    <row r="54" spans="1:7" x14ac:dyDescent="0.25">
      <c r="A54" s="1" t="s">
        <v>1178</v>
      </c>
      <c r="B54" s="1" t="s">
        <v>1188</v>
      </c>
      <c r="C54" s="1" t="s">
        <v>14</v>
      </c>
      <c r="D54" t="str">
        <f>IFERROR(VLOOKUP(A54,depara!A:B,2,0),A54)</f>
        <v>7010464</v>
      </c>
      <c r="E54">
        <f>VLOOKUP(B54,'inumos depara'!$A:$B,2,0)</f>
        <v>16298594</v>
      </c>
      <c r="F54" s="1" t="str">
        <f t="shared" si="0"/>
        <v>0.0309</v>
      </c>
      <c r="G54" t="str">
        <f t="shared" si="1"/>
        <v>7010464,16298594,0.0309</v>
      </c>
    </row>
    <row r="55" spans="1:7" x14ac:dyDescent="0.25">
      <c r="A55" s="1" t="s">
        <v>1178</v>
      </c>
      <c r="B55" s="1" t="s">
        <v>1189</v>
      </c>
      <c r="C55" s="1" t="s">
        <v>18</v>
      </c>
      <c r="D55" t="str">
        <f>IFERROR(VLOOKUP(A55,depara!A:B,2,0),A55)</f>
        <v>7010464</v>
      </c>
      <c r="E55">
        <f>VLOOKUP(B55,'inumos depara'!$A:$B,2,0)</f>
        <v>16298595</v>
      </c>
      <c r="F55" s="1" t="str">
        <f t="shared" si="0"/>
        <v>0.000926666666666667</v>
      </c>
      <c r="G55" t="str">
        <f t="shared" si="1"/>
        <v>7010464,16298595,0.000926666666666667</v>
      </c>
    </row>
    <row r="56" spans="1:7" x14ac:dyDescent="0.25">
      <c r="A56" s="1" t="s">
        <v>1178</v>
      </c>
      <c r="B56" s="1" t="s">
        <v>1190</v>
      </c>
      <c r="C56" s="1" t="s">
        <v>13</v>
      </c>
      <c r="D56" t="str">
        <f>IFERROR(VLOOKUP(A56,depara!A:B,2,0),A56)</f>
        <v>7010464</v>
      </c>
      <c r="E56">
        <f>VLOOKUP(B56,'inumos depara'!$A:$B,2,0)</f>
        <v>16298596</v>
      </c>
      <c r="F56" s="1" t="str">
        <f t="shared" si="0"/>
        <v>0.0103</v>
      </c>
      <c r="G56" t="str">
        <f t="shared" si="1"/>
        <v>7010464,16298596,0.0103</v>
      </c>
    </row>
    <row r="57" spans="1:7" x14ac:dyDescent="0.25">
      <c r="A57" s="1" t="s">
        <v>1178</v>
      </c>
      <c r="B57" s="1" t="s">
        <v>1191</v>
      </c>
      <c r="C57" s="1" t="s">
        <v>16</v>
      </c>
      <c r="D57" t="str">
        <f>IFERROR(VLOOKUP(A57,depara!A:B,2,0),A57)</f>
        <v>7010464</v>
      </c>
      <c r="E57">
        <f>VLOOKUP(B57,'inumos depara'!$A:$B,2,0)</f>
        <v>16298597</v>
      </c>
      <c r="F57" s="1" t="str">
        <f t="shared" si="0"/>
        <v>0.00206</v>
      </c>
      <c r="G57" t="str">
        <f t="shared" si="1"/>
        <v>7010464,16298597,0.00206</v>
      </c>
    </row>
    <row r="58" spans="1:7" x14ac:dyDescent="0.25">
      <c r="A58" s="1" t="s">
        <v>1178</v>
      </c>
      <c r="B58" s="1" t="s">
        <v>1192</v>
      </c>
      <c r="C58" s="1" t="s">
        <v>17</v>
      </c>
      <c r="D58" t="str">
        <f>IFERROR(VLOOKUP(A58,depara!A:B,2,0),A58)</f>
        <v>7010464</v>
      </c>
      <c r="E58">
        <f>VLOOKUP(B58,'inumos depara'!$A:$B,2,0)</f>
        <v>16298598</v>
      </c>
      <c r="F58" s="1" t="str">
        <f t="shared" si="0"/>
        <v>0.0206</v>
      </c>
      <c r="G58" t="str">
        <f t="shared" si="1"/>
        <v>7010464,16298598,0.0206</v>
      </c>
    </row>
    <row r="59" spans="1:7" x14ac:dyDescent="0.25">
      <c r="A59" s="1" t="s">
        <v>1178</v>
      </c>
      <c r="B59" s="1" t="s">
        <v>1193</v>
      </c>
      <c r="C59" s="1" t="s">
        <v>19</v>
      </c>
      <c r="D59" t="str">
        <f>IFERROR(VLOOKUP(A59,depara!A:B,2,0),A59)</f>
        <v>7010464</v>
      </c>
      <c r="E59">
        <f>VLOOKUP(B59,'inumos depara'!$A:$B,2,0)</f>
        <v>16298599</v>
      </c>
      <c r="F59" s="1" t="str">
        <f t="shared" si="0"/>
        <v>0.00515333333333333</v>
      </c>
      <c r="G59" t="str">
        <f t="shared" si="1"/>
        <v>7010464,16298599,0.00515333333333333</v>
      </c>
    </row>
    <row r="60" spans="1:7" x14ac:dyDescent="0.25">
      <c r="A60" s="1" t="s">
        <v>1178</v>
      </c>
      <c r="B60" s="1" t="s">
        <v>1165</v>
      </c>
      <c r="C60" s="1" t="s">
        <v>20</v>
      </c>
      <c r="D60" t="str">
        <f>IFERROR(VLOOKUP(A60,depara!A:B,2,0),A60)</f>
        <v>7010464</v>
      </c>
      <c r="E60">
        <f>VLOOKUP(B60,'inumos depara'!$A:$B,2,0)</f>
        <v>16298574</v>
      </c>
      <c r="F60" s="1" t="str">
        <f t="shared" si="0"/>
        <v>0.0515</v>
      </c>
      <c r="G60" t="str">
        <f t="shared" si="1"/>
        <v>7010464,16298574,0.0515</v>
      </c>
    </row>
    <row r="61" spans="1:7" x14ac:dyDescent="0.25">
      <c r="A61" s="1" t="s">
        <v>1178</v>
      </c>
      <c r="B61" s="1" t="s">
        <v>1194</v>
      </c>
      <c r="C61" s="1" t="s">
        <v>21</v>
      </c>
      <c r="D61" t="str">
        <f>IFERROR(VLOOKUP(A61,depara!A:B,2,0),A61)</f>
        <v>7010464</v>
      </c>
      <c r="E61">
        <f>VLOOKUP(B61,'inumos depara'!$A:$B,2,0)</f>
        <v>16298600</v>
      </c>
      <c r="F61" s="1" t="str">
        <f t="shared" si="0"/>
        <v>0.0257533333333333</v>
      </c>
      <c r="G61" t="str">
        <f t="shared" si="1"/>
        <v>7010464,16298600,0.0257533333333333</v>
      </c>
    </row>
    <row r="62" spans="1:7" x14ac:dyDescent="0.25">
      <c r="A62" s="1" t="s">
        <v>1178</v>
      </c>
      <c r="B62" s="1" t="s">
        <v>1195</v>
      </c>
      <c r="C62" s="1" t="s">
        <v>22</v>
      </c>
      <c r="D62" t="str">
        <f>IFERROR(VLOOKUP(A62,depara!A:B,2,0),A62)</f>
        <v>7010464</v>
      </c>
      <c r="E62">
        <f>VLOOKUP(B62,'inumos depara'!$A:$B,2,0)</f>
        <v>16298601</v>
      </c>
      <c r="F62" s="1" t="str">
        <f t="shared" si="0"/>
        <v>0.309</v>
      </c>
      <c r="G62" t="str">
        <f t="shared" si="1"/>
        <v>7010464,16298601,0.309</v>
      </c>
    </row>
    <row r="63" spans="1:7" x14ac:dyDescent="0.25">
      <c r="A63" s="1" t="s">
        <v>1196</v>
      </c>
      <c r="B63" s="1" t="s">
        <v>1197</v>
      </c>
      <c r="C63" s="1" t="s">
        <v>23</v>
      </c>
      <c r="D63" t="str">
        <f>IFERROR(VLOOKUP(A63,depara!A:B,2,0),A63)</f>
        <v>7010469</v>
      </c>
      <c r="E63">
        <f>VLOOKUP(B63,'inumos depara'!$A:$B,2,0)</f>
        <v>16298602</v>
      </c>
      <c r="F63" s="1" t="str">
        <f t="shared" si="0"/>
        <v>0.00207333333333333</v>
      </c>
      <c r="G63" t="str">
        <f t="shared" si="1"/>
        <v>7010469,16298602,0.00207333333333333</v>
      </c>
    </row>
    <row r="64" spans="1:7" x14ac:dyDescent="0.25">
      <c r="A64" s="1" t="s">
        <v>1196</v>
      </c>
      <c r="B64" s="1" t="s">
        <v>1198</v>
      </c>
      <c r="C64" s="1" t="s">
        <v>24</v>
      </c>
      <c r="D64" t="str">
        <f>IFERROR(VLOOKUP(A64,depara!A:B,2,0),A64)</f>
        <v>7010469</v>
      </c>
      <c r="E64">
        <f>VLOOKUP(B64,'inumos depara'!$A:$B,2,0)</f>
        <v>16298603</v>
      </c>
      <c r="F64" s="1" t="str">
        <f t="shared" si="0"/>
        <v>0.00078</v>
      </c>
      <c r="G64" t="str">
        <f t="shared" si="1"/>
        <v>7010469,16298603,0.00078</v>
      </c>
    </row>
    <row r="65" spans="1:7" x14ac:dyDescent="0.25">
      <c r="A65" s="1" t="s">
        <v>1196</v>
      </c>
      <c r="B65" s="1" t="s">
        <v>1199</v>
      </c>
      <c r="C65" s="1" t="s">
        <v>25</v>
      </c>
      <c r="D65" t="str">
        <f>IFERROR(VLOOKUP(A65,depara!A:B,2,0),A65)</f>
        <v>7010469</v>
      </c>
      <c r="E65">
        <f>VLOOKUP(B65,'inumos depara'!$A:$B,2,0)</f>
        <v>16298604</v>
      </c>
      <c r="F65" s="1" t="str">
        <f t="shared" si="0"/>
        <v>0.000726666666666667</v>
      </c>
      <c r="G65" t="str">
        <f t="shared" si="1"/>
        <v>7010469,16298604,0.000726666666666667</v>
      </c>
    </row>
    <row r="66" spans="1:7" x14ac:dyDescent="0.25">
      <c r="A66" s="1" t="s">
        <v>1196</v>
      </c>
      <c r="B66" s="1" t="s">
        <v>1195</v>
      </c>
      <c r="C66" s="1" t="s">
        <v>26</v>
      </c>
      <c r="D66" t="str">
        <f>IFERROR(VLOOKUP(A66,depara!A:B,2,0),A66)</f>
        <v>7010469</v>
      </c>
      <c r="E66">
        <f>VLOOKUP(B66,'inumos depara'!$A:$B,2,0)</f>
        <v>16298601</v>
      </c>
      <c r="F66" s="1" t="str">
        <f t="shared" ref="F66:F129" si="2">C66</f>
        <v>0.362366666666667</v>
      </c>
      <c r="G66" t="str">
        <f t="shared" ref="G66:G129" si="3">D66&amp;","&amp;E66&amp;","&amp;F66</f>
        <v>7010469,16298601,0.362366666666667</v>
      </c>
    </row>
    <row r="67" spans="1:7" x14ac:dyDescent="0.25">
      <c r="A67" s="1" t="s">
        <v>1196</v>
      </c>
      <c r="B67" s="1" t="s">
        <v>1200</v>
      </c>
      <c r="C67" s="1" t="s">
        <v>27</v>
      </c>
      <c r="D67" t="str">
        <f>IFERROR(VLOOKUP(A67,depara!A:B,2,0),A67)</f>
        <v>7010469</v>
      </c>
      <c r="E67">
        <f>VLOOKUP(B67,'inumos depara'!$A:$B,2,0)</f>
        <v>16298605</v>
      </c>
      <c r="F67" s="1" t="str">
        <f t="shared" si="2"/>
        <v>0.0724733333333333</v>
      </c>
      <c r="G67" t="str">
        <f t="shared" si="3"/>
        <v>7010469,16298605,0.0724733333333333</v>
      </c>
    </row>
    <row r="68" spans="1:7" x14ac:dyDescent="0.25">
      <c r="A68" s="1" t="s">
        <v>1196</v>
      </c>
      <c r="B68" s="1" t="s">
        <v>1180</v>
      </c>
      <c r="C68" s="1" t="s">
        <v>28</v>
      </c>
      <c r="D68" t="str">
        <f>IFERROR(VLOOKUP(A68,depara!A:B,2,0),A68)</f>
        <v>7010469</v>
      </c>
      <c r="E68">
        <f>VLOOKUP(B68,'inumos depara'!$A:$B,2,0)</f>
        <v>16298588</v>
      </c>
      <c r="F68" s="1" t="str">
        <f t="shared" si="2"/>
        <v>0.0517666666666667</v>
      </c>
      <c r="G68" t="str">
        <f t="shared" si="3"/>
        <v>7010469,16298588,0.0517666666666667</v>
      </c>
    </row>
    <row r="69" spans="1:7" x14ac:dyDescent="0.25">
      <c r="A69" s="1" t="s">
        <v>1196</v>
      </c>
      <c r="B69" s="1" t="s">
        <v>1201</v>
      </c>
      <c r="C69" s="1" t="s">
        <v>29</v>
      </c>
      <c r="D69" t="str">
        <f>IFERROR(VLOOKUP(A69,depara!A:B,2,0),A69)</f>
        <v>7010469</v>
      </c>
      <c r="E69">
        <f>VLOOKUP(B69,'inumos depara'!$A:$B,2,0)</f>
        <v>16298606</v>
      </c>
      <c r="F69" s="1" t="str">
        <f t="shared" si="2"/>
        <v>0.00518</v>
      </c>
      <c r="G69" t="str">
        <f t="shared" si="3"/>
        <v>7010469,16298606,0.00518</v>
      </c>
    </row>
    <row r="70" spans="1:7" x14ac:dyDescent="0.25">
      <c r="A70" s="1" t="s">
        <v>1196</v>
      </c>
      <c r="B70" s="1" t="s">
        <v>1193</v>
      </c>
      <c r="C70" s="1" t="s">
        <v>30</v>
      </c>
      <c r="D70" t="str">
        <f>IFERROR(VLOOKUP(A70,depara!A:B,2,0),A70)</f>
        <v>7010469</v>
      </c>
      <c r="E70">
        <f>VLOOKUP(B70,'inumos depara'!$A:$B,2,0)</f>
        <v>16298599</v>
      </c>
      <c r="F70" s="1" t="str">
        <f t="shared" si="2"/>
        <v>0.0155333333333333</v>
      </c>
      <c r="G70" t="str">
        <f t="shared" si="3"/>
        <v>7010469,16298599,0.0155333333333333</v>
      </c>
    </row>
    <row r="71" spans="1:7" x14ac:dyDescent="0.25">
      <c r="A71" s="1" t="s">
        <v>1196</v>
      </c>
      <c r="B71" s="1" t="s">
        <v>1202</v>
      </c>
      <c r="C71" s="1" t="s">
        <v>31</v>
      </c>
      <c r="D71" t="str">
        <f>IFERROR(VLOOKUP(A71,depara!A:B,2,0),A71)</f>
        <v>7010469</v>
      </c>
      <c r="E71">
        <f>VLOOKUP(B71,'inumos depara'!$A:$B,2,0)</f>
        <v>16298607</v>
      </c>
      <c r="F71" s="1" t="str">
        <f t="shared" si="2"/>
        <v>0.0207066666666667</v>
      </c>
      <c r="G71" t="str">
        <f t="shared" si="3"/>
        <v>7010469,16298607,0.0207066666666667</v>
      </c>
    </row>
    <row r="72" spans="1:7" x14ac:dyDescent="0.25">
      <c r="A72" s="1" t="s">
        <v>1196</v>
      </c>
      <c r="B72" s="1" t="s">
        <v>1203</v>
      </c>
      <c r="C72" s="1" t="s">
        <v>32</v>
      </c>
      <c r="D72" t="str">
        <f>IFERROR(VLOOKUP(A72,depara!A:B,2,0),A72)</f>
        <v>7010469</v>
      </c>
      <c r="E72">
        <f>VLOOKUP(B72,'inumos depara'!$A:$B,2,0)</f>
        <v>16298608</v>
      </c>
      <c r="F72" s="1" t="str">
        <f t="shared" si="2"/>
        <v>0.00103333333333333</v>
      </c>
      <c r="G72" t="str">
        <f t="shared" si="3"/>
        <v>7010469,16298608,0.00103333333333333</v>
      </c>
    </row>
    <row r="73" spans="1:7" x14ac:dyDescent="0.25">
      <c r="A73" s="1" t="s">
        <v>1196</v>
      </c>
      <c r="B73" s="1" t="s">
        <v>1204</v>
      </c>
      <c r="C73" s="1" t="s">
        <v>32</v>
      </c>
      <c r="D73" t="str">
        <f>IFERROR(VLOOKUP(A73,depara!A:B,2,0),A73)</f>
        <v>7010469</v>
      </c>
      <c r="E73">
        <f>VLOOKUP(B73,'inumos depara'!$A:$B,2,0)</f>
        <v>16298609</v>
      </c>
      <c r="F73" s="1" t="str">
        <f t="shared" si="2"/>
        <v>0.00103333333333333</v>
      </c>
      <c r="G73" t="str">
        <f t="shared" si="3"/>
        <v>7010469,16298609,0.00103333333333333</v>
      </c>
    </row>
    <row r="74" spans="1:7" x14ac:dyDescent="0.25">
      <c r="A74" s="1" t="s">
        <v>1196</v>
      </c>
      <c r="B74" s="1" t="s">
        <v>1205</v>
      </c>
      <c r="C74" s="1" t="s">
        <v>33</v>
      </c>
      <c r="D74" t="str">
        <f>IFERROR(VLOOKUP(A74,depara!A:B,2,0),A74)</f>
        <v>7010469</v>
      </c>
      <c r="E74">
        <f>VLOOKUP(B74,'inumos depara'!$A:$B,2,0)</f>
        <v>16298610</v>
      </c>
      <c r="F74" s="1" t="str">
        <f t="shared" si="2"/>
        <v>0.00310666666666667</v>
      </c>
      <c r="G74" t="str">
        <f t="shared" si="3"/>
        <v>7010469,16298610,0.00310666666666667</v>
      </c>
    </row>
    <row r="75" spans="1:7" x14ac:dyDescent="0.25">
      <c r="A75" s="1" t="s">
        <v>1196</v>
      </c>
      <c r="B75" s="1" t="s">
        <v>1206</v>
      </c>
      <c r="C75" s="1" t="s">
        <v>34</v>
      </c>
      <c r="D75" t="str">
        <f>IFERROR(VLOOKUP(A75,depara!A:B,2,0),A75)</f>
        <v>7010469</v>
      </c>
      <c r="E75">
        <f>VLOOKUP(B75,'inumos depara'!$A:$B,2,0)</f>
        <v>16298611</v>
      </c>
      <c r="F75" s="1" t="str">
        <f t="shared" si="2"/>
        <v>0.0103533333333333</v>
      </c>
      <c r="G75" t="str">
        <f t="shared" si="3"/>
        <v>7010469,16298611,0.0103533333333333</v>
      </c>
    </row>
    <row r="76" spans="1:7" x14ac:dyDescent="0.25">
      <c r="A76" s="1" t="s">
        <v>1196</v>
      </c>
      <c r="B76" s="1" t="s">
        <v>35</v>
      </c>
      <c r="C76" s="1" t="s">
        <v>31</v>
      </c>
      <c r="D76" t="str">
        <f>IFERROR(VLOOKUP(A76,depara!A:B,2,0),A76)</f>
        <v>7010469</v>
      </c>
      <c r="E76">
        <f>VLOOKUP(B76,'inumos depara'!$A:$B,2,0)</f>
        <v>16298612</v>
      </c>
      <c r="F76" s="1" t="str">
        <f t="shared" si="2"/>
        <v>0.0207066666666667</v>
      </c>
      <c r="G76" t="str">
        <f t="shared" si="3"/>
        <v>7010469,16298612,0.0207066666666667</v>
      </c>
    </row>
    <row r="77" spans="1:7" x14ac:dyDescent="0.25">
      <c r="A77" s="1" t="s">
        <v>1196</v>
      </c>
      <c r="B77" s="1" t="s">
        <v>1194</v>
      </c>
      <c r="C77" s="1" t="s">
        <v>28</v>
      </c>
      <c r="D77" t="str">
        <f>IFERROR(VLOOKUP(A77,depara!A:B,2,0),A77)</f>
        <v>7010469</v>
      </c>
      <c r="E77">
        <f>VLOOKUP(B77,'inumos depara'!$A:$B,2,0)</f>
        <v>16298600</v>
      </c>
      <c r="F77" s="1" t="str">
        <f t="shared" si="2"/>
        <v>0.0517666666666667</v>
      </c>
      <c r="G77" t="str">
        <f t="shared" si="3"/>
        <v>7010469,16298600,0.0517666666666667</v>
      </c>
    </row>
    <row r="78" spans="1:7" x14ac:dyDescent="0.25">
      <c r="A78" s="1" t="s">
        <v>1196</v>
      </c>
      <c r="B78" s="1" t="s">
        <v>1207</v>
      </c>
      <c r="C78" s="1" t="s">
        <v>25</v>
      </c>
      <c r="D78" t="str">
        <f>IFERROR(VLOOKUP(A78,depara!A:B,2,0),A78)</f>
        <v>7010469</v>
      </c>
      <c r="E78">
        <f>VLOOKUP(B78,'inumos depara'!$A:$B,2,0)</f>
        <v>16298613</v>
      </c>
      <c r="F78" s="1" t="str">
        <f t="shared" si="2"/>
        <v>0.000726666666666667</v>
      </c>
      <c r="G78" t="str">
        <f t="shared" si="3"/>
        <v>7010469,16298613,0.000726666666666667</v>
      </c>
    </row>
    <row r="79" spans="1:7" x14ac:dyDescent="0.25">
      <c r="A79" s="1" t="s">
        <v>1196</v>
      </c>
      <c r="B79" s="1" t="s">
        <v>1208</v>
      </c>
      <c r="C79" s="1" t="s">
        <v>34</v>
      </c>
      <c r="D79" t="str">
        <f>IFERROR(VLOOKUP(A79,depara!A:B,2,0),A79)</f>
        <v>7010469</v>
      </c>
      <c r="E79">
        <f>VLOOKUP(B79,'inumos depara'!$A:$B,2,0)</f>
        <v>16298614</v>
      </c>
      <c r="F79" s="1" t="str">
        <f t="shared" si="2"/>
        <v>0.0103533333333333</v>
      </c>
      <c r="G79" t="str">
        <f t="shared" si="3"/>
        <v>7010469,16298614,0.0103533333333333</v>
      </c>
    </row>
    <row r="80" spans="1:7" x14ac:dyDescent="0.25">
      <c r="A80" s="1" t="s">
        <v>1209</v>
      </c>
      <c r="B80" s="1" t="s">
        <v>1210</v>
      </c>
      <c r="C80" s="1" t="s">
        <v>36</v>
      </c>
      <c r="D80" t="str">
        <f>IFERROR(VLOOKUP(A80,depara!A:B,2,0),A80)</f>
        <v>7010528</v>
      </c>
      <c r="E80">
        <f>VLOOKUP(B80,'inumos depara'!$A:$B,2,0)</f>
        <v>16298615</v>
      </c>
      <c r="F80" s="1" t="str">
        <f t="shared" si="2"/>
        <v>0.000946666666666667</v>
      </c>
      <c r="G80" t="str">
        <f t="shared" si="3"/>
        <v>7010528,16298615,0.000946666666666667</v>
      </c>
    </row>
    <row r="81" spans="1:7" x14ac:dyDescent="0.25">
      <c r="A81" s="1" t="s">
        <v>1209</v>
      </c>
      <c r="B81" s="1" t="s">
        <v>1185</v>
      </c>
      <c r="C81" s="1" t="s">
        <v>37</v>
      </c>
      <c r="D81" t="str">
        <f>IFERROR(VLOOKUP(A81,depara!A:B,2,0),A81)</f>
        <v>7010528</v>
      </c>
      <c r="E81">
        <f>VLOOKUP(B81,'inumos depara'!$A:$B,2,0)</f>
        <v>16298591</v>
      </c>
      <c r="F81" s="1" t="str">
        <f t="shared" si="2"/>
        <v>0.000526666666666667</v>
      </c>
      <c r="G81" t="str">
        <f t="shared" si="3"/>
        <v>7010528,16298591,0.000526666666666667</v>
      </c>
    </row>
    <row r="82" spans="1:7" x14ac:dyDescent="0.25">
      <c r="A82" s="1" t="s">
        <v>1209</v>
      </c>
      <c r="B82" s="1" t="s">
        <v>1211</v>
      </c>
      <c r="C82" s="1" t="s">
        <v>38</v>
      </c>
      <c r="D82" t="str">
        <f>IFERROR(VLOOKUP(A82,depara!A:B,2,0),A82)</f>
        <v>7010528</v>
      </c>
      <c r="E82">
        <f>VLOOKUP(B82,'inumos depara'!$A:$B,2,0)</f>
        <v>16298616</v>
      </c>
      <c r="F82" s="1" t="str">
        <f t="shared" si="2"/>
        <v>0.00157333333333333</v>
      </c>
      <c r="G82" t="str">
        <f t="shared" si="3"/>
        <v>7010528,16298616,0.00157333333333333</v>
      </c>
    </row>
    <row r="83" spans="1:7" x14ac:dyDescent="0.25">
      <c r="A83" s="1" t="s">
        <v>1209</v>
      </c>
      <c r="B83" s="1" t="s">
        <v>1212</v>
      </c>
      <c r="C83" s="1" t="s">
        <v>39</v>
      </c>
      <c r="D83" t="str">
        <f>IFERROR(VLOOKUP(A83,depara!A:B,2,0),A83)</f>
        <v>7010528</v>
      </c>
      <c r="E83">
        <f>VLOOKUP(B83,'inumos depara'!$A:$B,2,0)</f>
        <v>16298617</v>
      </c>
      <c r="F83" s="1" t="str">
        <f t="shared" si="2"/>
        <v>0.0063</v>
      </c>
      <c r="G83" t="str">
        <f t="shared" si="3"/>
        <v>7010528,16298617,0.0063</v>
      </c>
    </row>
    <row r="84" spans="1:7" x14ac:dyDescent="0.25">
      <c r="A84" s="1" t="s">
        <v>1209</v>
      </c>
      <c r="B84" s="1" t="s">
        <v>1194</v>
      </c>
      <c r="C84" s="1" t="s">
        <v>40</v>
      </c>
      <c r="D84" t="str">
        <f>IFERROR(VLOOKUP(A84,depara!A:B,2,0),A84)</f>
        <v>7010528</v>
      </c>
      <c r="E84">
        <f>VLOOKUP(B84,'inumos depara'!$A:$B,2,0)</f>
        <v>16298600</v>
      </c>
      <c r="F84" s="1" t="str">
        <f t="shared" si="2"/>
        <v>0.0315</v>
      </c>
      <c r="G84" t="str">
        <f t="shared" si="3"/>
        <v>7010528,16298600,0.0315</v>
      </c>
    </row>
    <row r="85" spans="1:7" x14ac:dyDescent="0.25">
      <c r="A85" s="1" t="s">
        <v>1209</v>
      </c>
      <c r="B85" s="1" t="s">
        <v>1213</v>
      </c>
      <c r="C85" s="1" t="s">
        <v>41</v>
      </c>
      <c r="D85" t="str">
        <f>IFERROR(VLOOKUP(A85,depara!A:B,2,0),A85)</f>
        <v>7010528</v>
      </c>
      <c r="E85">
        <f>VLOOKUP(B85,'inumos depara'!$A:$B,2,0)</f>
        <v>16298618</v>
      </c>
      <c r="F85" s="1" t="str">
        <f t="shared" si="2"/>
        <v>0.0105</v>
      </c>
      <c r="G85" t="str">
        <f t="shared" si="3"/>
        <v>7010528,16298618,0.0105</v>
      </c>
    </row>
    <row r="86" spans="1:7" x14ac:dyDescent="0.25">
      <c r="A86" s="1" t="s">
        <v>1209</v>
      </c>
      <c r="B86" s="1" t="s">
        <v>1214</v>
      </c>
      <c r="C86" s="1" t="s">
        <v>42</v>
      </c>
      <c r="D86" t="str">
        <f>IFERROR(VLOOKUP(A86,depara!A:B,2,0),A86)</f>
        <v>7010528</v>
      </c>
      <c r="E86">
        <f>VLOOKUP(B86,'inumos depara'!$A:$B,2,0)</f>
        <v>16298619</v>
      </c>
      <c r="F86" s="1" t="str">
        <f t="shared" si="2"/>
        <v>0.0021</v>
      </c>
      <c r="G86" t="str">
        <f t="shared" si="3"/>
        <v>7010528,16298619,0.0021</v>
      </c>
    </row>
    <row r="87" spans="1:7" x14ac:dyDescent="0.25">
      <c r="A87" s="1" t="s">
        <v>1209</v>
      </c>
      <c r="B87" s="1" t="s">
        <v>1165</v>
      </c>
      <c r="C87" s="1" t="s">
        <v>40</v>
      </c>
      <c r="D87" t="str">
        <f>IFERROR(VLOOKUP(A87,depara!A:B,2,0),A87)</f>
        <v>7010528</v>
      </c>
      <c r="E87">
        <f>VLOOKUP(B87,'inumos depara'!$A:$B,2,0)</f>
        <v>16298574</v>
      </c>
      <c r="F87" s="1" t="str">
        <f t="shared" si="2"/>
        <v>0.0315</v>
      </c>
      <c r="G87" t="str">
        <f t="shared" si="3"/>
        <v>7010528,16298574,0.0315</v>
      </c>
    </row>
    <row r="88" spans="1:7" x14ac:dyDescent="0.25">
      <c r="A88" s="1" t="s">
        <v>1209</v>
      </c>
      <c r="B88" s="1" t="s">
        <v>1187</v>
      </c>
      <c r="C88" s="1" t="s">
        <v>41</v>
      </c>
      <c r="D88" t="str">
        <f>IFERROR(VLOOKUP(A88,depara!A:B,2,0),A88)</f>
        <v>7010528</v>
      </c>
      <c r="E88">
        <f>VLOOKUP(B88,'inumos depara'!$A:$B,2,0)</f>
        <v>16298593</v>
      </c>
      <c r="F88" s="1" t="str">
        <f t="shared" si="2"/>
        <v>0.0105</v>
      </c>
      <c r="G88" t="str">
        <f t="shared" si="3"/>
        <v>7010528,16298593,0.0105</v>
      </c>
    </row>
    <row r="89" spans="1:7" x14ac:dyDescent="0.25">
      <c r="A89" s="1" t="s">
        <v>1209</v>
      </c>
      <c r="B89" s="1" t="s">
        <v>1180</v>
      </c>
      <c r="C89" s="1" t="s">
        <v>43</v>
      </c>
      <c r="D89" t="str">
        <f>IFERROR(VLOOKUP(A89,depara!A:B,2,0),A89)</f>
        <v>7010528</v>
      </c>
      <c r="E89">
        <f>VLOOKUP(B89,'inumos depara'!$A:$B,2,0)</f>
        <v>16298588</v>
      </c>
      <c r="F89" s="1" t="str">
        <f t="shared" si="2"/>
        <v>0.042</v>
      </c>
      <c r="G89" t="str">
        <f t="shared" si="3"/>
        <v>7010528,16298588,0.042</v>
      </c>
    </row>
    <row r="90" spans="1:7" x14ac:dyDescent="0.25">
      <c r="A90" s="1" t="s">
        <v>1209</v>
      </c>
      <c r="B90" s="1" t="s">
        <v>1192</v>
      </c>
      <c r="C90" s="1" t="s">
        <v>44</v>
      </c>
      <c r="D90" t="str">
        <f>IFERROR(VLOOKUP(A90,depara!A:B,2,0),A90)</f>
        <v>7010528</v>
      </c>
      <c r="E90">
        <f>VLOOKUP(B90,'inumos depara'!$A:$B,2,0)</f>
        <v>16298598</v>
      </c>
      <c r="F90" s="1" t="str">
        <f t="shared" si="2"/>
        <v>0.021</v>
      </c>
      <c r="G90" t="str">
        <f t="shared" si="3"/>
        <v>7010528,16298598,0.021</v>
      </c>
    </row>
    <row r="91" spans="1:7" x14ac:dyDescent="0.25">
      <c r="A91" s="1" t="s">
        <v>1209</v>
      </c>
      <c r="B91" s="1" t="s">
        <v>1200</v>
      </c>
      <c r="C91" s="1" t="s">
        <v>45</v>
      </c>
      <c r="D91" t="str">
        <f>IFERROR(VLOOKUP(A91,depara!A:B,2,0),A91)</f>
        <v>7010528</v>
      </c>
      <c r="E91">
        <f>VLOOKUP(B91,'inumos depara'!$A:$B,2,0)</f>
        <v>16298605</v>
      </c>
      <c r="F91" s="1" t="str">
        <f t="shared" si="2"/>
        <v>0.0735</v>
      </c>
      <c r="G91" t="str">
        <f t="shared" si="3"/>
        <v>7010528,16298605,0.0735</v>
      </c>
    </row>
    <row r="92" spans="1:7" x14ac:dyDescent="0.25">
      <c r="A92" s="1" t="s">
        <v>1209</v>
      </c>
      <c r="B92" s="1" t="s">
        <v>1215</v>
      </c>
      <c r="C92" s="1" t="s">
        <v>46</v>
      </c>
      <c r="D92" t="str">
        <f>IFERROR(VLOOKUP(A92,depara!A:B,2,0),A92)</f>
        <v>7010528</v>
      </c>
      <c r="E92">
        <f>VLOOKUP(B92,'inumos depara'!$A:$B,2,0)</f>
        <v>16298620</v>
      </c>
      <c r="F92" s="1" t="str">
        <f t="shared" si="2"/>
        <v>0.00315333333333333</v>
      </c>
      <c r="G92" t="str">
        <f t="shared" si="3"/>
        <v>7010528,16298620,0.00315333333333333</v>
      </c>
    </row>
    <row r="93" spans="1:7" x14ac:dyDescent="0.25">
      <c r="A93" s="1" t="s">
        <v>1209</v>
      </c>
      <c r="B93" s="1" t="s">
        <v>1199</v>
      </c>
      <c r="C93" s="1" t="s">
        <v>40</v>
      </c>
      <c r="D93" t="str">
        <f>IFERROR(VLOOKUP(A93,depara!A:B,2,0),A93)</f>
        <v>7010528</v>
      </c>
      <c r="E93">
        <f>VLOOKUP(B93,'inumos depara'!$A:$B,2,0)</f>
        <v>16298604</v>
      </c>
      <c r="F93" s="1" t="str">
        <f t="shared" si="2"/>
        <v>0.0315</v>
      </c>
      <c r="G93" t="str">
        <f t="shared" si="3"/>
        <v>7010528,16298604,0.0315</v>
      </c>
    </row>
    <row r="94" spans="1:7" x14ac:dyDescent="0.25">
      <c r="A94" s="1" t="s">
        <v>1209</v>
      </c>
      <c r="B94" s="1" t="s">
        <v>1216</v>
      </c>
      <c r="C94" s="1" t="s">
        <v>47</v>
      </c>
      <c r="D94" t="str">
        <f>IFERROR(VLOOKUP(A94,depara!A:B,2,0),A94)</f>
        <v>7010528</v>
      </c>
      <c r="E94">
        <f>VLOOKUP(B94,'inumos depara'!$A:$B,2,0)</f>
        <v>16298621</v>
      </c>
      <c r="F94" s="1" t="str">
        <f t="shared" si="2"/>
        <v>0.0042</v>
      </c>
      <c r="G94" t="str">
        <f t="shared" si="3"/>
        <v>7010528,16298621,0.0042</v>
      </c>
    </row>
    <row r="95" spans="1:7" x14ac:dyDescent="0.25">
      <c r="A95" s="1" t="s">
        <v>1209</v>
      </c>
      <c r="B95" s="1" t="s">
        <v>1217</v>
      </c>
      <c r="C95" s="1" t="s">
        <v>48</v>
      </c>
      <c r="D95" t="str">
        <f>IFERROR(VLOOKUP(A95,depara!A:B,2,0),A95)</f>
        <v>7010528</v>
      </c>
      <c r="E95">
        <f>VLOOKUP(B95,'inumos depara'!$A:$B,2,0)</f>
        <v>16298622</v>
      </c>
      <c r="F95" s="1" t="str">
        <f t="shared" si="2"/>
        <v>0.00105333333333333</v>
      </c>
      <c r="G95" t="str">
        <f t="shared" si="3"/>
        <v>7010528,16298622,0.00105333333333333</v>
      </c>
    </row>
    <row r="96" spans="1:7" x14ac:dyDescent="0.25">
      <c r="A96" s="1" t="s">
        <v>1209</v>
      </c>
      <c r="B96" s="1" t="s">
        <v>1218</v>
      </c>
      <c r="C96" s="1" t="s">
        <v>44</v>
      </c>
      <c r="D96" t="str">
        <f>IFERROR(VLOOKUP(A96,depara!A:B,2,0),A96)</f>
        <v>7010528</v>
      </c>
      <c r="E96">
        <f>VLOOKUP(B96,'inumos depara'!$A:$B,2,0)</f>
        <v>16298623</v>
      </c>
      <c r="F96" s="1" t="str">
        <f t="shared" si="2"/>
        <v>0.021</v>
      </c>
      <c r="G96" t="str">
        <f t="shared" si="3"/>
        <v>7010528,16298623,0.021</v>
      </c>
    </row>
    <row r="97" spans="1:7" x14ac:dyDescent="0.25">
      <c r="A97" s="1" t="s">
        <v>1209</v>
      </c>
      <c r="B97" s="1" t="s">
        <v>1219</v>
      </c>
      <c r="C97" s="1" t="s">
        <v>44</v>
      </c>
      <c r="D97" t="str">
        <f>IFERROR(VLOOKUP(A97,depara!A:B,2,0),A97)</f>
        <v>7010528</v>
      </c>
      <c r="E97">
        <f>VLOOKUP(B97,'inumos depara'!$A:$B,2,0)</f>
        <v>16298624</v>
      </c>
      <c r="F97" s="1" t="str">
        <f t="shared" si="2"/>
        <v>0.021</v>
      </c>
      <c r="G97" t="str">
        <f t="shared" si="3"/>
        <v>7010528,16298624,0.021</v>
      </c>
    </row>
    <row r="98" spans="1:7" x14ac:dyDescent="0.25">
      <c r="A98" s="1" t="s">
        <v>1209</v>
      </c>
      <c r="B98" s="1" t="s">
        <v>1195</v>
      </c>
      <c r="C98" s="1" t="s">
        <v>49</v>
      </c>
      <c r="D98" t="str">
        <f>IFERROR(VLOOKUP(A98,depara!A:B,2,0),A98)</f>
        <v>7010528</v>
      </c>
      <c r="E98">
        <f>VLOOKUP(B98,'inumos depara'!$A:$B,2,0)</f>
        <v>16298601</v>
      </c>
      <c r="F98" s="1" t="str">
        <f t="shared" si="2"/>
        <v>0.3465</v>
      </c>
      <c r="G98" t="str">
        <f t="shared" si="3"/>
        <v>7010528,16298601,0.3465</v>
      </c>
    </row>
    <row r="99" spans="1:7" x14ac:dyDescent="0.25">
      <c r="A99" s="1" t="s">
        <v>1209</v>
      </c>
      <c r="B99" s="1" t="s">
        <v>1193</v>
      </c>
      <c r="C99" s="1" t="s">
        <v>50</v>
      </c>
      <c r="D99" t="str">
        <f>IFERROR(VLOOKUP(A99,depara!A:B,2,0),A99)</f>
        <v>7010528</v>
      </c>
      <c r="E99">
        <f>VLOOKUP(B99,'inumos depara'!$A:$B,2,0)</f>
        <v>16298599</v>
      </c>
      <c r="F99" s="1" t="str">
        <f t="shared" si="2"/>
        <v>0.00525333333333333</v>
      </c>
      <c r="G99" t="str">
        <f t="shared" si="3"/>
        <v>7010528,16298599,0.00525333333333333</v>
      </c>
    </row>
    <row r="100" spans="1:7" x14ac:dyDescent="0.25">
      <c r="A100" s="1" t="s">
        <v>1209</v>
      </c>
      <c r="B100" s="1" t="s">
        <v>1220</v>
      </c>
      <c r="C100" s="1" t="s">
        <v>48</v>
      </c>
      <c r="D100" t="str">
        <f>IFERROR(VLOOKUP(A100,depara!A:B,2,0),A100)</f>
        <v>7010528</v>
      </c>
      <c r="E100">
        <f>VLOOKUP(B100,'inumos depara'!$A:$B,2,0)</f>
        <v>16298625</v>
      </c>
      <c r="F100" s="1" t="str">
        <f t="shared" si="2"/>
        <v>0.00105333333333333</v>
      </c>
      <c r="G100" t="str">
        <f t="shared" si="3"/>
        <v>7010528,16298625,0.00105333333333333</v>
      </c>
    </row>
    <row r="101" spans="1:7" x14ac:dyDescent="0.25">
      <c r="A101" s="1" t="s">
        <v>1209</v>
      </c>
      <c r="B101" s="1" t="s">
        <v>1221</v>
      </c>
      <c r="C101" s="1" t="s">
        <v>48</v>
      </c>
      <c r="D101" t="str">
        <f>IFERROR(VLOOKUP(A101,depara!A:B,2,0),A101)</f>
        <v>7010528</v>
      </c>
      <c r="E101">
        <f>VLOOKUP(B101,'inumos depara'!$A:$B,2,0)</f>
        <v>16298626</v>
      </c>
      <c r="F101" s="1" t="str">
        <f t="shared" si="2"/>
        <v>0.00105333333333333</v>
      </c>
      <c r="G101" t="str">
        <f t="shared" si="3"/>
        <v>7010528,16298626,0.00105333333333333</v>
      </c>
    </row>
    <row r="102" spans="1:7" x14ac:dyDescent="0.25">
      <c r="A102" s="1" t="s">
        <v>1209</v>
      </c>
      <c r="B102" s="1" t="s">
        <v>1222</v>
      </c>
      <c r="C102" s="1" t="s">
        <v>51</v>
      </c>
      <c r="D102" t="str">
        <f>IFERROR(VLOOKUP(A102,depara!A:B,2,0),A102)</f>
        <v>7010528</v>
      </c>
      <c r="E102">
        <f>VLOOKUP(B102,'inumos depara'!$A:$B,2,0)</f>
        <v>16298627</v>
      </c>
      <c r="F102" s="1" t="str">
        <f t="shared" si="2"/>
        <v>0.000313333333333333</v>
      </c>
      <c r="G102" t="str">
        <f t="shared" si="3"/>
        <v>7010528,16298627,0.000313333333333333</v>
      </c>
    </row>
    <row r="103" spans="1:7" x14ac:dyDescent="0.25">
      <c r="A103" s="1" t="s">
        <v>1209</v>
      </c>
      <c r="B103" s="1" t="s">
        <v>1189</v>
      </c>
      <c r="C103" s="1" t="s">
        <v>41</v>
      </c>
      <c r="D103" t="str">
        <f>IFERROR(VLOOKUP(A103,depara!A:B,2,0),A103)</f>
        <v>7010528</v>
      </c>
      <c r="E103">
        <f>VLOOKUP(B103,'inumos depara'!$A:$B,2,0)</f>
        <v>16298595</v>
      </c>
      <c r="F103" s="1" t="str">
        <f t="shared" si="2"/>
        <v>0.0105</v>
      </c>
      <c r="G103" t="str">
        <f t="shared" si="3"/>
        <v>7010528,16298595,0.0105</v>
      </c>
    </row>
    <row r="104" spans="1:7" x14ac:dyDescent="0.25">
      <c r="A104" s="1" t="s">
        <v>1223</v>
      </c>
      <c r="B104" s="1" t="s">
        <v>1180</v>
      </c>
      <c r="C104" s="1" t="s">
        <v>52</v>
      </c>
      <c r="D104" t="str">
        <f>IFERROR(VLOOKUP(A104,depara!A:B,2,0),A104)</f>
        <v>7010529</v>
      </c>
      <c r="E104">
        <f>VLOOKUP(B104,'inumos depara'!$A:$B,2,0)</f>
        <v>16298588</v>
      </c>
      <c r="F104" s="1" t="str">
        <f t="shared" si="2"/>
        <v>0.052</v>
      </c>
      <c r="G104" t="str">
        <f t="shared" si="3"/>
        <v>7010529,16298588,0.052</v>
      </c>
    </row>
    <row r="105" spans="1:7" x14ac:dyDescent="0.25">
      <c r="A105" s="1" t="s">
        <v>1223</v>
      </c>
      <c r="B105" s="1" t="s">
        <v>1200</v>
      </c>
      <c r="C105" s="1" t="s">
        <v>53</v>
      </c>
      <c r="D105" t="str">
        <f>IFERROR(VLOOKUP(A105,depara!A:B,2,0),A105)</f>
        <v>7010529</v>
      </c>
      <c r="E105">
        <f>VLOOKUP(B105,'inumos depara'!$A:$B,2,0)</f>
        <v>16298605</v>
      </c>
      <c r="F105" s="1" t="str">
        <f t="shared" si="2"/>
        <v>0.0728</v>
      </c>
      <c r="G105" t="str">
        <f t="shared" si="3"/>
        <v>7010529,16298605,0.0728</v>
      </c>
    </row>
    <row r="106" spans="1:7" x14ac:dyDescent="0.25">
      <c r="A106" s="1" t="s">
        <v>1223</v>
      </c>
      <c r="B106" s="1" t="s">
        <v>1195</v>
      </c>
      <c r="C106" s="1" t="s">
        <v>54</v>
      </c>
      <c r="D106" t="str">
        <f>IFERROR(VLOOKUP(A106,depara!A:B,2,0),A106)</f>
        <v>7010529</v>
      </c>
      <c r="E106">
        <f>VLOOKUP(B106,'inumos depara'!$A:$B,2,0)</f>
        <v>16298601</v>
      </c>
      <c r="F106" s="1" t="str">
        <f t="shared" si="2"/>
        <v>0.364</v>
      </c>
      <c r="G106" t="str">
        <f t="shared" si="3"/>
        <v>7010529,16298601,0.364</v>
      </c>
    </row>
    <row r="107" spans="1:7" x14ac:dyDescent="0.25">
      <c r="A107" s="1" t="s">
        <v>1223</v>
      </c>
      <c r="B107" s="1" t="s">
        <v>1215</v>
      </c>
      <c r="C107" s="1" t="s">
        <v>55</v>
      </c>
      <c r="D107" t="str">
        <f>IFERROR(VLOOKUP(A107,depara!A:B,2,0),A107)</f>
        <v>7010529</v>
      </c>
      <c r="E107">
        <f>VLOOKUP(B107,'inumos depara'!$A:$B,2,0)</f>
        <v>16298620</v>
      </c>
      <c r="F107" s="1" t="str">
        <f t="shared" si="2"/>
        <v>0.00312</v>
      </c>
      <c r="G107" t="str">
        <f t="shared" si="3"/>
        <v>7010529,16298620,0.00312</v>
      </c>
    </row>
    <row r="108" spans="1:7" x14ac:dyDescent="0.25">
      <c r="A108" s="1" t="s">
        <v>1223</v>
      </c>
      <c r="B108" s="1" t="s">
        <v>1199</v>
      </c>
      <c r="C108" s="1" t="s">
        <v>56</v>
      </c>
      <c r="D108" t="str">
        <f>IFERROR(VLOOKUP(A108,depara!A:B,2,0),A108)</f>
        <v>7010529</v>
      </c>
      <c r="E108">
        <f>VLOOKUP(B108,'inumos depara'!$A:$B,2,0)</f>
        <v>16298604</v>
      </c>
      <c r="F108" s="1" t="str">
        <f t="shared" si="2"/>
        <v>0.0052</v>
      </c>
      <c r="G108" t="str">
        <f t="shared" si="3"/>
        <v>7010529,16298604,0.0052</v>
      </c>
    </row>
    <row r="109" spans="1:7" x14ac:dyDescent="0.25">
      <c r="A109" s="1" t="s">
        <v>1223</v>
      </c>
      <c r="B109" s="1" t="s">
        <v>1216</v>
      </c>
      <c r="C109" s="1" t="s">
        <v>57</v>
      </c>
      <c r="D109" t="str">
        <f>IFERROR(VLOOKUP(A109,depara!A:B,2,0),A109)</f>
        <v>7010529</v>
      </c>
      <c r="E109">
        <f>VLOOKUP(B109,'inumos depara'!$A:$B,2,0)</f>
        <v>16298621</v>
      </c>
      <c r="F109" s="1" t="str">
        <f t="shared" si="2"/>
        <v>0.00416</v>
      </c>
      <c r="G109" t="str">
        <f t="shared" si="3"/>
        <v>7010529,16298621,0.00416</v>
      </c>
    </row>
    <row r="110" spans="1:7" x14ac:dyDescent="0.25">
      <c r="A110" s="1" t="s">
        <v>1223</v>
      </c>
      <c r="B110" s="1" t="s">
        <v>1224</v>
      </c>
      <c r="C110" s="1" t="s">
        <v>56</v>
      </c>
      <c r="D110" t="str">
        <f>IFERROR(VLOOKUP(A110,depara!A:B,2,0),A110)</f>
        <v>7010529</v>
      </c>
      <c r="E110">
        <f>VLOOKUP(B110,'inumos depara'!$A:$B,2,0)</f>
        <v>16298628</v>
      </c>
      <c r="F110" s="1" t="str">
        <f t="shared" si="2"/>
        <v>0.0052</v>
      </c>
      <c r="G110" t="str">
        <f t="shared" si="3"/>
        <v>7010529,16298628,0.0052</v>
      </c>
    </row>
    <row r="111" spans="1:7" x14ac:dyDescent="0.25">
      <c r="A111" s="1" t="s">
        <v>1223</v>
      </c>
      <c r="B111" s="1" t="s">
        <v>1210</v>
      </c>
      <c r="C111" s="1" t="s">
        <v>58</v>
      </c>
      <c r="D111" t="str">
        <f>IFERROR(VLOOKUP(A111,depara!A:B,2,0),A111)</f>
        <v>7010529</v>
      </c>
      <c r="E111">
        <f>VLOOKUP(B111,'inumos depara'!$A:$B,2,0)</f>
        <v>16298615</v>
      </c>
      <c r="F111" s="1" t="str">
        <f t="shared" si="2"/>
        <v>0.00104</v>
      </c>
      <c r="G111" t="str">
        <f t="shared" si="3"/>
        <v>7010529,16298615,0.00104</v>
      </c>
    </row>
    <row r="112" spans="1:7" x14ac:dyDescent="0.25">
      <c r="A112" s="1" t="s">
        <v>1223</v>
      </c>
      <c r="B112" s="1" t="s">
        <v>1222</v>
      </c>
      <c r="C112" s="1" t="s">
        <v>51</v>
      </c>
      <c r="D112" t="str">
        <f>IFERROR(VLOOKUP(A112,depara!A:B,2,0),A112)</f>
        <v>7010529</v>
      </c>
      <c r="E112">
        <f>VLOOKUP(B112,'inumos depara'!$A:$B,2,0)</f>
        <v>16298627</v>
      </c>
      <c r="F112" s="1" t="str">
        <f t="shared" si="2"/>
        <v>0.000313333333333333</v>
      </c>
      <c r="G112" t="str">
        <f t="shared" si="3"/>
        <v>7010529,16298627,0.000313333333333333</v>
      </c>
    </row>
    <row r="113" spans="1:7" x14ac:dyDescent="0.25">
      <c r="A113" s="1" t="s">
        <v>1223</v>
      </c>
      <c r="B113" s="1" t="s">
        <v>1221</v>
      </c>
      <c r="C113" s="1" t="s">
        <v>59</v>
      </c>
      <c r="D113" t="str">
        <f>IFERROR(VLOOKUP(A113,depara!A:B,2,0),A113)</f>
        <v>7010529</v>
      </c>
      <c r="E113">
        <f>VLOOKUP(B113,'inumos depara'!$A:$B,2,0)</f>
        <v>16298626</v>
      </c>
      <c r="F113" s="1" t="str">
        <f t="shared" si="2"/>
        <v>0.00208</v>
      </c>
      <c r="G113" t="str">
        <f t="shared" si="3"/>
        <v>7010529,16298626,0.00208</v>
      </c>
    </row>
    <row r="114" spans="1:7" x14ac:dyDescent="0.25">
      <c r="A114" s="1" t="s">
        <v>1223</v>
      </c>
      <c r="B114" s="1" t="s">
        <v>1193</v>
      </c>
      <c r="C114" s="1" t="s">
        <v>60</v>
      </c>
      <c r="D114" t="str">
        <f>IFERROR(VLOOKUP(A114,depara!A:B,2,0),A114)</f>
        <v>7010529</v>
      </c>
      <c r="E114">
        <f>VLOOKUP(B114,'inumos depara'!$A:$B,2,0)</f>
        <v>16298599</v>
      </c>
      <c r="F114" s="1" t="str">
        <f t="shared" si="2"/>
        <v>0.0312</v>
      </c>
      <c r="G114" t="str">
        <f t="shared" si="3"/>
        <v>7010529,16298599,0.0312</v>
      </c>
    </row>
    <row r="115" spans="1:7" x14ac:dyDescent="0.25">
      <c r="A115" s="1" t="s">
        <v>1223</v>
      </c>
      <c r="B115" s="1" t="s">
        <v>1185</v>
      </c>
      <c r="C115" s="1" t="s">
        <v>61</v>
      </c>
      <c r="D115" t="str">
        <f>IFERROR(VLOOKUP(A115,depara!A:B,2,0),A115)</f>
        <v>7010529</v>
      </c>
      <c r="E115">
        <f>VLOOKUP(B115,'inumos depara'!$A:$B,2,0)</f>
        <v>16298591</v>
      </c>
      <c r="F115" s="1" t="str">
        <f t="shared" si="2"/>
        <v>0.00052</v>
      </c>
      <c r="G115" t="str">
        <f t="shared" si="3"/>
        <v>7010529,16298591,0.00052</v>
      </c>
    </row>
    <row r="116" spans="1:7" x14ac:dyDescent="0.25">
      <c r="A116" s="1" t="s">
        <v>1223</v>
      </c>
      <c r="B116" s="1" t="s">
        <v>1211</v>
      </c>
      <c r="C116" s="1" t="s">
        <v>59</v>
      </c>
      <c r="D116" t="str">
        <f>IFERROR(VLOOKUP(A116,depara!A:B,2,0),A116)</f>
        <v>7010529</v>
      </c>
      <c r="E116">
        <f>VLOOKUP(B116,'inumos depara'!$A:$B,2,0)</f>
        <v>16298616</v>
      </c>
      <c r="F116" s="1" t="str">
        <f t="shared" si="2"/>
        <v>0.00208</v>
      </c>
      <c r="G116" t="str">
        <f t="shared" si="3"/>
        <v>7010529,16298616,0.00208</v>
      </c>
    </row>
    <row r="117" spans="1:7" x14ac:dyDescent="0.25">
      <c r="A117" s="1" t="s">
        <v>1223</v>
      </c>
      <c r="B117" s="1" t="s">
        <v>1165</v>
      </c>
      <c r="C117" s="1" t="s">
        <v>60</v>
      </c>
      <c r="D117" t="str">
        <f>IFERROR(VLOOKUP(A117,depara!A:B,2,0),A117)</f>
        <v>7010529</v>
      </c>
      <c r="E117">
        <f>VLOOKUP(B117,'inumos depara'!$A:$B,2,0)</f>
        <v>16298574</v>
      </c>
      <c r="F117" s="1" t="str">
        <f t="shared" si="2"/>
        <v>0.0312</v>
      </c>
      <c r="G117" t="str">
        <f t="shared" si="3"/>
        <v>7010529,16298574,0.0312</v>
      </c>
    </row>
    <row r="118" spans="1:7" x14ac:dyDescent="0.25">
      <c r="A118" s="1" t="s">
        <v>1223</v>
      </c>
      <c r="B118" s="1" t="s">
        <v>1212</v>
      </c>
      <c r="C118" s="1" t="s">
        <v>55</v>
      </c>
      <c r="D118" t="str">
        <f>IFERROR(VLOOKUP(A118,depara!A:B,2,0),A118)</f>
        <v>7010529</v>
      </c>
      <c r="E118">
        <f>VLOOKUP(B118,'inumos depara'!$A:$B,2,0)</f>
        <v>16298617</v>
      </c>
      <c r="F118" s="1" t="str">
        <f t="shared" si="2"/>
        <v>0.00312</v>
      </c>
      <c r="G118" t="str">
        <f t="shared" si="3"/>
        <v>7010529,16298617,0.00312</v>
      </c>
    </row>
    <row r="119" spans="1:7" x14ac:dyDescent="0.25">
      <c r="A119" s="1" t="s">
        <v>1223</v>
      </c>
      <c r="B119" s="1" t="s">
        <v>1194</v>
      </c>
      <c r="C119" s="1" t="s">
        <v>60</v>
      </c>
      <c r="D119" t="str">
        <f>IFERROR(VLOOKUP(A119,depara!A:B,2,0),A119)</f>
        <v>7010529</v>
      </c>
      <c r="E119">
        <f>VLOOKUP(B119,'inumos depara'!$A:$B,2,0)</f>
        <v>16298600</v>
      </c>
      <c r="F119" s="1" t="str">
        <f t="shared" si="2"/>
        <v>0.0312</v>
      </c>
      <c r="G119" t="str">
        <f t="shared" si="3"/>
        <v>7010529,16298600,0.0312</v>
      </c>
    </row>
    <row r="120" spans="1:7" x14ac:dyDescent="0.25">
      <c r="A120" s="1" t="s">
        <v>1223</v>
      </c>
      <c r="B120" s="1" t="s">
        <v>1187</v>
      </c>
      <c r="C120" s="1" t="s">
        <v>62</v>
      </c>
      <c r="D120" t="str">
        <f>IFERROR(VLOOKUP(A120,depara!A:B,2,0),A120)</f>
        <v>7010529</v>
      </c>
      <c r="E120">
        <f>VLOOKUP(B120,'inumos depara'!$A:$B,2,0)</f>
        <v>16298593</v>
      </c>
      <c r="F120" s="1" t="str">
        <f t="shared" si="2"/>
        <v>0.0208</v>
      </c>
      <c r="G120" t="str">
        <f t="shared" si="3"/>
        <v>7010529,16298593,0.0208</v>
      </c>
    </row>
    <row r="121" spans="1:7" x14ac:dyDescent="0.25">
      <c r="A121" s="1" t="s">
        <v>1223</v>
      </c>
      <c r="B121" s="1" t="s">
        <v>1192</v>
      </c>
      <c r="C121" s="1" t="s">
        <v>62</v>
      </c>
      <c r="D121" t="str">
        <f>IFERROR(VLOOKUP(A121,depara!A:B,2,0),A121)</f>
        <v>7010529</v>
      </c>
      <c r="E121">
        <f>VLOOKUP(B121,'inumos depara'!$A:$B,2,0)</f>
        <v>16298598</v>
      </c>
      <c r="F121" s="1" t="str">
        <f t="shared" si="2"/>
        <v>0.0208</v>
      </c>
      <c r="G121" t="str">
        <f t="shared" si="3"/>
        <v>7010529,16298598,0.0208</v>
      </c>
    </row>
    <row r="122" spans="1:7" x14ac:dyDescent="0.25">
      <c r="A122" s="1" t="s">
        <v>1225</v>
      </c>
      <c r="B122" s="1" t="s">
        <v>1226</v>
      </c>
      <c r="C122" s="1" t="s">
        <v>8</v>
      </c>
      <c r="D122" t="str">
        <f>IFERROR(VLOOKUP(A122,depara!A:B,2,0),A122)</f>
        <v>7010530</v>
      </c>
      <c r="E122">
        <f>VLOOKUP(B122,'inumos depara'!$A:$B,2,0)</f>
        <v>16298629</v>
      </c>
      <c r="F122" s="1" t="str">
        <f t="shared" si="2"/>
        <v>0.06</v>
      </c>
      <c r="G122" t="str">
        <f t="shared" si="3"/>
        <v>7010530,16298629,0.06</v>
      </c>
    </row>
    <row r="123" spans="1:7" x14ac:dyDescent="0.25">
      <c r="A123" s="1" t="s">
        <v>1225</v>
      </c>
      <c r="B123" s="1" t="s">
        <v>1227</v>
      </c>
      <c r="C123" s="1" t="s">
        <v>63</v>
      </c>
      <c r="D123" t="str">
        <f>IFERROR(VLOOKUP(A123,depara!A:B,2,0),A123)</f>
        <v>7010530</v>
      </c>
      <c r="E123">
        <f>VLOOKUP(B123,'inumos depara'!$A:$B,2,0)</f>
        <v>16298630</v>
      </c>
      <c r="F123" s="1" t="str">
        <f t="shared" si="2"/>
        <v>0.15</v>
      </c>
      <c r="G123" t="str">
        <f t="shared" si="3"/>
        <v>7010530,16298630,0.15</v>
      </c>
    </row>
    <row r="124" spans="1:7" x14ac:dyDescent="0.25">
      <c r="A124" s="1" t="s">
        <v>1225</v>
      </c>
      <c r="B124" s="1" t="s">
        <v>1228</v>
      </c>
      <c r="C124" s="1" t="s">
        <v>64</v>
      </c>
      <c r="D124" t="str">
        <f>IFERROR(VLOOKUP(A124,depara!A:B,2,0),A124)</f>
        <v>7010530</v>
      </c>
      <c r="E124">
        <f>VLOOKUP(B124,'inumos depara'!$A:$B,2,0)</f>
        <v>16298631</v>
      </c>
      <c r="F124" s="1" t="str">
        <f t="shared" si="2"/>
        <v>0.02</v>
      </c>
      <c r="G124" t="str">
        <f t="shared" si="3"/>
        <v>7010530,16298631,0.02</v>
      </c>
    </row>
    <row r="125" spans="1:7" x14ac:dyDescent="0.25">
      <c r="A125" s="1" t="s">
        <v>1225</v>
      </c>
      <c r="B125" s="1" t="s">
        <v>1229</v>
      </c>
      <c r="C125" s="1" t="s">
        <v>1150</v>
      </c>
      <c r="D125" t="str">
        <f>IFERROR(VLOOKUP(A125,depara!A:B,2,0),A125)</f>
        <v>7010530</v>
      </c>
      <c r="E125">
        <f>VLOOKUP(B125,'inumos depara'!$A:$B,2,0)</f>
        <v>16298632</v>
      </c>
      <c r="F125" s="1" t="str">
        <f t="shared" si="2"/>
        <v>1</v>
      </c>
      <c r="G125" t="str">
        <f t="shared" si="3"/>
        <v>7010530,16298632,1</v>
      </c>
    </row>
    <row r="126" spans="1:7" x14ac:dyDescent="0.25">
      <c r="A126" s="1" t="s">
        <v>1225</v>
      </c>
      <c r="B126" s="1" t="s">
        <v>1146</v>
      </c>
      <c r="C126" s="1" t="s">
        <v>6</v>
      </c>
      <c r="D126" t="str">
        <f>IFERROR(VLOOKUP(A126,depara!A:B,2,0),A126)</f>
        <v>7010530</v>
      </c>
      <c r="E126">
        <f>VLOOKUP(B126,'inumos depara'!$A:$B,2,0)</f>
        <v>16298558</v>
      </c>
      <c r="F126" s="1" t="str">
        <f t="shared" si="2"/>
        <v>0.01</v>
      </c>
      <c r="G126" t="str">
        <f t="shared" si="3"/>
        <v>7010530,16298558,0.01</v>
      </c>
    </row>
    <row r="127" spans="1:7" x14ac:dyDescent="0.25">
      <c r="A127" s="1" t="s">
        <v>1225</v>
      </c>
      <c r="B127" s="1" t="s">
        <v>1230</v>
      </c>
      <c r="C127" s="1" t="s">
        <v>6</v>
      </c>
      <c r="D127" t="str">
        <f>IFERROR(VLOOKUP(A127,depara!A:B,2,0),A127)</f>
        <v>7010530</v>
      </c>
      <c r="E127">
        <f>VLOOKUP(B127,'inumos depara'!$A:$B,2,0)</f>
        <v>16298633</v>
      </c>
      <c r="F127" s="1" t="str">
        <f t="shared" si="2"/>
        <v>0.01</v>
      </c>
      <c r="G127" t="str">
        <f t="shared" si="3"/>
        <v>7010530,16298633,0.01</v>
      </c>
    </row>
    <row r="128" spans="1:7" x14ac:dyDescent="0.25">
      <c r="A128" s="1" t="s">
        <v>1225</v>
      </c>
      <c r="B128" s="1" t="s">
        <v>1231</v>
      </c>
      <c r="C128" s="1" t="s">
        <v>65</v>
      </c>
      <c r="D128" t="str">
        <f>IFERROR(VLOOKUP(A128,depara!A:B,2,0),A128)</f>
        <v>7010530</v>
      </c>
      <c r="E128">
        <f>VLOOKUP(B128,'inumos depara'!$A:$B,2,0)</f>
        <v>16298634</v>
      </c>
      <c r="F128" s="1" t="str">
        <f t="shared" si="2"/>
        <v>0.0526</v>
      </c>
      <c r="G128" t="str">
        <f t="shared" si="3"/>
        <v>7010530,16298634,0.0526</v>
      </c>
    </row>
    <row r="129" spans="1:7" x14ac:dyDescent="0.25">
      <c r="A129" s="1" t="s">
        <v>1225</v>
      </c>
      <c r="B129" s="1" t="s">
        <v>1232</v>
      </c>
      <c r="C129" s="1" t="s">
        <v>66</v>
      </c>
      <c r="D129" t="str">
        <f>IFERROR(VLOOKUP(A129,depara!A:B,2,0),A129)</f>
        <v>7010530</v>
      </c>
      <c r="E129">
        <f>VLOOKUP(B129,'inumos depara'!$A:$B,2,0)</f>
        <v>16298635</v>
      </c>
      <c r="F129" s="1" t="str">
        <f t="shared" si="2"/>
        <v>0.07</v>
      </c>
      <c r="G129" t="str">
        <f t="shared" si="3"/>
        <v>7010530,16298635,0.07</v>
      </c>
    </row>
    <row r="130" spans="1:7" x14ac:dyDescent="0.25">
      <c r="A130" s="1" t="s">
        <v>1225</v>
      </c>
      <c r="B130" s="1" t="s">
        <v>1147</v>
      </c>
      <c r="C130" s="1" t="s">
        <v>67</v>
      </c>
      <c r="D130" t="str">
        <f>IFERROR(VLOOKUP(A130,depara!A:B,2,0),A130)</f>
        <v>7010530</v>
      </c>
      <c r="E130">
        <f>VLOOKUP(B130,'inumos depara'!$A:$B,2,0)</f>
        <v>16298559</v>
      </c>
      <c r="F130" s="1" t="str">
        <f t="shared" ref="F130:F193" si="4">C130</f>
        <v>0.1</v>
      </c>
      <c r="G130" t="str">
        <f t="shared" ref="G130:G193" si="5">D130&amp;","&amp;E130&amp;","&amp;F130</f>
        <v>7010530,16298559,0.1</v>
      </c>
    </row>
    <row r="131" spans="1:7" x14ac:dyDescent="0.25">
      <c r="A131" s="1" t="s">
        <v>1225</v>
      </c>
      <c r="B131" s="1" t="s">
        <v>1233</v>
      </c>
      <c r="C131" s="1" t="s">
        <v>6</v>
      </c>
      <c r="D131" t="str">
        <f>IFERROR(VLOOKUP(A131,depara!A:B,2,0),A131)</f>
        <v>7010530</v>
      </c>
      <c r="E131">
        <f>VLOOKUP(B131,'inumos depara'!$A:$B,2,0)</f>
        <v>16298636</v>
      </c>
      <c r="F131" s="1" t="str">
        <f t="shared" si="4"/>
        <v>0.01</v>
      </c>
      <c r="G131" t="str">
        <f t="shared" si="5"/>
        <v>7010530,16298636,0.01</v>
      </c>
    </row>
    <row r="132" spans="1:7" x14ac:dyDescent="0.25">
      <c r="A132" s="1" t="s">
        <v>1225</v>
      </c>
      <c r="B132" s="1" t="s">
        <v>1234</v>
      </c>
      <c r="C132" s="1" t="s">
        <v>68</v>
      </c>
      <c r="D132" t="str">
        <f>IFERROR(VLOOKUP(A132,depara!A:B,2,0),A132)</f>
        <v>7010530</v>
      </c>
      <c r="E132">
        <f>VLOOKUP(B132,'inumos depara'!$A:$B,2,0)</f>
        <v>16298637</v>
      </c>
      <c r="F132" s="1" t="str">
        <f t="shared" si="4"/>
        <v>0.004</v>
      </c>
      <c r="G132" t="str">
        <f t="shared" si="5"/>
        <v>7010530,16298637,0.004</v>
      </c>
    </row>
    <row r="133" spans="1:7" x14ac:dyDescent="0.25">
      <c r="A133" s="1" t="s">
        <v>1235</v>
      </c>
      <c r="B133" s="1" t="s">
        <v>1236</v>
      </c>
      <c r="C133" s="1" t="s">
        <v>69</v>
      </c>
      <c r="D133" t="str">
        <f>IFERROR(VLOOKUP(A133,depara!A:B,2,0),A133)</f>
        <v>7010531</v>
      </c>
      <c r="E133">
        <f>VLOOKUP(B133,'inumos depara'!$A:$B,2,0)</f>
        <v>16298638</v>
      </c>
      <c r="F133" s="1" t="str">
        <f t="shared" si="4"/>
        <v>0.01352</v>
      </c>
      <c r="G133" t="str">
        <f t="shared" si="5"/>
        <v>7010531,16298638,0.01352</v>
      </c>
    </row>
    <row r="134" spans="1:7" x14ac:dyDescent="0.25">
      <c r="A134" s="1" t="s">
        <v>1235</v>
      </c>
      <c r="B134" s="1" t="s">
        <v>1170</v>
      </c>
      <c r="C134" s="1" t="s">
        <v>58</v>
      </c>
      <c r="D134" t="str">
        <f>IFERROR(VLOOKUP(A134,depara!A:B,2,0),A134)</f>
        <v>7010531</v>
      </c>
      <c r="E134">
        <f>VLOOKUP(B134,'inumos depara'!$A:$B,2,0)</f>
        <v>16298579</v>
      </c>
      <c r="F134" s="1" t="str">
        <f t="shared" si="4"/>
        <v>0.00104</v>
      </c>
      <c r="G134" t="str">
        <f t="shared" si="5"/>
        <v>7010531,16298579,0.00104</v>
      </c>
    </row>
    <row r="135" spans="1:7" x14ac:dyDescent="0.25">
      <c r="A135" s="1" t="s">
        <v>1235</v>
      </c>
      <c r="B135" s="1" t="s">
        <v>1174</v>
      </c>
      <c r="C135" s="1" t="s">
        <v>56</v>
      </c>
      <c r="D135" t="str">
        <f>IFERROR(VLOOKUP(A135,depara!A:B,2,0),A135)</f>
        <v>7010531</v>
      </c>
      <c r="E135">
        <f>VLOOKUP(B135,'inumos depara'!$A:$B,2,0)</f>
        <v>16298583</v>
      </c>
      <c r="F135" s="1" t="str">
        <f t="shared" si="4"/>
        <v>0.0052</v>
      </c>
      <c r="G135" t="str">
        <f t="shared" si="5"/>
        <v>7010531,16298583,0.0052</v>
      </c>
    </row>
    <row r="136" spans="1:7" x14ac:dyDescent="0.25">
      <c r="A136" s="1" t="s">
        <v>1235</v>
      </c>
      <c r="B136" s="1" t="s">
        <v>1146</v>
      </c>
      <c r="C136" s="1" t="s">
        <v>62</v>
      </c>
      <c r="D136" t="str">
        <f>IFERROR(VLOOKUP(A136,depara!A:B,2,0),A136)</f>
        <v>7010531</v>
      </c>
      <c r="E136">
        <f>VLOOKUP(B136,'inumos depara'!$A:$B,2,0)</f>
        <v>16298558</v>
      </c>
      <c r="F136" s="1" t="str">
        <f t="shared" si="4"/>
        <v>0.0208</v>
      </c>
      <c r="G136" t="str">
        <f t="shared" si="5"/>
        <v>7010531,16298558,0.0208</v>
      </c>
    </row>
    <row r="137" spans="1:7" x14ac:dyDescent="0.25">
      <c r="A137" s="1" t="s">
        <v>1235</v>
      </c>
      <c r="B137" s="1" t="s">
        <v>1219</v>
      </c>
      <c r="C137" s="1" t="s">
        <v>58</v>
      </c>
      <c r="D137" t="str">
        <f>IFERROR(VLOOKUP(A137,depara!A:B,2,0),A137)</f>
        <v>7010531</v>
      </c>
      <c r="E137">
        <f>VLOOKUP(B137,'inumos depara'!$A:$B,2,0)</f>
        <v>16298624</v>
      </c>
      <c r="F137" s="1" t="str">
        <f t="shared" si="4"/>
        <v>0.00104</v>
      </c>
      <c r="G137" t="str">
        <f t="shared" si="5"/>
        <v>7010531,16298624,0.00104</v>
      </c>
    </row>
    <row r="138" spans="1:7" x14ac:dyDescent="0.25">
      <c r="A138" s="1" t="s">
        <v>1235</v>
      </c>
      <c r="B138" s="1" t="s">
        <v>1237</v>
      </c>
      <c r="C138" s="1" t="s">
        <v>56</v>
      </c>
      <c r="D138" t="str">
        <f>IFERROR(VLOOKUP(A138,depara!A:B,2,0),A138)</f>
        <v>7010531</v>
      </c>
      <c r="E138">
        <f>VLOOKUP(B138,'inumos depara'!$A:$B,2,0)</f>
        <v>16298639</v>
      </c>
      <c r="F138" s="1" t="str">
        <f t="shared" si="4"/>
        <v>0.0052</v>
      </c>
      <c r="G138" t="str">
        <f t="shared" si="5"/>
        <v>7010531,16298639,0.0052</v>
      </c>
    </row>
    <row r="139" spans="1:7" x14ac:dyDescent="0.25">
      <c r="A139" s="1" t="s">
        <v>1235</v>
      </c>
      <c r="B139" s="1" t="s">
        <v>1231</v>
      </c>
      <c r="C139" s="1" t="s">
        <v>53</v>
      </c>
      <c r="D139" t="str">
        <f>IFERROR(VLOOKUP(A139,depara!A:B,2,0),A139)</f>
        <v>7010531</v>
      </c>
      <c r="E139">
        <f>VLOOKUP(B139,'inumos depara'!$A:$B,2,0)</f>
        <v>16298634</v>
      </c>
      <c r="F139" s="1" t="str">
        <f t="shared" si="4"/>
        <v>0.0728</v>
      </c>
      <c r="G139" t="str">
        <f t="shared" si="5"/>
        <v>7010531,16298634,0.0728</v>
      </c>
    </row>
    <row r="140" spans="1:7" x14ac:dyDescent="0.25">
      <c r="A140" s="1" t="s">
        <v>1235</v>
      </c>
      <c r="B140" s="1" t="s">
        <v>1238</v>
      </c>
      <c r="C140" s="1" t="s">
        <v>52</v>
      </c>
      <c r="D140" t="str">
        <f>IFERROR(VLOOKUP(A140,depara!A:B,2,0),A140)</f>
        <v>7010531</v>
      </c>
      <c r="E140">
        <f>VLOOKUP(B140,'inumos depara'!$A:$B,2,0)</f>
        <v>16298640</v>
      </c>
      <c r="F140" s="1" t="str">
        <f t="shared" si="4"/>
        <v>0.052</v>
      </c>
      <c r="G140" t="str">
        <f t="shared" si="5"/>
        <v>7010531,16298640,0.052</v>
      </c>
    </row>
    <row r="141" spans="1:7" x14ac:dyDescent="0.25">
      <c r="A141" s="1" t="s">
        <v>1235</v>
      </c>
      <c r="B141" s="1" t="s">
        <v>1151</v>
      </c>
      <c r="C141" s="1" t="s">
        <v>55</v>
      </c>
      <c r="D141" t="str">
        <f>IFERROR(VLOOKUP(A141,depara!A:B,2,0),A141)</f>
        <v>7010531</v>
      </c>
      <c r="E141">
        <f>VLOOKUP(B141,'inumos depara'!$A:$B,2,0)</f>
        <v>16298562</v>
      </c>
      <c r="F141" s="1" t="str">
        <f t="shared" si="4"/>
        <v>0.00312</v>
      </c>
      <c r="G141" t="str">
        <f t="shared" si="5"/>
        <v>7010531,16298562,0.00312</v>
      </c>
    </row>
    <row r="142" spans="1:7" x14ac:dyDescent="0.25">
      <c r="A142" s="1" t="s">
        <v>1235</v>
      </c>
      <c r="B142" s="1" t="s">
        <v>1239</v>
      </c>
      <c r="C142" s="1" t="s">
        <v>58</v>
      </c>
      <c r="D142" t="str">
        <f>IFERROR(VLOOKUP(A142,depara!A:B,2,0),A142)</f>
        <v>7010531</v>
      </c>
      <c r="E142">
        <f>VLOOKUP(B142,'inumos depara'!$A:$B,2,0)</f>
        <v>16298641</v>
      </c>
      <c r="F142" s="1" t="str">
        <f t="shared" si="4"/>
        <v>0.00104</v>
      </c>
      <c r="G142" t="str">
        <f t="shared" si="5"/>
        <v>7010531,16298641,0.00104</v>
      </c>
    </row>
    <row r="143" spans="1:7" x14ac:dyDescent="0.25">
      <c r="A143" s="1" t="s">
        <v>1235</v>
      </c>
      <c r="B143" s="1" t="s">
        <v>1240</v>
      </c>
      <c r="C143" s="1" t="s">
        <v>70</v>
      </c>
      <c r="D143" t="str">
        <f>IFERROR(VLOOKUP(A143,depara!A:B,2,0),A143)</f>
        <v>7010531</v>
      </c>
      <c r="E143">
        <f>VLOOKUP(B143,'inumos depara'!$A:$B,2,0)</f>
        <v>16298642</v>
      </c>
      <c r="F143" s="1" t="str">
        <f t="shared" si="4"/>
        <v>0.000626666666666667</v>
      </c>
      <c r="G143" t="str">
        <f t="shared" si="5"/>
        <v>7010531,16298642,0.000626666666666667</v>
      </c>
    </row>
    <row r="144" spans="1:7" x14ac:dyDescent="0.25">
      <c r="A144" s="1" t="s">
        <v>1241</v>
      </c>
      <c r="B144" s="1" t="s">
        <v>1156</v>
      </c>
      <c r="C144" s="1" t="s">
        <v>10</v>
      </c>
      <c r="D144" t="str">
        <f>IFERROR(VLOOKUP(A144,depara!A:B,2,0),A144)</f>
        <v>7010534</v>
      </c>
      <c r="E144">
        <f>VLOOKUP(B144,'inumos depara'!$A:$B,2,0)</f>
        <v>16298567</v>
      </c>
      <c r="F144" s="1" t="str">
        <f t="shared" si="4"/>
        <v>0.001</v>
      </c>
      <c r="G144" t="str">
        <f t="shared" si="5"/>
        <v>7010534,16298567,0.001</v>
      </c>
    </row>
    <row r="145" spans="1:7" x14ac:dyDescent="0.25">
      <c r="A145" s="1" t="s">
        <v>1241</v>
      </c>
      <c r="B145" s="1" t="s">
        <v>1242</v>
      </c>
      <c r="C145" s="1" t="s">
        <v>71</v>
      </c>
      <c r="D145" t="str">
        <f>IFERROR(VLOOKUP(A145,depara!A:B,2,0),A145)</f>
        <v>7010534</v>
      </c>
      <c r="E145">
        <f>VLOOKUP(B145,'inumos depara'!$A:$B,2,0)</f>
        <v>16298643</v>
      </c>
      <c r="F145" s="1" t="str">
        <f t="shared" si="4"/>
        <v>0.04</v>
      </c>
      <c r="G145" t="str">
        <f t="shared" si="5"/>
        <v>7010534,16298643,0.04</v>
      </c>
    </row>
    <row r="146" spans="1:7" x14ac:dyDescent="0.25">
      <c r="A146" s="1" t="s">
        <v>1241</v>
      </c>
      <c r="B146" s="1" t="s">
        <v>72</v>
      </c>
      <c r="C146" s="1" t="s">
        <v>64</v>
      </c>
      <c r="D146" t="str">
        <f>IFERROR(VLOOKUP(A146,depara!A:B,2,0),A146)</f>
        <v>7010534</v>
      </c>
      <c r="E146">
        <f>VLOOKUP(B146,'inumos depara'!$A:$B,2,0)</f>
        <v>16298644</v>
      </c>
      <c r="F146" s="1" t="str">
        <f t="shared" si="4"/>
        <v>0.02</v>
      </c>
      <c r="G146" t="str">
        <f t="shared" si="5"/>
        <v>7010534,16298644,0.02</v>
      </c>
    </row>
    <row r="147" spans="1:7" x14ac:dyDescent="0.25">
      <c r="A147" s="1" t="s">
        <v>1241</v>
      </c>
      <c r="B147" s="1" t="s">
        <v>1243</v>
      </c>
      <c r="C147" s="1" t="s">
        <v>4</v>
      </c>
      <c r="D147" t="str">
        <f>IFERROR(VLOOKUP(A147,depara!A:B,2,0),A147)</f>
        <v>7010534</v>
      </c>
      <c r="E147">
        <f>VLOOKUP(B147,'inumos depara'!$A:$B,2,0)</f>
        <v>16298645</v>
      </c>
      <c r="F147" s="1" t="str">
        <f t="shared" si="4"/>
        <v>0.005</v>
      </c>
      <c r="G147" t="str">
        <f t="shared" si="5"/>
        <v>7010534,16298645,0.005</v>
      </c>
    </row>
    <row r="148" spans="1:7" x14ac:dyDescent="0.25">
      <c r="A148" s="1" t="s">
        <v>1241</v>
      </c>
      <c r="B148" s="1" t="s">
        <v>1244</v>
      </c>
      <c r="C148" s="1" t="s">
        <v>68</v>
      </c>
      <c r="D148" t="str">
        <f>IFERROR(VLOOKUP(A148,depara!A:B,2,0),A148)</f>
        <v>7010534</v>
      </c>
      <c r="E148">
        <f>VLOOKUP(B148,'inumos depara'!$A:$B,2,0)</f>
        <v>16298646</v>
      </c>
      <c r="F148" s="1" t="str">
        <f t="shared" si="4"/>
        <v>0.004</v>
      </c>
      <c r="G148" t="str">
        <f t="shared" si="5"/>
        <v>7010534,16298646,0.004</v>
      </c>
    </row>
    <row r="149" spans="1:7" x14ac:dyDescent="0.25">
      <c r="A149" s="1" t="s">
        <v>1241</v>
      </c>
      <c r="B149" s="1" t="s">
        <v>1245</v>
      </c>
      <c r="C149" s="1" t="s">
        <v>64</v>
      </c>
      <c r="D149" t="str">
        <f>IFERROR(VLOOKUP(A149,depara!A:B,2,0),A149)</f>
        <v>7010534</v>
      </c>
      <c r="E149">
        <f>VLOOKUP(B149,'inumos depara'!$A:$B,2,0)</f>
        <v>16298647</v>
      </c>
      <c r="F149" s="1" t="str">
        <f t="shared" si="4"/>
        <v>0.02</v>
      </c>
      <c r="G149" t="str">
        <f t="shared" si="5"/>
        <v>7010534,16298647,0.02</v>
      </c>
    </row>
    <row r="150" spans="1:7" x14ac:dyDescent="0.25">
      <c r="A150" s="1" t="s">
        <v>1241</v>
      </c>
      <c r="B150" s="1" t="s">
        <v>1246</v>
      </c>
      <c r="C150" s="1" t="s">
        <v>6</v>
      </c>
      <c r="D150" t="str">
        <f>IFERROR(VLOOKUP(A150,depara!A:B,2,0),A150)</f>
        <v>7010534</v>
      </c>
      <c r="E150">
        <f>VLOOKUP(B150,'inumos depara'!$A:$B,2,0)</f>
        <v>16298648</v>
      </c>
      <c r="F150" s="1" t="str">
        <f t="shared" si="4"/>
        <v>0.01</v>
      </c>
      <c r="G150" t="str">
        <f t="shared" si="5"/>
        <v>7010534,16298648,0.01</v>
      </c>
    </row>
    <row r="151" spans="1:7" x14ac:dyDescent="0.25">
      <c r="A151" s="1" t="s">
        <v>1241</v>
      </c>
      <c r="B151" s="1" t="s">
        <v>1247</v>
      </c>
      <c r="C151" s="1" t="s">
        <v>73</v>
      </c>
      <c r="D151" t="str">
        <f>IFERROR(VLOOKUP(A151,depara!A:B,2,0),A151)</f>
        <v>7010534</v>
      </c>
      <c r="E151">
        <f>VLOOKUP(B151,'inumos depara'!$A:$B,2,0)</f>
        <v>16298649</v>
      </c>
      <c r="F151" s="1" t="str">
        <f t="shared" si="4"/>
        <v>0.08</v>
      </c>
      <c r="G151" t="str">
        <f t="shared" si="5"/>
        <v>7010534,16298649,0.08</v>
      </c>
    </row>
    <row r="152" spans="1:7" x14ac:dyDescent="0.25">
      <c r="A152" s="1" t="s">
        <v>1241</v>
      </c>
      <c r="B152" s="1" t="s">
        <v>1248</v>
      </c>
      <c r="C152" s="1" t="s">
        <v>8</v>
      </c>
      <c r="D152" t="str">
        <f>IFERROR(VLOOKUP(A152,depara!A:B,2,0),A152)</f>
        <v>7010534</v>
      </c>
      <c r="E152">
        <f>VLOOKUP(B152,'inumos depara'!$A:$B,2,0)</f>
        <v>16298650</v>
      </c>
      <c r="F152" s="1" t="str">
        <f t="shared" si="4"/>
        <v>0.06</v>
      </c>
      <c r="G152" t="str">
        <f t="shared" si="5"/>
        <v>7010534,16298650,0.06</v>
      </c>
    </row>
    <row r="153" spans="1:7" x14ac:dyDescent="0.25">
      <c r="A153" s="1" t="s">
        <v>1241</v>
      </c>
      <c r="B153" s="1" t="s">
        <v>1249</v>
      </c>
      <c r="C153" s="1" t="s">
        <v>9</v>
      </c>
      <c r="D153" t="str">
        <f>IFERROR(VLOOKUP(A153,depara!A:B,2,0),A153)</f>
        <v>7010534</v>
      </c>
      <c r="E153">
        <f>VLOOKUP(B153,'inumos depara'!$A:$B,2,0)</f>
        <v>16298651</v>
      </c>
      <c r="F153" s="1" t="str">
        <f t="shared" si="4"/>
        <v>0.09</v>
      </c>
      <c r="G153" t="str">
        <f t="shared" si="5"/>
        <v>7010534,16298651,0.09</v>
      </c>
    </row>
    <row r="154" spans="1:7" x14ac:dyDescent="0.25">
      <c r="A154" s="1" t="s">
        <v>1241</v>
      </c>
      <c r="B154" s="1" t="s">
        <v>1250</v>
      </c>
      <c r="C154" s="1" t="s">
        <v>64</v>
      </c>
      <c r="D154" t="str">
        <f>IFERROR(VLOOKUP(A154,depara!A:B,2,0),A154)</f>
        <v>7010534</v>
      </c>
      <c r="E154">
        <f>VLOOKUP(B154,'inumos depara'!$A:$B,2,0)</f>
        <v>16298652</v>
      </c>
      <c r="F154" s="1" t="str">
        <f t="shared" si="4"/>
        <v>0.02</v>
      </c>
      <c r="G154" t="str">
        <f t="shared" si="5"/>
        <v>7010534,16298652,0.02</v>
      </c>
    </row>
    <row r="155" spans="1:7" x14ac:dyDescent="0.25">
      <c r="A155" s="1" t="s">
        <v>1241</v>
      </c>
      <c r="B155" s="1" t="s">
        <v>1251</v>
      </c>
      <c r="C155" s="1" t="s">
        <v>10</v>
      </c>
      <c r="D155" t="str">
        <f>IFERROR(VLOOKUP(A155,depara!A:B,2,0),A155)</f>
        <v>7010534</v>
      </c>
      <c r="E155">
        <f>VLOOKUP(B155,'inumos depara'!$A:$B,2,0)</f>
        <v>16298653</v>
      </c>
      <c r="F155" s="1" t="str">
        <f t="shared" si="4"/>
        <v>0.001</v>
      </c>
      <c r="G155" t="str">
        <f t="shared" si="5"/>
        <v>7010534,16298653,0.001</v>
      </c>
    </row>
    <row r="156" spans="1:7" x14ac:dyDescent="0.25">
      <c r="A156" s="1" t="s">
        <v>1241</v>
      </c>
      <c r="B156" s="1" t="s">
        <v>74</v>
      </c>
      <c r="C156" s="1" t="s">
        <v>1</v>
      </c>
      <c r="D156" t="str">
        <f>IFERROR(VLOOKUP(A156,depara!A:B,2,0),A156)</f>
        <v>7010534</v>
      </c>
      <c r="E156">
        <f>VLOOKUP(B156,'inumos depara'!$A:$B,2,0)</f>
        <v>16298654</v>
      </c>
      <c r="F156" s="1" t="str">
        <f t="shared" si="4"/>
        <v>0.003</v>
      </c>
      <c r="G156" t="str">
        <f t="shared" si="5"/>
        <v>7010534,16298654,0.003</v>
      </c>
    </row>
    <row r="157" spans="1:7" x14ac:dyDescent="0.25">
      <c r="A157" s="1" t="s">
        <v>1241</v>
      </c>
      <c r="B157" s="1" t="s">
        <v>75</v>
      </c>
      <c r="C157" s="1" t="s">
        <v>10</v>
      </c>
      <c r="D157" t="str">
        <f>IFERROR(VLOOKUP(A157,depara!A:B,2,0),A157)</f>
        <v>7010534</v>
      </c>
      <c r="E157">
        <f>VLOOKUP(B157,'inumos depara'!$A:$B,2,0)</f>
        <v>16298655</v>
      </c>
      <c r="F157" s="1" t="str">
        <f t="shared" si="4"/>
        <v>0.001</v>
      </c>
      <c r="G157" t="str">
        <f t="shared" si="5"/>
        <v>7010534,16298655,0.001</v>
      </c>
    </row>
    <row r="158" spans="1:7" x14ac:dyDescent="0.25">
      <c r="A158" s="1" t="s">
        <v>1241</v>
      </c>
      <c r="B158" s="1" t="s">
        <v>1252</v>
      </c>
      <c r="C158" s="1" t="s">
        <v>5</v>
      </c>
      <c r="D158" t="str">
        <f>IFERROR(VLOOKUP(A158,depara!A:B,2,0),A158)</f>
        <v>7010534</v>
      </c>
      <c r="E158">
        <f>VLOOKUP(B158,'inumos depara'!$A:$B,2,0)</f>
        <v>16298656</v>
      </c>
      <c r="F158" s="1" t="str">
        <f t="shared" si="4"/>
        <v>0.002</v>
      </c>
      <c r="G158" t="str">
        <f t="shared" si="5"/>
        <v>7010534,16298656,0.002</v>
      </c>
    </row>
    <row r="159" spans="1:7" x14ac:dyDescent="0.25">
      <c r="A159" s="1" t="s">
        <v>1241</v>
      </c>
      <c r="B159" s="1" t="s">
        <v>1176</v>
      </c>
      <c r="C159" s="1" t="s">
        <v>10</v>
      </c>
      <c r="D159" t="str">
        <f>IFERROR(VLOOKUP(A159,depara!A:B,2,0),A159)</f>
        <v>7010534</v>
      </c>
      <c r="E159">
        <f>VLOOKUP(B159,'inumos depara'!$A:$B,2,0)</f>
        <v>16298585</v>
      </c>
      <c r="F159" s="1" t="str">
        <f t="shared" si="4"/>
        <v>0.001</v>
      </c>
      <c r="G159" t="str">
        <f t="shared" si="5"/>
        <v>7010534,16298585,0.001</v>
      </c>
    </row>
    <row r="160" spans="1:7" x14ac:dyDescent="0.25">
      <c r="A160" s="1" t="s">
        <v>1241</v>
      </c>
      <c r="B160" s="1" t="s">
        <v>1253</v>
      </c>
      <c r="C160" s="1" t="s">
        <v>76</v>
      </c>
      <c r="D160" t="str">
        <f>IFERROR(VLOOKUP(A160,depara!A:B,2,0),A160)</f>
        <v>7010534</v>
      </c>
      <c r="E160">
        <f>VLOOKUP(B160,'inumos depara'!$A:$B,2,0)</f>
        <v>16298657</v>
      </c>
      <c r="F160" s="1" t="str">
        <f t="shared" si="4"/>
        <v>0.03</v>
      </c>
      <c r="G160" t="str">
        <f t="shared" si="5"/>
        <v>7010534,16298657,0.03</v>
      </c>
    </row>
    <row r="161" spans="1:7" x14ac:dyDescent="0.25">
      <c r="A161" s="1" t="s">
        <v>1241</v>
      </c>
      <c r="B161" s="1" t="s">
        <v>77</v>
      </c>
      <c r="C161" s="1" t="s">
        <v>0</v>
      </c>
      <c r="D161" t="str">
        <f>IFERROR(VLOOKUP(A161,depara!A:B,2,0),A161)</f>
        <v>7010534</v>
      </c>
      <c r="E161">
        <f>VLOOKUP(B161,'inumos depara'!$A:$B,2,0)</f>
        <v>16298658</v>
      </c>
      <c r="F161" s="1" t="str">
        <f t="shared" si="4"/>
        <v>0.05</v>
      </c>
      <c r="G161" t="str">
        <f t="shared" si="5"/>
        <v>7010534,16298658,0.05</v>
      </c>
    </row>
    <row r="162" spans="1:7" x14ac:dyDescent="0.25">
      <c r="A162" s="1" t="s">
        <v>1241</v>
      </c>
      <c r="B162" s="1" t="s">
        <v>1254</v>
      </c>
      <c r="C162" s="1" t="s">
        <v>71</v>
      </c>
      <c r="D162" t="str">
        <f>IFERROR(VLOOKUP(A162,depara!A:B,2,0),A162)</f>
        <v>7010534</v>
      </c>
      <c r="E162">
        <f>VLOOKUP(B162,'inumos depara'!$A:$B,2,0)</f>
        <v>16298659</v>
      </c>
      <c r="F162" s="1" t="str">
        <f t="shared" si="4"/>
        <v>0.04</v>
      </c>
      <c r="G162" t="str">
        <f t="shared" si="5"/>
        <v>7010534,16298659,0.04</v>
      </c>
    </row>
    <row r="163" spans="1:7" x14ac:dyDescent="0.25">
      <c r="A163" s="1" t="s">
        <v>1241</v>
      </c>
      <c r="B163" s="1" t="s">
        <v>1255</v>
      </c>
      <c r="C163" s="1" t="s">
        <v>78</v>
      </c>
      <c r="D163" t="str">
        <f>IFERROR(VLOOKUP(A163,depara!A:B,2,0),A163)</f>
        <v>7010534</v>
      </c>
      <c r="E163">
        <f>VLOOKUP(B163,'inumos depara'!$A:$B,2,0)</f>
        <v>16298660</v>
      </c>
      <c r="F163" s="1" t="str">
        <f t="shared" si="4"/>
        <v>0.14</v>
      </c>
      <c r="G163" t="str">
        <f t="shared" si="5"/>
        <v>7010534,16298660,0.14</v>
      </c>
    </row>
    <row r="164" spans="1:7" x14ac:dyDescent="0.25">
      <c r="A164" s="1" t="s">
        <v>1241</v>
      </c>
      <c r="B164" s="1" t="s">
        <v>1146</v>
      </c>
      <c r="C164" s="1" t="s">
        <v>79</v>
      </c>
      <c r="D164" t="str">
        <f>IFERROR(VLOOKUP(A164,depara!A:B,2,0),A164)</f>
        <v>7010534</v>
      </c>
      <c r="E164">
        <f>VLOOKUP(B164,'inumos depara'!$A:$B,2,0)</f>
        <v>16298558</v>
      </c>
      <c r="F164" s="1" t="str">
        <f t="shared" si="4"/>
        <v>0.00011</v>
      </c>
      <c r="G164" t="str">
        <f t="shared" si="5"/>
        <v>7010534,16298558,0.00011</v>
      </c>
    </row>
    <row r="165" spans="1:7" x14ac:dyDescent="0.25">
      <c r="A165" s="1" t="s">
        <v>1241</v>
      </c>
      <c r="B165" s="1" t="s">
        <v>80</v>
      </c>
      <c r="C165" s="1" t="s">
        <v>81</v>
      </c>
      <c r="D165" t="str">
        <f>IFERROR(VLOOKUP(A165,depara!A:B,2,0),A165)</f>
        <v>7010534</v>
      </c>
      <c r="E165">
        <f>VLOOKUP(B165,'inumos depara'!$A:$B,2,0)</f>
        <v>16298661</v>
      </c>
      <c r="F165" s="1" t="str">
        <f t="shared" si="4"/>
        <v>0.035</v>
      </c>
      <c r="G165" t="str">
        <f t="shared" si="5"/>
        <v>7010534,16298661,0.035</v>
      </c>
    </row>
    <row r="166" spans="1:7" x14ac:dyDescent="0.25">
      <c r="A166" s="1" t="s">
        <v>1241</v>
      </c>
      <c r="B166" s="1" t="s">
        <v>1256</v>
      </c>
      <c r="C166" s="1" t="s">
        <v>71</v>
      </c>
      <c r="D166" t="str">
        <f>IFERROR(VLOOKUP(A166,depara!A:B,2,0),A166)</f>
        <v>7010534</v>
      </c>
      <c r="E166">
        <f>VLOOKUP(B166,'inumos depara'!$A:$B,2,0)</f>
        <v>16298662</v>
      </c>
      <c r="F166" s="1" t="str">
        <f t="shared" si="4"/>
        <v>0.04</v>
      </c>
      <c r="G166" t="str">
        <f t="shared" si="5"/>
        <v>7010534,16298662,0.04</v>
      </c>
    </row>
    <row r="167" spans="1:7" x14ac:dyDescent="0.25">
      <c r="A167" s="1" t="s">
        <v>1257</v>
      </c>
      <c r="B167" s="1" t="s">
        <v>1156</v>
      </c>
      <c r="C167" s="1" t="s">
        <v>10</v>
      </c>
      <c r="D167" t="str">
        <f>IFERROR(VLOOKUP(A167,depara!A:B,2,0),A167)</f>
        <v>7010535</v>
      </c>
      <c r="E167">
        <f>VLOOKUP(B167,'inumos depara'!$A:$B,2,0)</f>
        <v>16298567</v>
      </c>
      <c r="F167" s="1" t="str">
        <f t="shared" si="4"/>
        <v>0.001</v>
      </c>
      <c r="G167" t="str">
        <f t="shared" si="5"/>
        <v>7010535,16298567,0.001</v>
      </c>
    </row>
    <row r="168" spans="1:7" x14ac:dyDescent="0.25">
      <c r="A168" s="1" t="s">
        <v>1257</v>
      </c>
      <c r="B168" s="1" t="s">
        <v>1242</v>
      </c>
      <c r="C168" s="1" t="s">
        <v>71</v>
      </c>
      <c r="D168" t="str">
        <f>IFERROR(VLOOKUP(A168,depara!A:B,2,0),A168)</f>
        <v>7010535</v>
      </c>
      <c r="E168">
        <f>VLOOKUP(B168,'inumos depara'!$A:$B,2,0)</f>
        <v>16298643</v>
      </c>
      <c r="F168" s="1" t="str">
        <f t="shared" si="4"/>
        <v>0.04</v>
      </c>
      <c r="G168" t="str">
        <f t="shared" si="5"/>
        <v>7010535,16298643,0.04</v>
      </c>
    </row>
    <row r="169" spans="1:7" x14ac:dyDescent="0.25">
      <c r="A169" s="1" t="s">
        <v>1257</v>
      </c>
      <c r="B169" s="1" t="s">
        <v>72</v>
      </c>
      <c r="C169" s="1" t="s">
        <v>64</v>
      </c>
      <c r="D169" t="str">
        <f>IFERROR(VLOOKUP(A169,depara!A:B,2,0),A169)</f>
        <v>7010535</v>
      </c>
      <c r="E169">
        <f>VLOOKUP(B169,'inumos depara'!$A:$B,2,0)</f>
        <v>16298644</v>
      </c>
      <c r="F169" s="1" t="str">
        <f t="shared" si="4"/>
        <v>0.02</v>
      </c>
      <c r="G169" t="str">
        <f t="shared" si="5"/>
        <v>7010535,16298644,0.02</v>
      </c>
    </row>
    <row r="170" spans="1:7" x14ac:dyDescent="0.25">
      <c r="A170" s="1" t="s">
        <v>1257</v>
      </c>
      <c r="B170" s="1" t="s">
        <v>1243</v>
      </c>
      <c r="C170" s="1" t="s">
        <v>4</v>
      </c>
      <c r="D170" t="str">
        <f>IFERROR(VLOOKUP(A170,depara!A:B,2,0),A170)</f>
        <v>7010535</v>
      </c>
      <c r="E170">
        <f>VLOOKUP(B170,'inumos depara'!$A:$B,2,0)</f>
        <v>16298645</v>
      </c>
      <c r="F170" s="1" t="str">
        <f t="shared" si="4"/>
        <v>0.005</v>
      </c>
      <c r="G170" t="str">
        <f t="shared" si="5"/>
        <v>7010535,16298645,0.005</v>
      </c>
    </row>
    <row r="171" spans="1:7" x14ac:dyDescent="0.25">
      <c r="A171" s="1" t="s">
        <v>1257</v>
      </c>
      <c r="B171" s="1" t="s">
        <v>1244</v>
      </c>
      <c r="C171" s="1" t="s">
        <v>68</v>
      </c>
      <c r="D171" t="str">
        <f>IFERROR(VLOOKUP(A171,depara!A:B,2,0),A171)</f>
        <v>7010535</v>
      </c>
      <c r="E171">
        <f>VLOOKUP(B171,'inumos depara'!$A:$B,2,0)</f>
        <v>16298646</v>
      </c>
      <c r="F171" s="1" t="str">
        <f t="shared" si="4"/>
        <v>0.004</v>
      </c>
      <c r="G171" t="str">
        <f t="shared" si="5"/>
        <v>7010535,16298646,0.004</v>
      </c>
    </row>
    <row r="172" spans="1:7" x14ac:dyDescent="0.25">
      <c r="A172" s="1" t="s">
        <v>1257</v>
      </c>
      <c r="B172" s="1" t="s">
        <v>1245</v>
      </c>
      <c r="C172" s="1" t="s">
        <v>64</v>
      </c>
      <c r="D172" t="str">
        <f>IFERROR(VLOOKUP(A172,depara!A:B,2,0),A172)</f>
        <v>7010535</v>
      </c>
      <c r="E172">
        <f>VLOOKUP(B172,'inumos depara'!$A:$B,2,0)</f>
        <v>16298647</v>
      </c>
      <c r="F172" s="1" t="str">
        <f t="shared" si="4"/>
        <v>0.02</v>
      </c>
      <c r="G172" t="str">
        <f t="shared" si="5"/>
        <v>7010535,16298647,0.02</v>
      </c>
    </row>
    <row r="173" spans="1:7" x14ac:dyDescent="0.25">
      <c r="A173" s="1" t="s">
        <v>1257</v>
      </c>
      <c r="B173" s="1" t="s">
        <v>1246</v>
      </c>
      <c r="C173" s="1" t="s">
        <v>6</v>
      </c>
      <c r="D173" t="str">
        <f>IFERROR(VLOOKUP(A173,depara!A:B,2,0),A173)</f>
        <v>7010535</v>
      </c>
      <c r="E173">
        <f>VLOOKUP(B173,'inumos depara'!$A:$B,2,0)</f>
        <v>16298648</v>
      </c>
      <c r="F173" s="1" t="str">
        <f t="shared" si="4"/>
        <v>0.01</v>
      </c>
      <c r="G173" t="str">
        <f t="shared" si="5"/>
        <v>7010535,16298648,0.01</v>
      </c>
    </row>
    <row r="174" spans="1:7" x14ac:dyDescent="0.25">
      <c r="A174" s="1" t="s">
        <v>1257</v>
      </c>
      <c r="B174" s="1" t="s">
        <v>1247</v>
      </c>
      <c r="C174" s="1" t="s">
        <v>73</v>
      </c>
      <c r="D174" t="str">
        <f>IFERROR(VLOOKUP(A174,depara!A:B,2,0),A174)</f>
        <v>7010535</v>
      </c>
      <c r="E174">
        <f>VLOOKUP(B174,'inumos depara'!$A:$B,2,0)</f>
        <v>16298649</v>
      </c>
      <c r="F174" s="1" t="str">
        <f t="shared" si="4"/>
        <v>0.08</v>
      </c>
      <c r="G174" t="str">
        <f t="shared" si="5"/>
        <v>7010535,16298649,0.08</v>
      </c>
    </row>
    <row r="175" spans="1:7" x14ac:dyDescent="0.25">
      <c r="A175" s="1" t="s">
        <v>1257</v>
      </c>
      <c r="B175" s="1" t="s">
        <v>1248</v>
      </c>
      <c r="C175" s="1" t="s">
        <v>8</v>
      </c>
      <c r="D175" t="str">
        <f>IFERROR(VLOOKUP(A175,depara!A:B,2,0),A175)</f>
        <v>7010535</v>
      </c>
      <c r="E175">
        <f>VLOOKUP(B175,'inumos depara'!$A:$B,2,0)</f>
        <v>16298650</v>
      </c>
      <c r="F175" s="1" t="str">
        <f t="shared" si="4"/>
        <v>0.06</v>
      </c>
      <c r="G175" t="str">
        <f t="shared" si="5"/>
        <v>7010535,16298650,0.06</v>
      </c>
    </row>
    <row r="176" spans="1:7" x14ac:dyDescent="0.25">
      <c r="A176" s="1" t="s">
        <v>1257</v>
      </c>
      <c r="B176" s="1" t="s">
        <v>1249</v>
      </c>
      <c r="C176" s="1" t="s">
        <v>9</v>
      </c>
      <c r="D176" t="str">
        <f>IFERROR(VLOOKUP(A176,depara!A:B,2,0),A176)</f>
        <v>7010535</v>
      </c>
      <c r="E176">
        <f>VLOOKUP(B176,'inumos depara'!$A:$B,2,0)</f>
        <v>16298651</v>
      </c>
      <c r="F176" s="1" t="str">
        <f t="shared" si="4"/>
        <v>0.09</v>
      </c>
      <c r="G176" t="str">
        <f t="shared" si="5"/>
        <v>7010535,16298651,0.09</v>
      </c>
    </row>
    <row r="177" spans="1:7" x14ac:dyDescent="0.25">
      <c r="A177" s="1" t="s">
        <v>1257</v>
      </c>
      <c r="B177" s="1" t="s">
        <v>1250</v>
      </c>
      <c r="C177" s="1" t="s">
        <v>64</v>
      </c>
      <c r="D177" t="str">
        <f>IFERROR(VLOOKUP(A177,depara!A:B,2,0),A177)</f>
        <v>7010535</v>
      </c>
      <c r="E177">
        <f>VLOOKUP(B177,'inumos depara'!$A:$B,2,0)</f>
        <v>16298652</v>
      </c>
      <c r="F177" s="1" t="str">
        <f t="shared" si="4"/>
        <v>0.02</v>
      </c>
      <c r="G177" t="str">
        <f t="shared" si="5"/>
        <v>7010535,16298652,0.02</v>
      </c>
    </row>
    <row r="178" spans="1:7" x14ac:dyDescent="0.25">
      <c r="A178" s="1" t="s">
        <v>1257</v>
      </c>
      <c r="B178" s="1" t="s">
        <v>1251</v>
      </c>
      <c r="C178" s="1" t="s">
        <v>10</v>
      </c>
      <c r="D178" t="str">
        <f>IFERROR(VLOOKUP(A178,depara!A:B,2,0),A178)</f>
        <v>7010535</v>
      </c>
      <c r="E178">
        <f>VLOOKUP(B178,'inumos depara'!$A:$B,2,0)</f>
        <v>16298653</v>
      </c>
      <c r="F178" s="1" t="str">
        <f t="shared" si="4"/>
        <v>0.001</v>
      </c>
      <c r="G178" t="str">
        <f t="shared" si="5"/>
        <v>7010535,16298653,0.001</v>
      </c>
    </row>
    <row r="179" spans="1:7" x14ac:dyDescent="0.25">
      <c r="A179" s="1" t="s">
        <v>1257</v>
      </c>
      <c r="B179" s="1" t="s">
        <v>74</v>
      </c>
      <c r="C179" s="1" t="s">
        <v>1</v>
      </c>
      <c r="D179" t="str">
        <f>IFERROR(VLOOKUP(A179,depara!A:B,2,0),A179)</f>
        <v>7010535</v>
      </c>
      <c r="E179">
        <f>VLOOKUP(B179,'inumos depara'!$A:$B,2,0)</f>
        <v>16298654</v>
      </c>
      <c r="F179" s="1" t="str">
        <f t="shared" si="4"/>
        <v>0.003</v>
      </c>
      <c r="G179" t="str">
        <f t="shared" si="5"/>
        <v>7010535,16298654,0.003</v>
      </c>
    </row>
    <row r="180" spans="1:7" x14ac:dyDescent="0.25">
      <c r="A180" s="1" t="s">
        <v>1257</v>
      </c>
      <c r="B180" s="1" t="s">
        <v>75</v>
      </c>
      <c r="C180" s="1" t="s">
        <v>10</v>
      </c>
      <c r="D180" t="str">
        <f>IFERROR(VLOOKUP(A180,depara!A:B,2,0),A180)</f>
        <v>7010535</v>
      </c>
      <c r="E180">
        <f>VLOOKUP(B180,'inumos depara'!$A:$B,2,0)</f>
        <v>16298655</v>
      </c>
      <c r="F180" s="1" t="str">
        <f t="shared" si="4"/>
        <v>0.001</v>
      </c>
      <c r="G180" t="str">
        <f t="shared" si="5"/>
        <v>7010535,16298655,0.001</v>
      </c>
    </row>
    <row r="181" spans="1:7" x14ac:dyDescent="0.25">
      <c r="A181" s="1" t="s">
        <v>1257</v>
      </c>
      <c r="B181" s="1" t="s">
        <v>1252</v>
      </c>
      <c r="C181" s="1" t="s">
        <v>5</v>
      </c>
      <c r="D181" t="str">
        <f>IFERROR(VLOOKUP(A181,depara!A:B,2,0),A181)</f>
        <v>7010535</v>
      </c>
      <c r="E181">
        <f>VLOOKUP(B181,'inumos depara'!$A:$B,2,0)</f>
        <v>16298656</v>
      </c>
      <c r="F181" s="1" t="str">
        <f t="shared" si="4"/>
        <v>0.002</v>
      </c>
      <c r="G181" t="str">
        <f t="shared" si="5"/>
        <v>7010535,16298656,0.002</v>
      </c>
    </row>
    <row r="182" spans="1:7" x14ac:dyDescent="0.25">
      <c r="A182" s="1" t="s">
        <v>1257</v>
      </c>
      <c r="B182" s="1" t="s">
        <v>1176</v>
      </c>
      <c r="C182" s="1" t="s">
        <v>10</v>
      </c>
      <c r="D182" t="str">
        <f>IFERROR(VLOOKUP(A182,depara!A:B,2,0),A182)</f>
        <v>7010535</v>
      </c>
      <c r="E182">
        <f>VLOOKUP(B182,'inumos depara'!$A:$B,2,0)</f>
        <v>16298585</v>
      </c>
      <c r="F182" s="1" t="str">
        <f t="shared" si="4"/>
        <v>0.001</v>
      </c>
      <c r="G182" t="str">
        <f t="shared" si="5"/>
        <v>7010535,16298585,0.001</v>
      </c>
    </row>
    <row r="183" spans="1:7" x14ac:dyDescent="0.25">
      <c r="A183" s="1" t="s">
        <v>1257</v>
      </c>
      <c r="B183" s="1" t="s">
        <v>1253</v>
      </c>
      <c r="C183" s="1" t="s">
        <v>76</v>
      </c>
      <c r="D183" t="str">
        <f>IFERROR(VLOOKUP(A183,depara!A:B,2,0),A183)</f>
        <v>7010535</v>
      </c>
      <c r="E183">
        <f>VLOOKUP(B183,'inumos depara'!$A:$B,2,0)</f>
        <v>16298657</v>
      </c>
      <c r="F183" s="1" t="str">
        <f t="shared" si="4"/>
        <v>0.03</v>
      </c>
      <c r="G183" t="str">
        <f t="shared" si="5"/>
        <v>7010535,16298657,0.03</v>
      </c>
    </row>
    <row r="184" spans="1:7" x14ac:dyDescent="0.25">
      <c r="A184" s="1" t="s">
        <v>1257</v>
      </c>
      <c r="B184" s="1" t="s">
        <v>77</v>
      </c>
      <c r="C184" s="1" t="s">
        <v>0</v>
      </c>
      <c r="D184" t="str">
        <f>IFERROR(VLOOKUP(A184,depara!A:B,2,0),A184)</f>
        <v>7010535</v>
      </c>
      <c r="E184">
        <f>VLOOKUP(B184,'inumos depara'!$A:$B,2,0)</f>
        <v>16298658</v>
      </c>
      <c r="F184" s="1" t="str">
        <f t="shared" si="4"/>
        <v>0.05</v>
      </c>
      <c r="G184" t="str">
        <f t="shared" si="5"/>
        <v>7010535,16298658,0.05</v>
      </c>
    </row>
    <row r="185" spans="1:7" x14ac:dyDescent="0.25">
      <c r="A185" s="1" t="s">
        <v>1257</v>
      </c>
      <c r="B185" s="1" t="s">
        <v>1254</v>
      </c>
      <c r="C185" s="1" t="s">
        <v>71</v>
      </c>
      <c r="D185" t="str">
        <f>IFERROR(VLOOKUP(A185,depara!A:B,2,0),A185)</f>
        <v>7010535</v>
      </c>
      <c r="E185">
        <f>VLOOKUP(B185,'inumos depara'!$A:$B,2,0)</f>
        <v>16298659</v>
      </c>
      <c r="F185" s="1" t="str">
        <f t="shared" si="4"/>
        <v>0.04</v>
      </c>
      <c r="G185" t="str">
        <f t="shared" si="5"/>
        <v>7010535,16298659,0.04</v>
      </c>
    </row>
    <row r="186" spans="1:7" x14ac:dyDescent="0.25">
      <c r="A186" s="1" t="s">
        <v>1257</v>
      </c>
      <c r="B186" s="1" t="s">
        <v>1255</v>
      </c>
      <c r="C186" s="1" t="s">
        <v>78</v>
      </c>
      <c r="D186" t="str">
        <f>IFERROR(VLOOKUP(A186,depara!A:B,2,0),A186)</f>
        <v>7010535</v>
      </c>
      <c r="E186">
        <f>VLOOKUP(B186,'inumos depara'!$A:$B,2,0)</f>
        <v>16298660</v>
      </c>
      <c r="F186" s="1" t="str">
        <f t="shared" si="4"/>
        <v>0.14</v>
      </c>
      <c r="G186" t="str">
        <f t="shared" si="5"/>
        <v>7010535,16298660,0.14</v>
      </c>
    </row>
    <row r="187" spans="1:7" x14ac:dyDescent="0.25">
      <c r="A187" s="1" t="s">
        <v>1257</v>
      </c>
      <c r="B187" s="1" t="s">
        <v>1146</v>
      </c>
      <c r="C187" s="1" t="s">
        <v>82</v>
      </c>
      <c r="D187" t="str">
        <f>IFERROR(VLOOKUP(A187,depara!A:B,2,0),A187)</f>
        <v>7010535</v>
      </c>
      <c r="E187">
        <f>VLOOKUP(B187,'inumos depara'!$A:$B,2,0)</f>
        <v>16298558</v>
      </c>
      <c r="F187" s="1" t="str">
        <f t="shared" si="4"/>
        <v>0.0005</v>
      </c>
      <c r="G187" t="str">
        <f t="shared" si="5"/>
        <v>7010535,16298558,0.0005</v>
      </c>
    </row>
    <row r="188" spans="1:7" x14ac:dyDescent="0.25">
      <c r="A188" s="1" t="s">
        <v>1257</v>
      </c>
      <c r="B188" s="1" t="s">
        <v>1256</v>
      </c>
      <c r="C188" s="1" t="s">
        <v>71</v>
      </c>
      <c r="D188" t="str">
        <f>IFERROR(VLOOKUP(A188,depara!A:B,2,0),A188)</f>
        <v>7010535</v>
      </c>
      <c r="E188">
        <f>VLOOKUP(B188,'inumos depara'!$A:$B,2,0)</f>
        <v>16298662</v>
      </c>
      <c r="F188" s="1" t="str">
        <f t="shared" si="4"/>
        <v>0.04</v>
      </c>
      <c r="G188" t="str">
        <f t="shared" si="5"/>
        <v>7010535,16298662,0.04</v>
      </c>
    </row>
    <row r="189" spans="1:7" x14ac:dyDescent="0.25">
      <c r="A189" s="1" t="s">
        <v>1258</v>
      </c>
      <c r="B189" s="1" t="s">
        <v>1156</v>
      </c>
      <c r="C189" s="1" t="s">
        <v>10</v>
      </c>
      <c r="D189" t="str">
        <f>IFERROR(VLOOKUP(A189,depara!A:B,2,0),A189)</f>
        <v>7010536</v>
      </c>
      <c r="E189">
        <f>VLOOKUP(B189,'inumos depara'!$A:$B,2,0)</f>
        <v>16298567</v>
      </c>
      <c r="F189" s="1" t="str">
        <f t="shared" si="4"/>
        <v>0.001</v>
      </c>
      <c r="G189" t="str">
        <f t="shared" si="5"/>
        <v>7010536,16298567,0.001</v>
      </c>
    </row>
    <row r="190" spans="1:7" x14ac:dyDescent="0.25">
      <c r="A190" s="1" t="s">
        <v>1258</v>
      </c>
      <c r="B190" s="1" t="s">
        <v>1242</v>
      </c>
      <c r="C190" s="1" t="s">
        <v>76</v>
      </c>
      <c r="D190" t="str">
        <f>IFERROR(VLOOKUP(A190,depara!A:B,2,0),A190)</f>
        <v>7010536</v>
      </c>
      <c r="E190">
        <f>VLOOKUP(B190,'inumos depara'!$A:$B,2,0)</f>
        <v>16298643</v>
      </c>
      <c r="F190" s="1" t="str">
        <f t="shared" si="4"/>
        <v>0.03</v>
      </c>
      <c r="G190" t="str">
        <f t="shared" si="5"/>
        <v>7010536,16298643,0.03</v>
      </c>
    </row>
    <row r="191" spans="1:7" x14ac:dyDescent="0.25">
      <c r="A191" s="1" t="s">
        <v>1258</v>
      </c>
      <c r="B191" s="1" t="s">
        <v>72</v>
      </c>
      <c r="C191" s="1" t="s">
        <v>64</v>
      </c>
      <c r="D191" t="str">
        <f>IFERROR(VLOOKUP(A191,depara!A:B,2,0),A191)</f>
        <v>7010536</v>
      </c>
      <c r="E191">
        <f>VLOOKUP(B191,'inumos depara'!$A:$B,2,0)</f>
        <v>16298644</v>
      </c>
      <c r="F191" s="1" t="str">
        <f t="shared" si="4"/>
        <v>0.02</v>
      </c>
      <c r="G191" t="str">
        <f t="shared" si="5"/>
        <v>7010536,16298644,0.02</v>
      </c>
    </row>
    <row r="192" spans="1:7" x14ac:dyDescent="0.25">
      <c r="A192" s="1" t="s">
        <v>1258</v>
      </c>
      <c r="B192" s="1" t="s">
        <v>1243</v>
      </c>
      <c r="C192" s="1" t="s">
        <v>4</v>
      </c>
      <c r="D192" t="str">
        <f>IFERROR(VLOOKUP(A192,depara!A:B,2,0),A192)</f>
        <v>7010536</v>
      </c>
      <c r="E192">
        <f>VLOOKUP(B192,'inumos depara'!$A:$B,2,0)</f>
        <v>16298645</v>
      </c>
      <c r="F192" s="1" t="str">
        <f t="shared" si="4"/>
        <v>0.005</v>
      </c>
      <c r="G192" t="str">
        <f t="shared" si="5"/>
        <v>7010536,16298645,0.005</v>
      </c>
    </row>
    <row r="193" spans="1:7" x14ac:dyDescent="0.25">
      <c r="A193" s="1" t="s">
        <v>1258</v>
      </c>
      <c r="B193" s="1" t="s">
        <v>1244</v>
      </c>
      <c r="C193" s="1" t="s">
        <v>68</v>
      </c>
      <c r="D193" t="str">
        <f>IFERROR(VLOOKUP(A193,depara!A:B,2,0),A193)</f>
        <v>7010536</v>
      </c>
      <c r="E193">
        <f>VLOOKUP(B193,'inumos depara'!$A:$B,2,0)</f>
        <v>16298646</v>
      </c>
      <c r="F193" s="1" t="str">
        <f t="shared" si="4"/>
        <v>0.004</v>
      </c>
      <c r="G193" t="str">
        <f t="shared" si="5"/>
        <v>7010536,16298646,0.004</v>
      </c>
    </row>
    <row r="194" spans="1:7" x14ac:dyDescent="0.25">
      <c r="A194" s="1" t="s">
        <v>1258</v>
      </c>
      <c r="B194" s="1" t="s">
        <v>1245</v>
      </c>
      <c r="C194" s="1" t="s">
        <v>64</v>
      </c>
      <c r="D194" t="str">
        <f>IFERROR(VLOOKUP(A194,depara!A:B,2,0),A194)</f>
        <v>7010536</v>
      </c>
      <c r="E194">
        <f>VLOOKUP(B194,'inumos depara'!$A:$B,2,0)</f>
        <v>16298647</v>
      </c>
      <c r="F194" s="1" t="str">
        <f t="shared" ref="F194:F257" si="6">C194</f>
        <v>0.02</v>
      </c>
      <c r="G194" t="str">
        <f t="shared" ref="G194:G257" si="7">D194&amp;","&amp;E194&amp;","&amp;F194</f>
        <v>7010536,16298647,0.02</v>
      </c>
    </row>
    <row r="195" spans="1:7" x14ac:dyDescent="0.25">
      <c r="A195" s="1" t="s">
        <v>1258</v>
      </c>
      <c r="B195" s="1" t="s">
        <v>1246</v>
      </c>
      <c r="C195" s="1" t="s">
        <v>6</v>
      </c>
      <c r="D195" t="str">
        <f>IFERROR(VLOOKUP(A195,depara!A:B,2,0),A195)</f>
        <v>7010536</v>
      </c>
      <c r="E195">
        <f>VLOOKUP(B195,'inumos depara'!$A:$B,2,0)</f>
        <v>16298648</v>
      </c>
      <c r="F195" s="1" t="str">
        <f t="shared" si="6"/>
        <v>0.01</v>
      </c>
      <c r="G195" t="str">
        <f t="shared" si="7"/>
        <v>7010536,16298648,0.01</v>
      </c>
    </row>
    <row r="196" spans="1:7" x14ac:dyDescent="0.25">
      <c r="A196" s="1" t="s">
        <v>1258</v>
      </c>
      <c r="B196" s="1" t="s">
        <v>1247</v>
      </c>
      <c r="C196" s="1" t="s">
        <v>73</v>
      </c>
      <c r="D196" t="str">
        <f>IFERROR(VLOOKUP(A196,depara!A:B,2,0),A196)</f>
        <v>7010536</v>
      </c>
      <c r="E196">
        <f>VLOOKUP(B196,'inumos depara'!$A:$B,2,0)</f>
        <v>16298649</v>
      </c>
      <c r="F196" s="1" t="str">
        <f t="shared" si="6"/>
        <v>0.08</v>
      </c>
      <c r="G196" t="str">
        <f t="shared" si="7"/>
        <v>7010536,16298649,0.08</v>
      </c>
    </row>
    <row r="197" spans="1:7" x14ac:dyDescent="0.25">
      <c r="A197" s="1" t="s">
        <v>1258</v>
      </c>
      <c r="B197" s="1" t="s">
        <v>1248</v>
      </c>
      <c r="C197" s="1" t="s">
        <v>8</v>
      </c>
      <c r="D197" t="str">
        <f>IFERROR(VLOOKUP(A197,depara!A:B,2,0),A197)</f>
        <v>7010536</v>
      </c>
      <c r="E197">
        <f>VLOOKUP(B197,'inumos depara'!$A:$B,2,0)</f>
        <v>16298650</v>
      </c>
      <c r="F197" s="1" t="str">
        <f t="shared" si="6"/>
        <v>0.06</v>
      </c>
      <c r="G197" t="str">
        <f t="shared" si="7"/>
        <v>7010536,16298650,0.06</v>
      </c>
    </row>
    <row r="198" spans="1:7" x14ac:dyDescent="0.25">
      <c r="A198" s="1" t="s">
        <v>1258</v>
      </c>
      <c r="B198" s="1" t="s">
        <v>1249</v>
      </c>
      <c r="C198" s="1" t="s">
        <v>9</v>
      </c>
      <c r="D198" t="str">
        <f>IFERROR(VLOOKUP(A198,depara!A:B,2,0),A198)</f>
        <v>7010536</v>
      </c>
      <c r="E198">
        <f>VLOOKUP(B198,'inumos depara'!$A:$B,2,0)</f>
        <v>16298651</v>
      </c>
      <c r="F198" s="1" t="str">
        <f t="shared" si="6"/>
        <v>0.09</v>
      </c>
      <c r="G198" t="str">
        <f t="shared" si="7"/>
        <v>7010536,16298651,0.09</v>
      </c>
    </row>
    <row r="199" spans="1:7" x14ac:dyDescent="0.25">
      <c r="A199" s="1" t="s">
        <v>1258</v>
      </c>
      <c r="B199" s="1" t="s">
        <v>1250</v>
      </c>
      <c r="C199" s="1" t="s">
        <v>64</v>
      </c>
      <c r="D199" t="str">
        <f>IFERROR(VLOOKUP(A199,depara!A:B,2,0),A199)</f>
        <v>7010536</v>
      </c>
      <c r="E199">
        <f>VLOOKUP(B199,'inumos depara'!$A:$B,2,0)</f>
        <v>16298652</v>
      </c>
      <c r="F199" s="1" t="str">
        <f t="shared" si="6"/>
        <v>0.02</v>
      </c>
      <c r="G199" t="str">
        <f t="shared" si="7"/>
        <v>7010536,16298652,0.02</v>
      </c>
    </row>
    <row r="200" spans="1:7" x14ac:dyDescent="0.25">
      <c r="A200" s="1" t="s">
        <v>1258</v>
      </c>
      <c r="B200" s="1" t="s">
        <v>1251</v>
      </c>
      <c r="C200" s="1" t="s">
        <v>10</v>
      </c>
      <c r="D200" t="str">
        <f>IFERROR(VLOOKUP(A200,depara!A:B,2,0),A200)</f>
        <v>7010536</v>
      </c>
      <c r="E200">
        <f>VLOOKUP(B200,'inumos depara'!$A:$B,2,0)</f>
        <v>16298653</v>
      </c>
      <c r="F200" s="1" t="str">
        <f t="shared" si="6"/>
        <v>0.001</v>
      </c>
      <c r="G200" t="str">
        <f t="shared" si="7"/>
        <v>7010536,16298653,0.001</v>
      </c>
    </row>
    <row r="201" spans="1:7" x14ac:dyDescent="0.25">
      <c r="A201" s="1" t="s">
        <v>1258</v>
      </c>
      <c r="B201" s="1" t="s">
        <v>74</v>
      </c>
      <c r="C201" s="1" t="s">
        <v>1</v>
      </c>
      <c r="D201" t="str">
        <f>IFERROR(VLOOKUP(A201,depara!A:B,2,0),A201)</f>
        <v>7010536</v>
      </c>
      <c r="E201">
        <f>VLOOKUP(B201,'inumos depara'!$A:$B,2,0)</f>
        <v>16298654</v>
      </c>
      <c r="F201" s="1" t="str">
        <f t="shared" si="6"/>
        <v>0.003</v>
      </c>
      <c r="G201" t="str">
        <f t="shared" si="7"/>
        <v>7010536,16298654,0.003</v>
      </c>
    </row>
    <row r="202" spans="1:7" x14ac:dyDescent="0.25">
      <c r="A202" s="1" t="s">
        <v>1258</v>
      </c>
      <c r="B202" s="1" t="s">
        <v>75</v>
      </c>
      <c r="C202" s="1" t="s">
        <v>10</v>
      </c>
      <c r="D202" t="str">
        <f>IFERROR(VLOOKUP(A202,depara!A:B,2,0),A202)</f>
        <v>7010536</v>
      </c>
      <c r="E202">
        <f>VLOOKUP(B202,'inumos depara'!$A:$B,2,0)</f>
        <v>16298655</v>
      </c>
      <c r="F202" s="1" t="str">
        <f t="shared" si="6"/>
        <v>0.001</v>
      </c>
      <c r="G202" t="str">
        <f t="shared" si="7"/>
        <v>7010536,16298655,0.001</v>
      </c>
    </row>
    <row r="203" spans="1:7" x14ac:dyDescent="0.25">
      <c r="A203" s="1" t="s">
        <v>1258</v>
      </c>
      <c r="B203" s="1" t="s">
        <v>1252</v>
      </c>
      <c r="C203" s="1" t="s">
        <v>5</v>
      </c>
      <c r="D203" t="str">
        <f>IFERROR(VLOOKUP(A203,depara!A:B,2,0),A203)</f>
        <v>7010536</v>
      </c>
      <c r="E203">
        <f>VLOOKUP(B203,'inumos depara'!$A:$B,2,0)</f>
        <v>16298656</v>
      </c>
      <c r="F203" s="1" t="str">
        <f t="shared" si="6"/>
        <v>0.002</v>
      </c>
      <c r="G203" t="str">
        <f t="shared" si="7"/>
        <v>7010536,16298656,0.002</v>
      </c>
    </row>
    <row r="204" spans="1:7" x14ac:dyDescent="0.25">
      <c r="A204" s="1" t="s">
        <v>1258</v>
      </c>
      <c r="B204" s="1" t="s">
        <v>1176</v>
      </c>
      <c r="C204" s="1" t="s">
        <v>10</v>
      </c>
      <c r="D204" t="str">
        <f>IFERROR(VLOOKUP(A204,depara!A:B,2,0),A204)</f>
        <v>7010536</v>
      </c>
      <c r="E204">
        <f>VLOOKUP(B204,'inumos depara'!$A:$B,2,0)</f>
        <v>16298585</v>
      </c>
      <c r="F204" s="1" t="str">
        <f t="shared" si="6"/>
        <v>0.001</v>
      </c>
      <c r="G204" t="str">
        <f t="shared" si="7"/>
        <v>7010536,16298585,0.001</v>
      </c>
    </row>
    <row r="205" spans="1:7" x14ac:dyDescent="0.25">
      <c r="A205" s="1" t="s">
        <v>1258</v>
      </c>
      <c r="B205" s="1" t="s">
        <v>1253</v>
      </c>
      <c r="C205" s="1" t="s">
        <v>76</v>
      </c>
      <c r="D205" t="str">
        <f>IFERROR(VLOOKUP(A205,depara!A:B,2,0),A205)</f>
        <v>7010536</v>
      </c>
      <c r="E205">
        <f>VLOOKUP(B205,'inumos depara'!$A:$B,2,0)</f>
        <v>16298657</v>
      </c>
      <c r="F205" s="1" t="str">
        <f t="shared" si="6"/>
        <v>0.03</v>
      </c>
      <c r="G205" t="str">
        <f t="shared" si="7"/>
        <v>7010536,16298657,0.03</v>
      </c>
    </row>
    <row r="206" spans="1:7" x14ac:dyDescent="0.25">
      <c r="A206" s="1" t="s">
        <v>1258</v>
      </c>
      <c r="B206" s="1" t="s">
        <v>77</v>
      </c>
      <c r="C206" s="1" t="s">
        <v>0</v>
      </c>
      <c r="D206" t="str">
        <f>IFERROR(VLOOKUP(A206,depara!A:B,2,0),A206)</f>
        <v>7010536</v>
      </c>
      <c r="E206">
        <f>VLOOKUP(B206,'inumos depara'!$A:$B,2,0)</f>
        <v>16298658</v>
      </c>
      <c r="F206" s="1" t="str">
        <f t="shared" si="6"/>
        <v>0.05</v>
      </c>
      <c r="G206" t="str">
        <f t="shared" si="7"/>
        <v>7010536,16298658,0.05</v>
      </c>
    </row>
    <row r="207" spans="1:7" x14ac:dyDescent="0.25">
      <c r="A207" s="1" t="s">
        <v>1258</v>
      </c>
      <c r="B207" s="1" t="s">
        <v>1254</v>
      </c>
      <c r="C207" s="1" t="s">
        <v>76</v>
      </c>
      <c r="D207" t="str">
        <f>IFERROR(VLOOKUP(A207,depara!A:B,2,0),A207)</f>
        <v>7010536</v>
      </c>
      <c r="E207">
        <f>VLOOKUP(B207,'inumos depara'!$A:$B,2,0)</f>
        <v>16298659</v>
      </c>
      <c r="F207" s="1" t="str">
        <f t="shared" si="6"/>
        <v>0.03</v>
      </c>
      <c r="G207" t="str">
        <f t="shared" si="7"/>
        <v>7010536,16298659,0.03</v>
      </c>
    </row>
    <row r="208" spans="1:7" x14ac:dyDescent="0.25">
      <c r="A208" s="1" t="s">
        <v>1258</v>
      </c>
      <c r="B208" s="1" t="s">
        <v>1255</v>
      </c>
      <c r="C208" s="1" t="s">
        <v>73</v>
      </c>
      <c r="D208" t="str">
        <f>IFERROR(VLOOKUP(A208,depara!A:B,2,0),A208)</f>
        <v>7010536</v>
      </c>
      <c r="E208">
        <f>VLOOKUP(B208,'inumos depara'!$A:$B,2,0)</f>
        <v>16298660</v>
      </c>
      <c r="F208" s="1" t="str">
        <f t="shared" si="6"/>
        <v>0.08</v>
      </c>
      <c r="G208" t="str">
        <f t="shared" si="7"/>
        <v>7010536,16298660,0.08</v>
      </c>
    </row>
    <row r="209" spans="1:7" x14ac:dyDescent="0.25">
      <c r="A209" s="1" t="s">
        <v>1258</v>
      </c>
      <c r="B209" s="1" t="s">
        <v>1146</v>
      </c>
      <c r="C209" s="1" t="s">
        <v>83</v>
      </c>
      <c r="D209" t="str">
        <f>IFERROR(VLOOKUP(A209,depara!A:B,2,0),A209)</f>
        <v>7010536</v>
      </c>
      <c r="E209">
        <f>VLOOKUP(B209,'inumos depara'!$A:$B,2,0)</f>
        <v>16298558</v>
      </c>
      <c r="F209" s="1" t="str">
        <f t="shared" si="6"/>
        <v>0.00014</v>
      </c>
      <c r="G209" t="str">
        <f t="shared" si="7"/>
        <v>7010536,16298558,0.00014</v>
      </c>
    </row>
    <row r="210" spans="1:7" x14ac:dyDescent="0.25">
      <c r="A210" s="1" t="s">
        <v>1258</v>
      </c>
      <c r="B210" s="1" t="s">
        <v>80</v>
      </c>
      <c r="C210" s="1" t="s">
        <v>81</v>
      </c>
      <c r="D210" t="str">
        <f>IFERROR(VLOOKUP(A210,depara!A:B,2,0),A210)</f>
        <v>7010536</v>
      </c>
      <c r="E210">
        <f>VLOOKUP(B210,'inumos depara'!$A:$B,2,0)</f>
        <v>16298661</v>
      </c>
      <c r="F210" s="1" t="str">
        <f t="shared" si="6"/>
        <v>0.035</v>
      </c>
      <c r="G210" t="str">
        <f t="shared" si="7"/>
        <v>7010536,16298661,0.035</v>
      </c>
    </row>
    <row r="211" spans="1:7" x14ac:dyDescent="0.25">
      <c r="A211" s="1" t="s">
        <v>1258</v>
      </c>
      <c r="B211" s="1" t="s">
        <v>1256</v>
      </c>
      <c r="C211" s="1" t="s">
        <v>71</v>
      </c>
      <c r="D211" t="str">
        <f>IFERROR(VLOOKUP(A211,depara!A:B,2,0),A211)</f>
        <v>7010536</v>
      </c>
      <c r="E211">
        <f>VLOOKUP(B211,'inumos depara'!$A:$B,2,0)</f>
        <v>16298662</v>
      </c>
      <c r="F211" s="1" t="str">
        <f t="shared" si="6"/>
        <v>0.04</v>
      </c>
      <c r="G211" t="str">
        <f t="shared" si="7"/>
        <v>7010536,16298662,0.04</v>
      </c>
    </row>
    <row r="212" spans="1:7" x14ac:dyDescent="0.25">
      <c r="A212" s="1" t="s">
        <v>1259</v>
      </c>
      <c r="B212" s="1" t="s">
        <v>1156</v>
      </c>
      <c r="C212" s="1" t="s">
        <v>10</v>
      </c>
      <c r="D212" t="str">
        <f>IFERROR(VLOOKUP(A212,depara!A:B,2,0),A212)</f>
        <v>7010537</v>
      </c>
      <c r="E212">
        <f>VLOOKUP(B212,'inumos depara'!$A:$B,2,0)</f>
        <v>16298567</v>
      </c>
      <c r="F212" s="1" t="str">
        <f t="shared" si="6"/>
        <v>0.001</v>
      </c>
      <c r="G212" t="str">
        <f t="shared" si="7"/>
        <v>7010537,16298567,0.001</v>
      </c>
    </row>
    <row r="213" spans="1:7" x14ac:dyDescent="0.25">
      <c r="A213" s="1" t="s">
        <v>1259</v>
      </c>
      <c r="B213" s="1" t="s">
        <v>1242</v>
      </c>
      <c r="C213" s="1" t="s">
        <v>76</v>
      </c>
      <c r="D213" t="str">
        <f>IFERROR(VLOOKUP(A213,depara!A:B,2,0),A213)</f>
        <v>7010537</v>
      </c>
      <c r="E213">
        <f>VLOOKUP(B213,'inumos depara'!$A:$B,2,0)</f>
        <v>16298643</v>
      </c>
      <c r="F213" s="1" t="str">
        <f t="shared" si="6"/>
        <v>0.03</v>
      </c>
      <c r="G213" t="str">
        <f t="shared" si="7"/>
        <v>7010537,16298643,0.03</v>
      </c>
    </row>
    <row r="214" spans="1:7" x14ac:dyDescent="0.25">
      <c r="A214" s="1" t="s">
        <v>1259</v>
      </c>
      <c r="B214" s="1" t="s">
        <v>72</v>
      </c>
      <c r="C214" s="1" t="s">
        <v>64</v>
      </c>
      <c r="D214" t="str">
        <f>IFERROR(VLOOKUP(A214,depara!A:B,2,0),A214)</f>
        <v>7010537</v>
      </c>
      <c r="E214">
        <f>VLOOKUP(B214,'inumos depara'!$A:$B,2,0)</f>
        <v>16298644</v>
      </c>
      <c r="F214" s="1" t="str">
        <f t="shared" si="6"/>
        <v>0.02</v>
      </c>
      <c r="G214" t="str">
        <f t="shared" si="7"/>
        <v>7010537,16298644,0.02</v>
      </c>
    </row>
    <row r="215" spans="1:7" x14ac:dyDescent="0.25">
      <c r="A215" s="1" t="s">
        <v>1259</v>
      </c>
      <c r="B215" s="1" t="s">
        <v>1243</v>
      </c>
      <c r="C215" s="1" t="s">
        <v>4</v>
      </c>
      <c r="D215" t="str">
        <f>IFERROR(VLOOKUP(A215,depara!A:B,2,0),A215)</f>
        <v>7010537</v>
      </c>
      <c r="E215">
        <f>VLOOKUP(B215,'inumos depara'!$A:$B,2,0)</f>
        <v>16298645</v>
      </c>
      <c r="F215" s="1" t="str">
        <f t="shared" si="6"/>
        <v>0.005</v>
      </c>
      <c r="G215" t="str">
        <f t="shared" si="7"/>
        <v>7010537,16298645,0.005</v>
      </c>
    </row>
    <row r="216" spans="1:7" x14ac:dyDescent="0.25">
      <c r="A216" s="1" t="s">
        <v>1259</v>
      </c>
      <c r="B216" s="1" t="s">
        <v>1244</v>
      </c>
      <c r="C216" s="1" t="s">
        <v>68</v>
      </c>
      <c r="D216" t="str">
        <f>IFERROR(VLOOKUP(A216,depara!A:B,2,0),A216)</f>
        <v>7010537</v>
      </c>
      <c r="E216">
        <f>VLOOKUP(B216,'inumos depara'!$A:$B,2,0)</f>
        <v>16298646</v>
      </c>
      <c r="F216" s="1" t="str">
        <f t="shared" si="6"/>
        <v>0.004</v>
      </c>
      <c r="G216" t="str">
        <f t="shared" si="7"/>
        <v>7010537,16298646,0.004</v>
      </c>
    </row>
    <row r="217" spans="1:7" x14ac:dyDescent="0.25">
      <c r="A217" s="1" t="s">
        <v>1259</v>
      </c>
      <c r="B217" s="1" t="s">
        <v>1245</v>
      </c>
      <c r="C217" s="1" t="s">
        <v>64</v>
      </c>
      <c r="D217" t="str">
        <f>IFERROR(VLOOKUP(A217,depara!A:B,2,0),A217)</f>
        <v>7010537</v>
      </c>
      <c r="E217">
        <f>VLOOKUP(B217,'inumos depara'!$A:$B,2,0)</f>
        <v>16298647</v>
      </c>
      <c r="F217" s="1" t="str">
        <f t="shared" si="6"/>
        <v>0.02</v>
      </c>
      <c r="G217" t="str">
        <f t="shared" si="7"/>
        <v>7010537,16298647,0.02</v>
      </c>
    </row>
    <row r="218" spans="1:7" x14ac:dyDescent="0.25">
      <c r="A218" s="1" t="s">
        <v>1259</v>
      </c>
      <c r="B218" s="1" t="s">
        <v>1246</v>
      </c>
      <c r="C218" s="1" t="s">
        <v>6</v>
      </c>
      <c r="D218" t="str">
        <f>IFERROR(VLOOKUP(A218,depara!A:B,2,0),A218)</f>
        <v>7010537</v>
      </c>
      <c r="E218">
        <f>VLOOKUP(B218,'inumos depara'!$A:$B,2,0)</f>
        <v>16298648</v>
      </c>
      <c r="F218" s="1" t="str">
        <f t="shared" si="6"/>
        <v>0.01</v>
      </c>
      <c r="G218" t="str">
        <f t="shared" si="7"/>
        <v>7010537,16298648,0.01</v>
      </c>
    </row>
    <row r="219" spans="1:7" x14ac:dyDescent="0.25">
      <c r="A219" s="1" t="s">
        <v>1259</v>
      </c>
      <c r="B219" s="1" t="s">
        <v>1247</v>
      </c>
      <c r="C219" s="1" t="s">
        <v>73</v>
      </c>
      <c r="D219" t="str">
        <f>IFERROR(VLOOKUP(A219,depara!A:B,2,0),A219)</f>
        <v>7010537</v>
      </c>
      <c r="E219">
        <f>VLOOKUP(B219,'inumos depara'!$A:$B,2,0)</f>
        <v>16298649</v>
      </c>
      <c r="F219" s="1" t="str">
        <f t="shared" si="6"/>
        <v>0.08</v>
      </c>
      <c r="G219" t="str">
        <f t="shared" si="7"/>
        <v>7010537,16298649,0.08</v>
      </c>
    </row>
    <row r="220" spans="1:7" x14ac:dyDescent="0.25">
      <c r="A220" s="1" t="s">
        <v>1259</v>
      </c>
      <c r="B220" s="1" t="s">
        <v>1248</v>
      </c>
      <c r="C220" s="1" t="s">
        <v>8</v>
      </c>
      <c r="D220" t="str">
        <f>IFERROR(VLOOKUP(A220,depara!A:B,2,0),A220)</f>
        <v>7010537</v>
      </c>
      <c r="E220">
        <f>VLOOKUP(B220,'inumos depara'!$A:$B,2,0)</f>
        <v>16298650</v>
      </c>
      <c r="F220" s="1" t="str">
        <f t="shared" si="6"/>
        <v>0.06</v>
      </c>
      <c r="G220" t="str">
        <f t="shared" si="7"/>
        <v>7010537,16298650,0.06</v>
      </c>
    </row>
    <row r="221" spans="1:7" x14ac:dyDescent="0.25">
      <c r="A221" s="1" t="s">
        <v>1259</v>
      </c>
      <c r="B221" s="1" t="s">
        <v>1249</v>
      </c>
      <c r="C221" s="1" t="s">
        <v>9</v>
      </c>
      <c r="D221" t="str">
        <f>IFERROR(VLOOKUP(A221,depara!A:B,2,0),A221)</f>
        <v>7010537</v>
      </c>
      <c r="E221">
        <f>VLOOKUP(B221,'inumos depara'!$A:$B,2,0)</f>
        <v>16298651</v>
      </c>
      <c r="F221" s="1" t="str">
        <f t="shared" si="6"/>
        <v>0.09</v>
      </c>
      <c r="G221" t="str">
        <f t="shared" si="7"/>
        <v>7010537,16298651,0.09</v>
      </c>
    </row>
    <row r="222" spans="1:7" x14ac:dyDescent="0.25">
      <c r="A222" s="1" t="s">
        <v>1259</v>
      </c>
      <c r="B222" s="1" t="s">
        <v>1250</v>
      </c>
      <c r="C222" s="1" t="s">
        <v>64</v>
      </c>
      <c r="D222" t="str">
        <f>IFERROR(VLOOKUP(A222,depara!A:B,2,0),A222)</f>
        <v>7010537</v>
      </c>
      <c r="E222">
        <f>VLOOKUP(B222,'inumos depara'!$A:$B,2,0)</f>
        <v>16298652</v>
      </c>
      <c r="F222" s="1" t="str">
        <f t="shared" si="6"/>
        <v>0.02</v>
      </c>
      <c r="G222" t="str">
        <f t="shared" si="7"/>
        <v>7010537,16298652,0.02</v>
      </c>
    </row>
    <row r="223" spans="1:7" x14ac:dyDescent="0.25">
      <c r="A223" s="1" t="s">
        <v>1259</v>
      </c>
      <c r="B223" s="1" t="s">
        <v>1251</v>
      </c>
      <c r="C223" s="1" t="s">
        <v>10</v>
      </c>
      <c r="D223" t="str">
        <f>IFERROR(VLOOKUP(A223,depara!A:B,2,0),A223)</f>
        <v>7010537</v>
      </c>
      <c r="E223">
        <f>VLOOKUP(B223,'inumos depara'!$A:$B,2,0)</f>
        <v>16298653</v>
      </c>
      <c r="F223" s="1" t="str">
        <f t="shared" si="6"/>
        <v>0.001</v>
      </c>
      <c r="G223" t="str">
        <f t="shared" si="7"/>
        <v>7010537,16298653,0.001</v>
      </c>
    </row>
    <row r="224" spans="1:7" x14ac:dyDescent="0.25">
      <c r="A224" s="1" t="s">
        <v>1259</v>
      </c>
      <c r="B224" s="1" t="s">
        <v>74</v>
      </c>
      <c r="C224" s="1" t="s">
        <v>1</v>
      </c>
      <c r="D224" t="str">
        <f>IFERROR(VLOOKUP(A224,depara!A:B,2,0),A224)</f>
        <v>7010537</v>
      </c>
      <c r="E224">
        <f>VLOOKUP(B224,'inumos depara'!$A:$B,2,0)</f>
        <v>16298654</v>
      </c>
      <c r="F224" s="1" t="str">
        <f t="shared" si="6"/>
        <v>0.003</v>
      </c>
      <c r="G224" t="str">
        <f t="shared" si="7"/>
        <v>7010537,16298654,0.003</v>
      </c>
    </row>
    <row r="225" spans="1:7" x14ac:dyDescent="0.25">
      <c r="A225" s="1" t="s">
        <v>1259</v>
      </c>
      <c r="B225" s="1" t="s">
        <v>75</v>
      </c>
      <c r="C225" s="1" t="s">
        <v>10</v>
      </c>
      <c r="D225" t="str">
        <f>IFERROR(VLOOKUP(A225,depara!A:B,2,0),A225)</f>
        <v>7010537</v>
      </c>
      <c r="E225">
        <f>VLOOKUP(B225,'inumos depara'!$A:$B,2,0)</f>
        <v>16298655</v>
      </c>
      <c r="F225" s="1" t="str">
        <f t="shared" si="6"/>
        <v>0.001</v>
      </c>
      <c r="G225" t="str">
        <f t="shared" si="7"/>
        <v>7010537,16298655,0.001</v>
      </c>
    </row>
    <row r="226" spans="1:7" x14ac:dyDescent="0.25">
      <c r="A226" s="1" t="s">
        <v>1259</v>
      </c>
      <c r="B226" s="1" t="s">
        <v>1252</v>
      </c>
      <c r="C226" s="1" t="s">
        <v>5</v>
      </c>
      <c r="D226" t="str">
        <f>IFERROR(VLOOKUP(A226,depara!A:B,2,0),A226)</f>
        <v>7010537</v>
      </c>
      <c r="E226">
        <f>VLOOKUP(B226,'inumos depara'!$A:$B,2,0)</f>
        <v>16298656</v>
      </c>
      <c r="F226" s="1" t="str">
        <f t="shared" si="6"/>
        <v>0.002</v>
      </c>
      <c r="G226" t="str">
        <f t="shared" si="7"/>
        <v>7010537,16298656,0.002</v>
      </c>
    </row>
    <row r="227" spans="1:7" x14ac:dyDescent="0.25">
      <c r="A227" s="1" t="s">
        <v>1259</v>
      </c>
      <c r="B227" s="1" t="s">
        <v>1176</v>
      </c>
      <c r="C227" s="1" t="s">
        <v>10</v>
      </c>
      <c r="D227" t="str">
        <f>IFERROR(VLOOKUP(A227,depara!A:B,2,0),A227)</f>
        <v>7010537</v>
      </c>
      <c r="E227">
        <f>VLOOKUP(B227,'inumos depara'!$A:$B,2,0)</f>
        <v>16298585</v>
      </c>
      <c r="F227" s="1" t="str">
        <f t="shared" si="6"/>
        <v>0.001</v>
      </c>
      <c r="G227" t="str">
        <f t="shared" si="7"/>
        <v>7010537,16298585,0.001</v>
      </c>
    </row>
    <row r="228" spans="1:7" x14ac:dyDescent="0.25">
      <c r="A228" s="1" t="s">
        <v>1259</v>
      </c>
      <c r="B228" s="1" t="s">
        <v>1253</v>
      </c>
      <c r="C228" s="1" t="s">
        <v>76</v>
      </c>
      <c r="D228" t="str">
        <f>IFERROR(VLOOKUP(A228,depara!A:B,2,0),A228)</f>
        <v>7010537</v>
      </c>
      <c r="E228">
        <f>VLOOKUP(B228,'inumos depara'!$A:$B,2,0)</f>
        <v>16298657</v>
      </c>
      <c r="F228" s="1" t="str">
        <f t="shared" si="6"/>
        <v>0.03</v>
      </c>
      <c r="G228" t="str">
        <f t="shared" si="7"/>
        <v>7010537,16298657,0.03</v>
      </c>
    </row>
    <row r="229" spans="1:7" x14ac:dyDescent="0.25">
      <c r="A229" s="1" t="s">
        <v>1259</v>
      </c>
      <c r="B229" s="1" t="s">
        <v>77</v>
      </c>
      <c r="C229" s="1" t="s">
        <v>0</v>
      </c>
      <c r="D229" t="str">
        <f>IFERROR(VLOOKUP(A229,depara!A:B,2,0),A229)</f>
        <v>7010537</v>
      </c>
      <c r="E229">
        <f>VLOOKUP(B229,'inumos depara'!$A:$B,2,0)</f>
        <v>16298658</v>
      </c>
      <c r="F229" s="1" t="str">
        <f t="shared" si="6"/>
        <v>0.05</v>
      </c>
      <c r="G229" t="str">
        <f t="shared" si="7"/>
        <v>7010537,16298658,0.05</v>
      </c>
    </row>
    <row r="230" spans="1:7" x14ac:dyDescent="0.25">
      <c r="A230" s="1" t="s">
        <v>1259</v>
      </c>
      <c r="B230" s="1" t="s">
        <v>1254</v>
      </c>
      <c r="C230" s="1" t="s">
        <v>76</v>
      </c>
      <c r="D230" t="str">
        <f>IFERROR(VLOOKUP(A230,depara!A:B,2,0),A230)</f>
        <v>7010537</v>
      </c>
      <c r="E230">
        <f>VLOOKUP(B230,'inumos depara'!$A:$B,2,0)</f>
        <v>16298659</v>
      </c>
      <c r="F230" s="1" t="str">
        <f t="shared" si="6"/>
        <v>0.03</v>
      </c>
      <c r="G230" t="str">
        <f t="shared" si="7"/>
        <v>7010537,16298659,0.03</v>
      </c>
    </row>
    <row r="231" spans="1:7" x14ac:dyDescent="0.25">
      <c r="A231" s="1" t="s">
        <v>1259</v>
      </c>
      <c r="B231" s="1" t="s">
        <v>1255</v>
      </c>
      <c r="C231" s="1" t="s">
        <v>73</v>
      </c>
      <c r="D231" t="str">
        <f>IFERROR(VLOOKUP(A231,depara!A:B,2,0),A231)</f>
        <v>7010537</v>
      </c>
      <c r="E231">
        <f>VLOOKUP(B231,'inumos depara'!$A:$B,2,0)</f>
        <v>16298660</v>
      </c>
      <c r="F231" s="1" t="str">
        <f t="shared" si="6"/>
        <v>0.08</v>
      </c>
      <c r="G231" t="str">
        <f t="shared" si="7"/>
        <v>7010537,16298660,0.08</v>
      </c>
    </row>
    <row r="232" spans="1:7" x14ac:dyDescent="0.25">
      <c r="A232" s="1" t="s">
        <v>1259</v>
      </c>
      <c r="B232" s="1" t="s">
        <v>1146</v>
      </c>
      <c r="C232" s="1" t="s">
        <v>82</v>
      </c>
      <c r="D232" t="str">
        <f>IFERROR(VLOOKUP(A232,depara!A:B,2,0),A232)</f>
        <v>7010537</v>
      </c>
      <c r="E232">
        <f>VLOOKUP(B232,'inumos depara'!$A:$B,2,0)</f>
        <v>16298558</v>
      </c>
      <c r="F232" s="1" t="str">
        <f t="shared" si="6"/>
        <v>0.0005</v>
      </c>
      <c r="G232" t="str">
        <f t="shared" si="7"/>
        <v>7010537,16298558,0.0005</v>
      </c>
    </row>
    <row r="233" spans="1:7" x14ac:dyDescent="0.25">
      <c r="A233" s="1" t="s">
        <v>1259</v>
      </c>
      <c r="B233" s="1" t="s">
        <v>1256</v>
      </c>
      <c r="C233" s="1" t="s">
        <v>71</v>
      </c>
      <c r="D233" t="str">
        <f>IFERROR(VLOOKUP(A233,depara!A:B,2,0),A233)</f>
        <v>7010537</v>
      </c>
      <c r="E233">
        <f>VLOOKUP(B233,'inumos depara'!$A:$B,2,0)</f>
        <v>16298662</v>
      </c>
      <c r="F233" s="1" t="str">
        <f t="shared" si="6"/>
        <v>0.04</v>
      </c>
      <c r="G233" t="str">
        <f t="shared" si="7"/>
        <v>7010537,16298662,0.04</v>
      </c>
    </row>
    <row r="234" spans="1:7" x14ac:dyDescent="0.25">
      <c r="A234" s="1" t="s">
        <v>1260</v>
      </c>
      <c r="B234" s="1" t="s">
        <v>1147</v>
      </c>
      <c r="C234" s="1" t="s">
        <v>0</v>
      </c>
      <c r="D234" t="str">
        <f>IFERROR(VLOOKUP(A234,depara!A:B,2,0),A234)</f>
        <v>7010543</v>
      </c>
      <c r="E234">
        <f>VLOOKUP(B234,'inumos depara'!$A:$B,2,0)</f>
        <v>16298559</v>
      </c>
      <c r="F234" s="1" t="str">
        <f t="shared" si="6"/>
        <v>0.05</v>
      </c>
      <c r="G234" t="str">
        <f t="shared" si="7"/>
        <v>7010543,16298559,0.05</v>
      </c>
    </row>
    <row r="235" spans="1:7" x14ac:dyDescent="0.25">
      <c r="A235" s="1" t="s">
        <v>1260</v>
      </c>
      <c r="B235" s="1" t="s">
        <v>1261</v>
      </c>
      <c r="C235" s="1" t="s">
        <v>0</v>
      </c>
      <c r="D235" t="str">
        <f>IFERROR(VLOOKUP(A235,depara!A:B,2,0),A235)</f>
        <v>7010543</v>
      </c>
      <c r="E235">
        <f>VLOOKUP(B235,'inumos depara'!$A:$B,2,0)</f>
        <v>16298663</v>
      </c>
      <c r="F235" s="1" t="str">
        <f t="shared" si="6"/>
        <v>0.05</v>
      </c>
      <c r="G235" t="str">
        <f t="shared" si="7"/>
        <v>7010543,16298663,0.05</v>
      </c>
    </row>
    <row r="236" spans="1:7" x14ac:dyDescent="0.25">
      <c r="A236" s="1" t="s">
        <v>1260</v>
      </c>
      <c r="B236" s="1" t="s">
        <v>1262</v>
      </c>
      <c r="C236" s="1" t="s">
        <v>76</v>
      </c>
      <c r="D236" t="str">
        <f>IFERROR(VLOOKUP(A236,depara!A:B,2,0),A236)</f>
        <v>7010543</v>
      </c>
      <c r="E236">
        <f>VLOOKUP(B236,'inumos depara'!$A:$B,2,0)</f>
        <v>16298664</v>
      </c>
      <c r="F236" s="1" t="str">
        <f t="shared" si="6"/>
        <v>0.03</v>
      </c>
      <c r="G236" t="str">
        <f t="shared" si="7"/>
        <v>7010543,16298664,0.03</v>
      </c>
    </row>
    <row r="237" spans="1:7" x14ac:dyDescent="0.25">
      <c r="A237" s="1" t="s">
        <v>1260</v>
      </c>
      <c r="B237" s="1" t="s">
        <v>1263</v>
      </c>
      <c r="C237" s="1" t="s">
        <v>76</v>
      </c>
      <c r="D237" t="str">
        <f>IFERROR(VLOOKUP(A237,depara!A:B,2,0),A237)</f>
        <v>7010543</v>
      </c>
      <c r="E237">
        <f>VLOOKUP(B237,'inumos depara'!$A:$B,2,0)</f>
        <v>16298665</v>
      </c>
      <c r="F237" s="1" t="str">
        <f t="shared" si="6"/>
        <v>0.03</v>
      </c>
      <c r="G237" t="str">
        <f t="shared" si="7"/>
        <v>7010543,16298665,0.03</v>
      </c>
    </row>
    <row r="238" spans="1:7" x14ac:dyDescent="0.25">
      <c r="A238" s="1" t="s">
        <v>1260</v>
      </c>
      <c r="B238" s="1" t="s">
        <v>1264</v>
      </c>
      <c r="C238" s="1" t="s">
        <v>84</v>
      </c>
      <c r="D238" t="str">
        <f>IFERROR(VLOOKUP(A238,depara!A:B,2,0),A238)</f>
        <v>7010543</v>
      </c>
      <c r="E238">
        <f>VLOOKUP(B238,'inumos depara'!$A:$B,2,0)</f>
        <v>16298666</v>
      </c>
      <c r="F238" s="1" t="str">
        <f t="shared" si="6"/>
        <v>0.0485</v>
      </c>
      <c r="G238" t="str">
        <f t="shared" si="7"/>
        <v>7010543,16298666,0.0485</v>
      </c>
    </row>
    <row r="239" spans="1:7" x14ac:dyDescent="0.25">
      <c r="A239" s="1" t="s">
        <v>1260</v>
      </c>
      <c r="B239" s="1" t="s">
        <v>1265</v>
      </c>
      <c r="C239" s="1" t="s">
        <v>4</v>
      </c>
      <c r="D239" t="str">
        <f>IFERROR(VLOOKUP(A239,depara!A:B,2,0),A239)</f>
        <v>7010543</v>
      </c>
      <c r="E239">
        <f>VLOOKUP(B239,'inumos depara'!$A:$B,2,0)</f>
        <v>16298667</v>
      </c>
      <c r="F239" s="1" t="str">
        <f t="shared" si="6"/>
        <v>0.005</v>
      </c>
      <c r="G239" t="str">
        <f t="shared" si="7"/>
        <v>7010543,16298667,0.005</v>
      </c>
    </row>
    <row r="240" spans="1:7" x14ac:dyDescent="0.25">
      <c r="A240" s="1" t="s">
        <v>1260</v>
      </c>
      <c r="B240" s="1" t="s">
        <v>1215</v>
      </c>
      <c r="C240" s="1" t="s">
        <v>6</v>
      </c>
      <c r="D240" t="str">
        <f>IFERROR(VLOOKUP(A240,depara!A:B,2,0),A240)</f>
        <v>7010543</v>
      </c>
      <c r="E240">
        <f>VLOOKUP(B240,'inumos depara'!$A:$B,2,0)</f>
        <v>16298620</v>
      </c>
      <c r="F240" s="1" t="str">
        <f t="shared" si="6"/>
        <v>0.01</v>
      </c>
      <c r="G240" t="str">
        <f t="shared" si="7"/>
        <v>7010543,16298620,0.01</v>
      </c>
    </row>
    <row r="241" spans="1:7" x14ac:dyDescent="0.25">
      <c r="A241" s="1" t="s">
        <v>1260</v>
      </c>
      <c r="B241" s="1" t="s">
        <v>1176</v>
      </c>
      <c r="C241" s="1" t="s">
        <v>5</v>
      </c>
      <c r="D241" t="str">
        <f>IFERROR(VLOOKUP(A241,depara!A:B,2,0),A241)</f>
        <v>7010543</v>
      </c>
      <c r="E241">
        <f>VLOOKUP(B241,'inumos depara'!$A:$B,2,0)</f>
        <v>16298585</v>
      </c>
      <c r="F241" s="1" t="str">
        <f t="shared" si="6"/>
        <v>0.002</v>
      </c>
      <c r="G241" t="str">
        <f t="shared" si="7"/>
        <v>7010543,16298585,0.002</v>
      </c>
    </row>
    <row r="242" spans="1:7" x14ac:dyDescent="0.25">
      <c r="A242" s="1" t="s">
        <v>1260</v>
      </c>
      <c r="B242" s="1" t="s">
        <v>1266</v>
      </c>
      <c r="C242" s="1" t="s">
        <v>67</v>
      </c>
      <c r="D242" t="str">
        <f>IFERROR(VLOOKUP(A242,depara!A:B,2,0),A242)</f>
        <v>7010543</v>
      </c>
      <c r="E242">
        <f>VLOOKUP(B242,'inumos depara'!$A:$B,2,0)</f>
        <v>16298668</v>
      </c>
      <c r="F242" s="1" t="str">
        <f t="shared" si="6"/>
        <v>0.1</v>
      </c>
      <c r="G242" t="str">
        <f t="shared" si="7"/>
        <v>7010543,16298668,0.1</v>
      </c>
    </row>
    <row r="243" spans="1:7" x14ac:dyDescent="0.25">
      <c r="A243" s="1" t="s">
        <v>1260</v>
      </c>
      <c r="B243" s="1" t="s">
        <v>1267</v>
      </c>
      <c r="C243" s="1" t="s">
        <v>66</v>
      </c>
      <c r="D243" t="str">
        <f>IFERROR(VLOOKUP(A243,depara!A:B,2,0),A243)</f>
        <v>7010543</v>
      </c>
      <c r="E243">
        <f>VLOOKUP(B243,'inumos depara'!$A:$B,2,0)</f>
        <v>16298669</v>
      </c>
      <c r="F243" s="1" t="str">
        <f t="shared" si="6"/>
        <v>0.07</v>
      </c>
      <c r="G243" t="str">
        <f t="shared" si="7"/>
        <v>7010543,16298669,0.07</v>
      </c>
    </row>
    <row r="244" spans="1:7" x14ac:dyDescent="0.25">
      <c r="A244" s="1" t="s">
        <v>1260</v>
      </c>
      <c r="B244" s="1" t="s">
        <v>1268</v>
      </c>
      <c r="C244" s="1" t="s">
        <v>73</v>
      </c>
      <c r="D244" t="str">
        <f>IFERROR(VLOOKUP(A244,depara!A:B,2,0),A244)</f>
        <v>7010543</v>
      </c>
      <c r="E244">
        <f>VLOOKUP(B244,'inumos depara'!$A:$B,2,0)</f>
        <v>16298670</v>
      </c>
      <c r="F244" s="1" t="str">
        <f t="shared" si="6"/>
        <v>0.08</v>
      </c>
      <c r="G244" t="str">
        <f t="shared" si="7"/>
        <v>7010543,16298670,0.08</v>
      </c>
    </row>
    <row r="245" spans="1:7" x14ac:dyDescent="0.25">
      <c r="A245" s="1" t="s">
        <v>1260</v>
      </c>
      <c r="B245" s="1" t="s">
        <v>1269</v>
      </c>
      <c r="C245" s="1" t="s">
        <v>4</v>
      </c>
      <c r="D245" t="str">
        <f>IFERROR(VLOOKUP(A245,depara!A:B,2,0),A245)</f>
        <v>7010543</v>
      </c>
      <c r="E245">
        <f>VLOOKUP(B245,'inumos depara'!$A:$B,2,0)</f>
        <v>16298671</v>
      </c>
      <c r="F245" s="1" t="str">
        <f t="shared" si="6"/>
        <v>0.005</v>
      </c>
      <c r="G245" t="str">
        <f t="shared" si="7"/>
        <v>7010543,16298671,0.005</v>
      </c>
    </row>
    <row r="246" spans="1:7" x14ac:dyDescent="0.25">
      <c r="A246" s="1" t="s">
        <v>1260</v>
      </c>
      <c r="B246" s="1" t="s">
        <v>85</v>
      </c>
      <c r="C246" s="1" t="s">
        <v>86</v>
      </c>
      <c r="D246" t="str">
        <f>IFERROR(VLOOKUP(A246,depara!A:B,2,0),A246)</f>
        <v>7010543</v>
      </c>
      <c r="E246">
        <f>VLOOKUP(B246,'inumos depara'!$A:$B,2,0)</f>
        <v>16298672</v>
      </c>
      <c r="F246" s="1" t="str">
        <f t="shared" si="6"/>
        <v>0.011</v>
      </c>
      <c r="G246" t="str">
        <f t="shared" si="7"/>
        <v>7010543,16298672,0.011</v>
      </c>
    </row>
    <row r="247" spans="1:7" x14ac:dyDescent="0.25">
      <c r="A247" s="1" t="s">
        <v>1260</v>
      </c>
      <c r="B247" s="1" t="s">
        <v>1270</v>
      </c>
      <c r="C247" s="1" t="s">
        <v>76</v>
      </c>
      <c r="D247" t="str">
        <f>IFERROR(VLOOKUP(A247,depara!A:B,2,0),A247)</f>
        <v>7010543</v>
      </c>
      <c r="E247">
        <f>VLOOKUP(B247,'inumos depara'!$A:$B,2,0)</f>
        <v>16298673</v>
      </c>
      <c r="F247" s="1" t="str">
        <f t="shared" si="6"/>
        <v>0.03</v>
      </c>
      <c r="G247" t="str">
        <f t="shared" si="7"/>
        <v>7010543,16298673,0.03</v>
      </c>
    </row>
    <row r="248" spans="1:7" x14ac:dyDescent="0.25">
      <c r="A248" s="1" t="s">
        <v>1260</v>
      </c>
      <c r="B248" s="1" t="s">
        <v>1271</v>
      </c>
      <c r="C248" s="1" t="s">
        <v>6</v>
      </c>
      <c r="D248" t="str">
        <f>IFERROR(VLOOKUP(A248,depara!A:B,2,0),A248)</f>
        <v>7010543</v>
      </c>
      <c r="E248">
        <f>VLOOKUP(B248,'inumos depara'!$A:$B,2,0)</f>
        <v>16298674</v>
      </c>
      <c r="F248" s="1" t="str">
        <f t="shared" si="6"/>
        <v>0.01</v>
      </c>
      <c r="G248" t="str">
        <f t="shared" si="7"/>
        <v>7010543,16298674,0.01</v>
      </c>
    </row>
    <row r="249" spans="1:7" x14ac:dyDescent="0.25">
      <c r="A249" s="1" t="s">
        <v>1272</v>
      </c>
      <c r="B249" s="1" t="s">
        <v>1273</v>
      </c>
      <c r="C249" s="1" t="s">
        <v>67</v>
      </c>
      <c r="D249" t="str">
        <f>IFERROR(VLOOKUP(A249,depara!A:B,2,0),A249)</f>
        <v>7010544</v>
      </c>
      <c r="E249">
        <f>VLOOKUP(B249,'inumos depara'!$A:$B,2,0)</f>
        <v>16298675</v>
      </c>
      <c r="F249" s="1" t="str">
        <f t="shared" si="6"/>
        <v>0.1</v>
      </c>
      <c r="G249" t="str">
        <f t="shared" si="7"/>
        <v>7010544,16298675,0.1</v>
      </c>
    </row>
    <row r="250" spans="1:7" x14ac:dyDescent="0.25">
      <c r="A250" s="1" t="s">
        <v>1272</v>
      </c>
      <c r="B250" s="1" t="s">
        <v>1251</v>
      </c>
      <c r="C250" s="1" t="s">
        <v>12</v>
      </c>
      <c r="D250" t="str">
        <f>IFERROR(VLOOKUP(A250,depara!A:B,2,0),A250)</f>
        <v>7010544</v>
      </c>
      <c r="E250">
        <f>VLOOKUP(B250,'inumos depara'!$A:$B,2,0)</f>
        <v>16298653</v>
      </c>
      <c r="F250" s="1" t="str">
        <f t="shared" si="6"/>
        <v>0.0015</v>
      </c>
      <c r="G250" t="str">
        <f t="shared" si="7"/>
        <v>7010544,16298653,0.0015</v>
      </c>
    </row>
    <row r="251" spans="1:7" x14ac:dyDescent="0.25">
      <c r="A251" s="1" t="s">
        <v>1272</v>
      </c>
      <c r="B251" s="1" t="s">
        <v>1274</v>
      </c>
      <c r="C251" s="1" t="s">
        <v>10</v>
      </c>
      <c r="D251" t="str">
        <f>IFERROR(VLOOKUP(A251,depara!A:B,2,0),A251)</f>
        <v>7010544</v>
      </c>
      <c r="E251">
        <f>VLOOKUP(B251,'inumos depara'!$A:$B,2,0)</f>
        <v>16298676</v>
      </c>
      <c r="F251" s="1" t="str">
        <f t="shared" si="6"/>
        <v>0.001</v>
      </c>
      <c r="G251" t="str">
        <f t="shared" si="7"/>
        <v>7010544,16298676,0.001</v>
      </c>
    </row>
    <row r="252" spans="1:7" x14ac:dyDescent="0.25">
      <c r="A252" s="1" t="s">
        <v>1272</v>
      </c>
      <c r="B252" s="1" t="s">
        <v>1275</v>
      </c>
      <c r="C252" s="1" t="s">
        <v>6</v>
      </c>
      <c r="D252" t="str">
        <f>IFERROR(VLOOKUP(A252,depara!A:B,2,0),A252)</f>
        <v>7010544</v>
      </c>
      <c r="E252">
        <f>VLOOKUP(B252,'inumos depara'!$A:$B,2,0)</f>
        <v>16298677</v>
      </c>
      <c r="F252" s="1" t="str">
        <f t="shared" si="6"/>
        <v>0.01</v>
      </c>
      <c r="G252" t="str">
        <f t="shared" si="7"/>
        <v>7010544,16298677,0.01</v>
      </c>
    </row>
    <row r="253" spans="1:7" x14ac:dyDescent="0.25">
      <c r="A253" s="1" t="s">
        <v>1272</v>
      </c>
      <c r="B253" s="1" t="s">
        <v>1147</v>
      </c>
      <c r="C253" s="1" t="s">
        <v>76</v>
      </c>
      <c r="D253" t="str">
        <f>IFERROR(VLOOKUP(A253,depara!A:B,2,0),A253)</f>
        <v>7010544</v>
      </c>
      <c r="E253">
        <f>VLOOKUP(B253,'inumos depara'!$A:$B,2,0)</f>
        <v>16298559</v>
      </c>
      <c r="F253" s="1" t="str">
        <f t="shared" si="6"/>
        <v>0.03</v>
      </c>
      <c r="G253" t="str">
        <f t="shared" si="7"/>
        <v>7010544,16298559,0.03</v>
      </c>
    </row>
    <row r="254" spans="1:7" x14ac:dyDescent="0.25">
      <c r="A254" s="1" t="s">
        <v>1272</v>
      </c>
      <c r="B254" s="1" t="s">
        <v>1276</v>
      </c>
      <c r="C254" s="1" t="s">
        <v>0</v>
      </c>
      <c r="D254" t="str">
        <f>IFERROR(VLOOKUP(A254,depara!A:B,2,0),A254)</f>
        <v>7010544</v>
      </c>
      <c r="E254">
        <f>VLOOKUP(B254,'inumos depara'!$A:$B,2,0)</f>
        <v>16298678</v>
      </c>
      <c r="F254" s="1" t="str">
        <f t="shared" si="6"/>
        <v>0.05</v>
      </c>
      <c r="G254" t="str">
        <f t="shared" si="7"/>
        <v>7010544,16298678,0.05</v>
      </c>
    </row>
    <row r="255" spans="1:7" x14ac:dyDescent="0.25">
      <c r="A255" s="1" t="s">
        <v>1272</v>
      </c>
      <c r="B255" s="1" t="s">
        <v>1237</v>
      </c>
      <c r="C255" s="1" t="s">
        <v>4</v>
      </c>
      <c r="D255" t="str">
        <f>IFERROR(VLOOKUP(A255,depara!A:B,2,0),A255)</f>
        <v>7010544</v>
      </c>
      <c r="E255">
        <f>VLOOKUP(B255,'inumos depara'!$A:$B,2,0)</f>
        <v>16298639</v>
      </c>
      <c r="F255" s="1" t="str">
        <f t="shared" si="6"/>
        <v>0.005</v>
      </c>
      <c r="G255" t="str">
        <f t="shared" si="7"/>
        <v>7010544,16298639,0.005</v>
      </c>
    </row>
    <row r="256" spans="1:7" x14ac:dyDescent="0.25">
      <c r="A256" s="1" t="s">
        <v>1272</v>
      </c>
      <c r="B256" s="1" t="s">
        <v>1170</v>
      </c>
      <c r="C256" s="1" t="s">
        <v>82</v>
      </c>
      <c r="D256" t="str">
        <f>IFERROR(VLOOKUP(A256,depara!A:B,2,0),A256)</f>
        <v>7010544</v>
      </c>
      <c r="E256">
        <f>VLOOKUP(B256,'inumos depara'!$A:$B,2,0)</f>
        <v>16298579</v>
      </c>
      <c r="F256" s="1" t="str">
        <f t="shared" si="6"/>
        <v>0.0005</v>
      </c>
      <c r="G256" t="str">
        <f t="shared" si="7"/>
        <v>7010544,16298579,0.0005</v>
      </c>
    </row>
    <row r="257" spans="1:7" x14ac:dyDescent="0.25">
      <c r="A257" s="1" t="s">
        <v>1272</v>
      </c>
      <c r="B257" s="1" t="s">
        <v>1171</v>
      </c>
      <c r="C257" s="1" t="s">
        <v>1</v>
      </c>
      <c r="D257" t="str">
        <f>IFERROR(VLOOKUP(A257,depara!A:B,2,0),A257)</f>
        <v>7010544</v>
      </c>
      <c r="E257">
        <f>VLOOKUP(B257,'inumos depara'!$A:$B,2,0)</f>
        <v>16298580</v>
      </c>
      <c r="F257" s="1" t="str">
        <f t="shared" si="6"/>
        <v>0.003</v>
      </c>
      <c r="G257" t="str">
        <f t="shared" si="7"/>
        <v>7010544,16298580,0.003</v>
      </c>
    </row>
    <row r="258" spans="1:7" x14ac:dyDescent="0.25">
      <c r="A258" s="1" t="s">
        <v>1272</v>
      </c>
      <c r="B258" s="1" t="s">
        <v>1277</v>
      </c>
      <c r="C258" s="1" t="s">
        <v>5</v>
      </c>
      <c r="D258" t="str">
        <f>IFERROR(VLOOKUP(A258,depara!A:B,2,0),A258)</f>
        <v>7010544</v>
      </c>
      <c r="E258">
        <f>VLOOKUP(B258,'inumos depara'!$A:$B,2,0)</f>
        <v>16298679</v>
      </c>
      <c r="F258" s="1" t="str">
        <f t="shared" ref="F258:F321" si="8">C258</f>
        <v>0.002</v>
      </c>
      <c r="G258" t="str">
        <f t="shared" ref="G258:G321" si="9">D258&amp;","&amp;E258&amp;","&amp;F258</f>
        <v>7010544,16298679,0.002</v>
      </c>
    </row>
    <row r="259" spans="1:7" x14ac:dyDescent="0.25">
      <c r="A259" s="1" t="s">
        <v>1272</v>
      </c>
      <c r="B259" s="1" t="s">
        <v>1151</v>
      </c>
      <c r="C259" s="1" t="s">
        <v>87</v>
      </c>
      <c r="D259" t="str">
        <f>IFERROR(VLOOKUP(A259,depara!A:B,2,0),A259)</f>
        <v>7010544</v>
      </c>
      <c r="E259">
        <f>VLOOKUP(B259,'inumos depara'!$A:$B,2,0)</f>
        <v>16298562</v>
      </c>
      <c r="F259" s="1" t="str">
        <f t="shared" si="8"/>
        <v>0.0035</v>
      </c>
      <c r="G259" t="str">
        <f t="shared" si="9"/>
        <v>7010544,16298562,0.0035</v>
      </c>
    </row>
    <row r="260" spans="1:7" x14ac:dyDescent="0.25">
      <c r="A260" s="1" t="s">
        <v>1272</v>
      </c>
      <c r="B260" s="1" t="s">
        <v>1187</v>
      </c>
      <c r="C260" s="1" t="s">
        <v>6</v>
      </c>
      <c r="D260" t="str">
        <f>IFERROR(VLOOKUP(A260,depara!A:B,2,0),A260)</f>
        <v>7010544</v>
      </c>
      <c r="E260">
        <f>VLOOKUP(B260,'inumos depara'!$A:$B,2,0)</f>
        <v>16298593</v>
      </c>
      <c r="F260" s="1" t="str">
        <f t="shared" si="8"/>
        <v>0.01</v>
      </c>
      <c r="G260" t="str">
        <f t="shared" si="9"/>
        <v>7010544,16298593,0.01</v>
      </c>
    </row>
    <row r="261" spans="1:7" x14ac:dyDescent="0.25">
      <c r="A261" s="1" t="s">
        <v>1272</v>
      </c>
      <c r="B261" s="1" t="s">
        <v>1212</v>
      </c>
      <c r="C261" s="1" t="s">
        <v>5</v>
      </c>
      <c r="D261" t="str">
        <f>IFERROR(VLOOKUP(A261,depara!A:B,2,0),A261)</f>
        <v>7010544</v>
      </c>
      <c r="E261">
        <f>VLOOKUP(B261,'inumos depara'!$A:$B,2,0)</f>
        <v>16298617</v>
      </c>
      <c r="F261" s="1" t="str">
        <f t="shared" si="8"/>
        <v>0.002</v>
      </c>
      <c r="G261" t="str">
        <f t="shared" si="9"/>
        <v>7010544,16298617,0.002</v>
      </c>
    </row>
    <row r="262" spans="1:7" x14ac:dyDescent="0.25">
      <c r="A262" s="1" t="s">
        <v>1272</v>
      </c>
      <c r="B262" s="1" t="s">
        <v>1168</v>
      </c>
      <c r="C262" s="1" t="s">
        <v>88</v>
      </c>
      <c r="D262" t="str">
        <f>IFERROR(VLOOKUP(A262,depara!A:B,2,0),A262)</f>
        <v>7010544</v>
      </c>
      <c r="E262">
        <f>VLOOKUP(B262,'inumos depara'!$A:$B,2,0)</f>
        <v>16298577</v>
      </c>
      <c r="F262" s="1" t="str">
        <f t="shared" si="8"/>
        <v>0.015</v>
      </c>
      <c r="G262" t="str">
        <f t="shared" si="9"/>
        <v>7010544,16298577,0.015</v>
      </c>
    </row>
    <row r="263" spans="1:7" x14ac:dyDescent="0.25">
      <c r="A263" s="1" t="s">
        <v>1272</v>
      </c>
      <c r="B263" s="1" t="s">
        <v>89</v>
      </c>
      <c r="C263" s="1" t="s">
        <v>67</v>
      </c>
      <c r="D263" t="str">
        <f>IFERROR(VLOOKUP(A263,depara!A:B,2,0),A263)</f>
        <v>7010544</v>
      </c>
      <c r="E263">
        <f>VLOOKUP(B263,'inumos depara'!$A:$B,2,0)</f>
        <v>16298680</v>
      </c>
      <c r="F263" s="1" t="str">
        <f t="shared" si="8"/>
        <v>0.1</v>
      </c>
      <c r="G263" t="str">
        <f t="shared" si="9"/>
        <v>7010544,16298680,0.1</v>
      </c>
    </row>
    <row r="264" spans="1:7" x14ac:dyDescent="0.25">
      <c r="A264" s="1" t="s">
        <v>1272</v>
      </c>
      <c r="B264" s="1" t="s">
        <v>90</v>
      </c>
      <c r="C264" s="1" t="s">
        <v>81</v>
      </c>
      <c r="D264" t="str">
        <f>IFERROR(VLOOKUP(A264,depara!A:B,2,0),A264)</f>
        <v>7010544</v>
      </c>
      <c r="E264">
        <f>VLOOKUP(B264,'inumos depara'!$A:$B,2,0)</f>
        <v>16298681</v>
      </c>
      <c r="F264" s="1" t="str">
        <f t="shared" si="8"/>
        <v>0.035</v>
      </c>
      <c r="G264" t="str">
        <f t="shared" si="9"/>
        <v>7010544,16298681,0.035</v>
      </c>
    </row>
    <row r="265" spans="1:7" x14ac:dyDescent="0.25">
      <c r="A265" s="1" t="s">
        <v>1272</v>
      </c>
      <c r="B265" s="1" t="s">
        <v>91</v>
      </c>
      <c r="C265" s="1" t="s">
        <v>67</v>
      </c>
      <c r="D265" t="str">
        <f>IFERROR(VLOOKUP(A265,depara!A:B,2,0),A265)</f>
        <v>7010544</v>
      </c>
      <c r="E265">
        <f>VLOOKUP(B265,'inumos depara'!$A:$B,2,0)</f>
        <v>16298682</v>
      </c>
      <c r="F265" s="1" t="str">
        <f t="shared" si="8"/>
        <v>0.1</v>
      </c>
      <c r="G265" t="str">
        <f t="shared" si="9"/>
        <v>7010544,16298682,0.1</v>
      </c>
    </row>
    <row r="266" spans="1:7" x14ac:dyDescent="0.25">
      <c r="A266" s="1" t="s">
        <v>1272</v>
      </c>
      <c r="B266" s="1" t="s">
        <v>92</v>
      </c>
      <c r="C266" s="1" t="s">
        <v>1150</v>
      </c>
      <c r="D266" t="str">
        <f>IFERROR(VLOOKUP(A266,depara!A:B,2,0),A266)</f>
        <v>7010544</v>
      </c>
      <c r="E266">
        <f>VLOOKUP(B266,'inumos depara'!$A:$B,2,0)</f>
        <v>16298683</v>
      </c>
      <c r="F266" s="1" t="str">
        <f t="shared" si="8"/>
        <v>1</v>
      </c>
      <c r="G266" t="str">
        <f t="shared" si="9"/>
        <v>7010544,16298683,1</v>
      </c>
    </row>
    <row r="267" spans="1:7" x14ac:dyDescent="0.25">
      <c r="A267" s="1" t="s">
        <v>1278</v>
      </c>
      <c r="B267" s="1" t="s">
        <v>93</v>
      </c>
      <c r="C267" s="1" t="s">
        <v>1279</v>
      </c>
      <c r="D267" t="str">
        <f>IFERROR(VLOOKUP(A267,depara!A:B,2,0),A267)</f>
        <v>9190400</v>
      </c>
      <c r="E267">
        <f>VLOOKUP(B267,'inumos depara'!$A:$B,2,0)</f>
        <v>16298684</v>
      </c>
      <c r="F267" s="1" t="str">
        <f t="shared" si="8"/>
        <v>1.05197294498667</v>
      </c>
      <c r="G267" t="str">
        <f t="shared" si="9"/>
        <v>9190400,16298684,1.05197294498667</v>
      </c>
    </row>
    <row r="268" spans="1:7" x14ac:dyDescent="0.25">
      <c r="A268" s="1" t="s">
        <v>1278</v>
      </c>
      <c r="B268" s="1" t="s">
        <v>1280</v>
      </c>
      <c r="C268" s="1" t="s">
        <v>94</v>
      </c>
      <c r="D268" t="str">
        <f>IFERROR(VLOOKUP(A268,depara!A:B,2,0),A268)</f>
        <v>9190400</v>
      </c>
      <c r="E268">
        <f>VLOOKUP(B268,'inumos depara'!$A:$B,2,0)</f>
        <v>16298685</v>
      </c>
      <c r="F268" s="1" t="str">
        <f t="shared" si="8"/>
        <v>0.0657428011192139</v>
      </c>
      <c r="G268" t="str">
        <f t="shared" si="9"/>
        <v>9190400,16298685,0.0657428011192139</v>
      </c>
    </row>
    <row r="269" spans="1:7" x14ac:dyDescent="0.25">
      <c r="A269" s="1" t="s">
        <v>1278</v>
      </c>
      <c r="B269" s="1" t="s">
        <v>95</v>
      </c>
      <c r="C269" s="1" t="s">
        <v>96</v>
      </c>
      <c r="D269" t="str">
        <f>IFERROR(VLOOKUP(A269,depara!A:B,2,0),A269)</f>
        <v>9190400</v>
      </c>
      <c r="E269">
        <f>VLOOKUP(B269,'inumos depara'!$A:$B,2,0)</f>
        <v>16298686</v>
      </c>
      <c r="F269" s="1" t="str">
        <f t="shared" si="8"/>
        <v>0.0673180726607768</v>
      </c>
      <c r="G269" t="str">
        <f t="shared" si="9"/>
        <v>9190400,16298686,0.0673180726607768</v>
      </c>
    </row>
    <row r="270" spans="1:7" x14ac:dyDescent="0.25">
      <c r="A270" s="1" t="s">
        <v>1281</v>
      </c>
      <c r="B270" s="1" t="s">
        <v>95</v>
      </c>
      <c r="C270" s="1" t="s">
        <v>97</v>
      </c>
      <c r="D270" t="str">
        <f>IFERROR(VLOOKUP(A270,depara!A:B,2,0),A270)</f>
        <v>9190408</v>
      </c>
      <c r="E270">
        <f>VLOOKUP(B270,'inumos depara'!$A:$B,2,0)</f>
        <v>16298686</v>
      </c>
      <c r="F270" s="1" t="str">
        <f t="shared" si="8"/>
        <v>0.155607048278672</v>
      </c>
      <c r="G270" t="str">
        <f t="shared" si="9"/>
        <v>9190408,16298686,0.155607048278672</v>
      </c>
    </row>
    <row r="271" spans="1:7" x14ac:dyDescent="0.25">
      <c r="A271" s="1" t="s">
        <v>1281</v>
      </c>
      <c r="B271" s="1" t="s">
        <v>1282</v>
      </c>
      <c r="C271" s="1" t="s">
        <v>1283</v>
      </c>
      <c r="D271" t="str">
        <f>IFERROR(VLOOKUP(A271,depara!A:B,2,0),A271)</f>
        <v>9190408</v>
      </c>
      <c r="E271">
        <f>VLOOKUP(B271,'inumos depara'!$A:$B,2,0)</f>
        <v>16298687</v>
      </c>
      <c r="F271" s="1" t="str">
        <f t="shared" si="8"/>
        <v>1.05199633326543</v>
      </c>
      <c r="G271" t="str">
        <f t="shared" si="9"/>
        <v>9190408,16298687,1.05199633326543</v>
      </c>
    </row>
    <row r="272" spans="1:7" x14ac:dyDescent="0.25">
      <c r="A272" s="1" t="s">
        <v>1281</v>
      </c>
      <c r="B272" s="1" t="s">
        <v>1284</v>
      </c>
      <c r="C272" s="1" t="s">
        <v>1285</v>
      </c>
      <c r="D272" t="str">
        <f>IFERROR(VLOOKUP(A272,depara!A:B,2,0),A272)</f>
        <v>9190408</v>
      </c>
      <c r="E272">
        <f>VLOOKUP(B272,'inumos depara'!$A:$B,2,0)</f>
        <v>16298688</v>
      </c>
      <c r="F272" s="1" t="str">
        <f t="shared" si="8"/>
        <v>1.11509472397637</v>
      </c>
      <c r="G272" t="str">
        <f t="shared" si="9"/>
        <v>9190408,16298688,1.11509472397637</v>
      </c>
    </row>
    <row r="273" spans="1:7" x14ac:dyDescent="0.25">
      <c r="A273" s="1" t="s">
        <v>1281</v>
      </c>
      <c r="B273" s="1" t="s">
        <v>1286</v>
      </c>
      <c r="C273" s="1" t="s">
        <v>1285</v>
      </c>
      <c r="D273" t="str">
        <f>IFERROR(VLOOKUP(A273,depara!A:B,2,0),A273)</f>
        <v>9190408</v>
      </c>
      <c r="E273">
        <f>VLOOKUP(B273,'inumos depara'!$A:$B,2,0)</f>
        <v>16298689</v>
      </c>
      <c r="F273" s="1" t="str">
        <f t="shared" si="8"/>
        <v>1.11509472397637</v>
      </c>
      <c r="G273" t="str">
        <f t="shared" si="9"/>
        <v>9190408,16298689,1.11509472397637</v>
      </c>
    </row>
    <row r="274" spans="1:7" x14ac:dyDescent="0.25">
      <c r="A274" s="1" t="s">
        <v>1281</v>
      </c>
      <c r="B274" s="1" t="s">
        <v>98</v>
      </c>
      <c r="C274" s="1" t="s">
        <v>1283</v>
      </c>
      <c r="D274" t="str">
        <f>IFERROR(VLOOKUP(A274,depara!A:B,2,0),A274)</f>
        <v>9190408</v>
      </c>
      <c r="E274">
        <f>VLOOKUP(B274,'inumos depara'!$A:$B,2,0)</f>
        <v>16298690</v>
      </c>
      <c r="F274" s="1" t="str">
        <f t="shared" si="8"/>
        <v>1.05199633326543</v>
      </c>
      <c r="G274" t="str">
        <f t="shared" si="9"/>
        <v>9190408,16298690,1.05199633326543</v>
      </c>
    </row>
    <row r="275" spans="1:7" x14ac:dyDescent="0.25">
      <c r="A275" s="1" t="s">
        <v>1281</v>
      </c>
      <c r="B275" s="1" t="s">
        <v>1287</v>
      </c>
      <c r="C275" s="1" t="s">
        <v>1285</v>
      </c>
      <c r="D275" t="str">
        <f>IFERROR(VLOOKUP(A275,depara!A:B,2,0),A275)</f>
        <v>9190408</v>
      </c>
      <c r="E275">
        <f>VLOOKUP(B275,'inumos depara'!$A:$B,2,0)</f>
        <v>16298691</v>
      </c>
      <c r="F275" s="1" t="str">
        <f t="shared" si="8"/>
        <v>1.11509472397637</v>
      </c>
      <c r="G275" t="str">
        <f t="shared" si="9"/>
        <v>9190408,16298691,1.11509472397637</v>
      </c>
    </row>
    <row r="276" spans="1:7" x14ac:dyDescent="0.25">
      <c r="A276" s="1" t="s">
        <v>1281</v>
      </c>
      <c r="B276" s="1" t="s">
        <v>1288</v>
      </c>
      <c r="C276" s="1" t="s">
        <v>99</v>
      </c>
      <c r="D276" t="str">
        <f>IFERROR(VLOOKUP(A276,depara!A:B,2,0),A276)</f>
        <v>9190408</v>
      </c>
      <c r="E276">
        <f>VLOOKUP(B276,'inumos depara'!$A:$B,2,0)</f>
        <v>16298692</v>
      </c>
      <c r="F276" s="1" t="str">
        <f t="shared" si="8"/>
        <v>0.0657465878997759</v>
      </c>
      <c r="G276" t="str">
        <f t="shared" si="9"/>
        <v>9190408,16298692,0.0657465878997759</v>
      </c>
    </row>
    <row r="277" spans="1:7" x14ac:dyDescent="0.25">
      <c r="A277" s="1" t="s">
        <v>1289</v>
      </c>
      <c r="B277" s="1" t="s">
        <v>95</v>
      </c>
      <c r="C277" s="1" t="s">
        <v>100</v>
      </c>
      <c r="D277" t="str">
        <f>IFERROR(VLOOKUP(A277,depara!A:B,2,0),A277)</f>
        <v>9190410</v>
      </c>
      <c r="E277">
        <f>VLOOKUP(B277,'inumos depara'!$A:$B,2,0)</f>
        <v>16298686</v>
      </c>
      <c r="F277" s="1" t="str">
        <f t="shared" si="8"/>
        <v>0.2659500391679</v>
      </c>
      <c r="G277" t="str">
        <f t="shared" si="9"/>
        <v>9190410,16298686,0.2659500391679</v>
      </c>
    </row>
    <row r="278" spans="1:7" x14ac:dyDescent="0.25">
      <c r="A278" s="1" t="s">
        <v>1289</v>
      </c>
      <c r="B278" s="1" t="s">
        <v>101</v>
      </c>
      <c r="C278" s="1" t="s">
        <v>1290</v>
      </c>
      <c r="D278" t="str">
        <f>IFERROR(VLOOKUP(A278,depara!A:B,2,0),A278)</f>
        <v>9190410</v>
      </c>
      <c r="E278">
        <f>VLOOKUP(B278,'inumos depara'!$A:$B,2,0)</f>
        <v>16298693</v>
      </c>
      <c r="F278" s="1" t="str">
        <f t="shared" si="8"/>
        <v>1.05196274697537</v>
      </c>
      <c r="G278" t="str">
        <f t="shared" si="9"/>
        <v>9190410,16298693,1.05196274697537</v>
      </c>
    </row>
    <row r="279" spans="1:7" x14ac:dyDescent="0.25">
      <c r="A279" s="1" t="s">
        <v>1289</v>
      </c>
      <c r="B279" s="1" t="s">
        <v>1291</v>
      </c>
      <c r="C279" s="1" t="s">
        <v>1290</v>
      </c>
      <c r="D279" t="str">
        <f>IFERROR(VLOOKUP(A279,depara!A:B,2,0),A279)</f>
        <v>9190410</v>
      </c>
      <c r="E279">
        <f>VLOOKUP(B279,'inumos depara'!$A:$B,2,0)</f>
        <v>16298694</v>
      </c>
      <c r="F279" s="1" t="str">
        <f t="shared" si="8"/>
        <v>1.05196274697537</v>
      </c>
      <c r="G279" t="str">
        <f t="shared" si="9"/>
        <v>9190410,16298694,1.05196274697537</v>
      </c>
    </row>
    <row r="280" spans="1:7" x14ac:dyDescent="0.25">
      <c r="A280" s="1" t="s">
        <v>1289</v>
      </c>
      <c r="B280" s="1" t="s">
        <v>1292</v>
      </c>
      <c r="C280" s="1" t="s">
        <v>1293</v>
      </c>
      <c r="D280" t="str">
        <f>IFERROR(VLOOKUP(A280,depara!A:B,2,0),A280)</f>
        <v>9190410</v>
      </c>
      <c r="E280">
        <f>VLOOKUP(B280,'inumos depara'!$A:$B,2,0)</f>
        <v>16298695</v>
      </c>
      <c r="F280" s="1" t="str">
        <f t="shared" si="8"/>
        <v>1.11506658542954</v>
      </c>
      <c r="G280" t="str">
        <f t="shared" si="9"/>
        <v>9190410,16298695,1.11506658542954</v>
      </c>
    </row>
    <row r="281" spans="1:7" x14ac:dyDescent="0.25">
      <c r="A281" s="1" t="s">
        <v>1289</v>
      </c>
      <c r="B281" s="1" t="s">
        <v>1294</v>
      </c>
      <c r="C281" s="1" t="s">
        <v>1293</v>
      </c>
      <c r="D281" t="str">
        <f>IFERROR(VLOOKUP(A281,depara!A:B,2,0),A281)</f>
        <v>9190410</v>
      </c>
      <c r="E281">
        <f>VLOOKUP(B281,'inumos depara'!$A:$B,2,0)</f>
        <v>16298696</v>
      </c>
      <c r="F281" s="1" t="str">
        <f t="shared" si="8"/>
        <v>1.11506658542954</v>
      </c>
      <c r="G281" t="str">
        <f t="shared" si="9"/>
        <v>9190410,16298696,1.11506658542954</v>
      </c>
    </row>
    <row r="282" spans="1:7" x14ac:dyDescent="0.25">
      <c r="A282" s="1" t="s">
        <v>1289</v>
      </c>
      <c r="B282" s="1" t="s">
        <v>1287</v>
      </c>
      <c r="C282" s="1" t="s">
        <v>1293</v>
      </c>
      <c r="D282" t="str">
        <f>IFERROR(VLOOKUP(A282,depara!A:B,2,0),A282)</f>
        <v>9190410</v>
      </c>
      <c r="E282">
        <f>VLOOKUP(B282,'inumos depara'!$A:$B,2,0)</f>
        <v>16298691</v>
      </c>
      <c r="F282" s="1" t="str">
        <f t="shared" si="8"/>
        <v>1.11506658542954</v>
      </c>
      <c r="G282" t="str">
        <f t="shared" si="9"/>
        <v>9190410,16298691,1.11506658542954</v>
      </c>
    </row>
    <row r="283" spans="1:7" x14ac:dyDescent="0.25">
      <c r="A283" s="1" t="s">
        <v>1289</v>
      </c>
      <c r="B283" s="1" t="s">
        <v>1295</v>
      </c>
      <c r="C283" s="1" t="s">
        <v>102</v>
      </c>
      <c r="D283" t="str">
        <f>IFERROR(VLOOKUP(A283,depara!A:B,2,0),A283)</f>
        <v>9190410</v>
      </c>
      <c r="E283">
        <f>VLOOKUP(B283,'inumos depara'!$A:$B,2,0)</f>
        <v>16298697</v>
      </c>
      <c r="F283" s="1" t="str">
        <f t="shared" si="8"/>
        <v>0.0657150317695187</v>
      </c>
      <c r="G283" t="str">
        <f t="shared" si="9"/>
        <v>9190410,16298697,0.0657150317695187</v>
      </c>
    </row>
    <row r="284" spans="1:7" x14ac:dyDescent="0.25">
      <c r="A284" s="1" t="s">
        <v>1296</v>
      </c>
      <c r="B284" s="1" t="s">
        <v>103</v>
      </c>
      <c r="C284" s="1" t="s">
        <v>104</v>
      </c>
      <c r="D284" t="str">
        <f>IFERROR(VLOOKUP(A284,depara!A:B,2,0),A284)</f>
        <v>9190416</v>
      </c>
      <c r="E284">
        <f>VLOOKUP(B284,'inumos depara'!$A:$B,2,0)</f>
        <v>16298698</v>
      </c>
      <c r="F284" s="1" t="str">
        <f t="shared" si="8"/>
        <v>0.0653569344485509</v>
      </c>
      <c r="G284" t="str">
        <f t="shared" si="9"/>
        <v>9190416,16298698,0.0653569344485509</v>
      </c>
    </row>
    <row r="285" spans="1:7" x14ac:dyDescent="0.25">
      <c r="A285" s="1" t="s">
        <v>1296</v>
      </c>
      <c r="B285" s="1" t="s">
        <v>105</v>
      </c>
      <c r="C285" s="1" t="s">
        <v>1297</v>
      </c>
      <c r="D285" t="str">
        <f>IFERROR(VLOOKUP(A285,depara!A:B,2,0),A285)</f>
        <v>9190416</v>
      </c>
      <c r="E285">
        <f>VLOOKUP(B285,'inumos depara'!$A:$B,2,0)</f>
        <v>16298699</v>
      </c>
      <c r="F285" s="1" t="str">
        <f t="shared" si="8"/>
        <v>1.06289308176101</v>
      </c>
      <c r="G285" t="str">
        <f t="shared" si="9"/>
        <v>9190416,16298699,1.06289308176101</v>
      </c>
    </row>
    <row r="286" spans="1:7" x14ac:dyDescent="0.25">
      <c r="A286" s="1" t="s">
        <v>1296</v>
      </c>
      <c r="B286" s="1" t="s">
        <v>1280</v>
      </c>
      <c r="C286" s="1" t="s">
        <v>106</v>
      </c>
      <c r="D286" t="str">
        <f>IFERROR(VLOOKUP(A286,depara!A:B,2,0),A286)</f>
        <v>9190416</v>
      </c>
      <c r="E286">
        <f>VLOOKUP(B286,'inumos depara'!$A:$B,2,0)</f>
        <v>16298685</v>
      </c>
      <c r="F286" s="1" t="str">
        <f t="shared" si="8"/>
        <v>0.066459184335084</v>
      </c>
      <c r="G286" t="str">
        <f t="shared" si="9"/>
        <v>9190416,16298685,0.066459184335084</v>
      </c>
    </row>
    <row r="287" spans="1:7" x14ac:dyDescent="0.25">
      <c r="A287" s="1" t="s">
        <v>1298</v>
      </c>
      <c r="B287" s="1" t="s">
        <v>107</v>
      </c>
      <c r="C287" s="1" t="s">
        <v>108</v>
      </c>
      <c r="D287" t="str">
        <f>IFERROR(VLOOKUP(A287,depara!A:B,2,0),A287)</f>
        <v>9190418</v>
      </c>
      <c r="E287">
        <f>VLOOKUP(B287,'inumos depara'!$A:$B,2,0)</f>
        <v>16298700</v>
      </c>
      <c r="F287" s="1" t="str">
        <f t="shared" si="8"/>
        <v>0.0666622577871834</v>
      </c>
      <c r="G287" t="str">
        <f t="shared" si="9"/>
        <v>9190418,16298700,0.0666622577871834</v>
      </c>
    </row>
    <row r="288" spans="1:7" x14ac:dyDescent="0.25">
      <c r="A288" s="1" t="s">
        <v>1298</v>
      </c>
      <c r="B288" s="1" t="s">
        <v>109</v>
      </c>
      <c r="C288" s="1" t="s">
        <v>1299</v>
      </c>
      <c r="D288" t="str">
        <f>IFERROR(VLOOKUP(A288,depara!A:B,2,0),A288)</f>
        <v>9190418</v>
      </c>
      <c r="E288">
        <f>VLOOKUP(B288,'inumos depara'!$A:$B,2,0)</f>
        <v>16298701</v>
      </c>
      <c r="F288" s="1" t="str">
        <f t="shared" si="8"/>
        <v>1.06289266582898</v>
      </c>
      <c r="G288" t="str">
        <f t="shared" si="9"/>
        <v>9190418,16298701,1.06289266582898</v>
      </c>
    </row>
    <row r="289" spans="1:7" x14ac:dyDescent="0.25">
      <c r="A289" s="1" t="s">
        <v>1298</v>
      </c>
      <c r="B289" s="1" t="s">
        <v>1300</v>
      </c>
      <c r="C289" s="1" t="s">
        <v>1299</v>
      </c>
      <c r="D289" t="str">
        <f>IFERROR(VLOOKUP(A289,depara!A:B,2,0),A289)</f>
        <v>9190418</v>
      </c>
      <c r="E289">
        <f>VLOOKUP(B289,'inumos depara'!$A:$B,2,0)</f>
        <v>16298702</v>
      </c>
      <c r="F289" s="1" t="str">
        <f t="shared" si="8"/>
        <v>1.06289266582898</v>
      </c>
      <c r="G289" t="str">
        <f t="shared" si="9"/>
        <v>9190418,16298702,1.06289266582898</v>
      </c>
    </row>
    <row r="290" spans="1:7" x14ac:dyDescent="0.25">
      <c r="A290" s="1" t="s">
        <v>1298</v>
      </c>
      <c r="B290" s="1" t="s">
        <v>1301</v>
      </c>
      <c r="C290" s="1" t="s">
        <v>110</v>
      </c>
      <c r="D290" t="str">
        <f>IFERROR(VLOOKUP(A290,depara!A:B,2,0),A290)</f>
        <v>9190418</v>
      </c>
      <c r="E290">
        <f>VLOOKUP(B290,'inumos depara'!$A:$B,2,0)</f>
        <v>16298703</v>
      </c>
      <c r="F290" s="1" t="str">
        <f t="shared" si="8"/>
        <v>0.0664638582104358</v>
      </c>
      <c r="G290" t="str">
        <f t="shared" si="9"/>
        <v>9190418,16298703,0.0664638582104358</v>
      </c>
    </row>
    <row r="291" spans="1:7" x14ac:dyDescent="0.25">
      <c r="A291" s="1" t="s">
        <v>1302</v>
      </c>
      <c r="B291" s="1" t="s">
        <v>1303</v>
      </c>
      <c r="C291" s="1" t="s">
        <v>111</v>
      </c>
      <c r="D291" t="str">
        <f>IFERROR(VLOOKUP(A291,depara!A:B,2,0),A291)</f>
        <v>9190419</v>
      </c>
      <c r="E291">
        <f>VLOOKUP(B291,'inumos depara'!$A:$B,2,0)</f>
        <v>16298704</v>
      </c>
      <c r="F291" s="1" t="str">
        <f t="shared" si="8"/>
        <v>0.0738247213779129</v>
      </c>
      <c r="G291" t="str">
        <f t="shared" si="9"/>
        <v>9190419,16298704,0.0738247213779129</v>
      </c>
    </row>
    <row r="292" spans="1:7" x14ac:dyDescent="0.25">
      <c r="A292" s="1" t="s">
        <v>1302</v>
      </c>
      <c r="B292" s="1" t="s">
        <v>1304</v>
      </c>
      <c r="C292" s="1" t="s">
        <v>112</v>
      </c>
      <c r="D292" t="str">
        <f>IFERROR(VLOOKUP(A292,depara!A:B,2,0),A292)</f>
        <v>9190419</v>
      </c>
      <c r="E292">
        <f>VLOOKUP(B292,'inumos depara'!$A:$B,2,0)</f>
        <v>16298705</v>
      </c>
      <c r="F292" s="1" t="str">
        <f t="shared" si="8"/>
        <v>0.00564481111593574</v>
      </c>
      <c r="G292" t="str">
        <f t="shared" si="9"/>
        <v>9190419,16298705,0.00564481111593574</v>
      </c>
    </row>
    <row r="293" spans="1:7" x14ac:dyDescent="0.25">
      <c r="A293" s="1" t="s">
        <v>1302</v>
      </c>
      <c r="B293" s="1" t="s">
        <v>1305</v>
      </c>
      <c r="C293" s="1" t="s">
        <v>113</v>
      </c>
      <c r="D293" t="str">
        <f>IFERROR(VLOOKUP(A293,depara!A:B,2,0),A293)</f>
        <v>9190419</v>
      </c>
      <c r="E293">
        <f>VLOOKUP(B293,'inumos depara'!$A:$B,2,0)</f>
        <v>16298706</v>
      </c>
      <c r="F293" s="1" t="str">
        <f t="shared" si="8"/>
        <v>0.000940801852655956</v>
      </c>
      <c r="G293" t="str">
        <f t="shared" si="9"/>
        <v>9190419,16298706,0.000940801852655956</v>
      </c>
    </row>
    <row r="294" spans="1:7" x14ac:dyDescent="0.25">
      <c r="A294" s="1" t="s">
        <v>1302</v>
      </c>
      <c r="B294" s="1" t="s">
        <v>1220</v>
      </c>
      <c r="C294" s="1" t="s">
        <v>1306</v>
      </c>
      <c r="D294" t="str">
        <f>IFERROR(VLOOKUP(A294,depara!A:B,2,0),A294)</f>
        <v>9190419</v>
      </c>
      <c r="E294">
        <f>VLOOKUP(B294,'inumos depara'!$A:$B,2,0)</f>
        <v>16298625</v>
      </c>
      <c r="F294" s="1" t="str">
        <f t="shared" si="8"/>
        <v>9.40801852655956E-05</v>
      </c>
      <c r="G294" t="str">
        <f t="shared" si="9"/>
        <v>9190419,16298625,9.40801852655956E-05</v>
      </c>
    </row>
    <row r="295" spans="1:7" x14ac:dyDescent="0.25">
      <c r="A295" s="1" t="s">
        <v>1302</v>
      </c>
      <c r="B295" s="1" t="s">
        <v>1307</v>
      </c>
      <c r="C295" s="1" t="s">
        <v>114</v>
      </c>
      <c r="D295" t="str">
        <f>IFERROR(VLOOKUP(A295,depara!A:B,2,0),A295)</f>
        <v>9190419</v>
      </c>
      <c r="E295">
        <f>VLOOKUP(B295,'inumos depara'!$A:$B,2,0)</f>
        <v>16298707</v>
      </c>
      <c r="F295" s="1" t="str">
        <f t="shared" si="8"/>
        <v>0.000122304240845274</v>
      </c>
      <c r="G295" t="str">
        <f t="shared" si="9"/>
        <v>9190419,16298707,0.000122304240845274</v>
      </c>
    </row>
    <row r="296" spans="1:7" x14ac:dyDescent="0.25">
      <c r="A296" s="1" t="s">
        <v>1302</v>
      </c>
      <c r="B296" s="1" t="s">
        <v>1219</v>
      </c>
      <c r="C296" s="1" t="s">
        <v>115</v>
      </c>
      <c r="D296" t="str">
        <f>IFERROR(VLOOKUP(A296,depara!A:B,2,0),A296)</f>
        <v>9190419</v>
      </c>
      <c r="E296">
        <f>VLOOKUP(B296,'inumos depara'!$A:$B,2,0)</f>
        <v>16298624</v>
      </c>
      <c r="F296" s="1" t="str">
        <f t="shared" si="8"/>
        <v>0.00188160370531191</v>
      </c>
      <c r="G296" t="str">
        <f t="shared" si="9"/>
        <v>9190419,16298624,0.00188160370531191</v>
      </c>
    </row>
    <row r="297" spans="1:7" x14ac:dyDescent="0.25">
      <c r="A297" s="1" t="s">
        <v>1302</v>
      </c>
      <c r="B297" s="1" t="s">
        <v>1308</v>
      </c>
      <c r="C297" s="1" t="s">
        <v>116</v>
      </c>
      <c r="D297" t="str">
        <f>IFERROR(VLOOKUP(A297,depara!A:B,2,0),A297)</f>
        <v>9190419</v>
      </c>
      <c r="E297">
        <f>VLOOKUP(B297,'inumos depara'!$A:$B,2,0)</f>
        <v>16298708</v>
      </c>
      <c r="F297" s="1" t="str">
        <f t="shared" si="8"/>
        <v>0.00940801852655956</v>
      </c>
      <c r="G297" t="str">
        <f t="shared" si="9"/>
        <v>9190419,16298708,0.00940801852655956</v>
      </c>
    </row>
    <row r="298" spans="1:7" x14ac:dyDescent="0.25">
      <c r="A298" s="1" t="s">
        <v>1302</v>
      </c>
      <c r="B298" s="1" t="s">
        <v>1309</v>
      </c>
      <c r="C298" s="1" t="s">
        <v>117</v>
      </c>
      <c r="D298" t="str">
        <f>IFERROR(VLOOKUP(A298,depara!A:B,2,0),A298)</f>
        <v>9190419</v>
      </c>
      <c r="E298">
        <f>VLOOKUP(B298,'inumos depara'!$A:$B,2,0)</f>
        <v>16298709</v>
      </c>
      <c r="F298" s="1" t="str">
        <f t="shared" si="8"/>
        <v>0.00122304240845274</v>
      </c>
      <c r="G298" t="str">
        <f t="shared" si="9"/>
        <v>9190419,16298709,0.00122304240845274</v>
      </c>
    </row>
    <row r="299" spans="1:7" x14ac:dyDescent="0.25">
      <c r="A299" s="1" t="s">
        <v>1302</v>
      </c>
      <c r="B299" s="1" t="s">
        <v>1187</v>
      </c>
      <c r="C299" s="1" t="s">
        <v>113</v>
      </c>
      <c r="D299" t="str">
        <f>IFERROR(VLOOKUP(A299,depara!A:B,2,0),A299)</f>
        <v>9190419</v>
      </c>
      <c r="E299">
        <f>VLOOKUP(B299,'inumos depara'!$A:$B,2,0)</f>
        <v>16298593</v>
      </c>
      <c r="F299" s="1" t="str">
        <f t="shared" si="8"/>
        <v>0.000940801852655956</v>
      </c>
      <c r="G299" t="str">
        <f t="shared" si="9"/>
        <v>9190419,16298593,0.000940801852655956</v>
      </c>
    </row>
    <row r="300" spans="1:7" x14ac:dyDescent="0.25">
      <c r="A300" s="1" t="s">
        <v>1302</v>
      </c>
      <c r="B300" s="1" t="s">
        <v>1310</v>
      </c>
      <c r="C300" s="1" t="s">
        <v>118</v>
      </c>
      <c r="D300" t="str">
        <f>IFERROR(VLOOKUP(A300,depara!A:B,2,0),A300)</f>
        <v>9190419</v>
      </c>
      <c r="E300">
        <f>VLOOKUP(B300,'inumos depara'!$A:$B,2,0)</f>
        <v>16298710</v>
      </c>
      <c r="F300" s="1" t="str">
        <f t="shared" si="8"/>
        <v>0.000542770299609205</v>
      </c>
      <c r="G300" t="str">
        <f t="shared" si="9"/>
        <v>9190419,16298710,0.000542770299609205</v>
      </c>
    </row>
    <row r="301" spans="1:7" x14ac:dyDescent="0.25">
      <c r="A301" s="1" t="s">
        <v>1302</v>
      </c>
      <c r="B301" s="1" t="s">
        <v>119</v>
      </c>
      <c r="C301" s="1" t="s">
        <v>1311</v>
      </c>
      <c r="D301" t="str">
        <f>IFERROR(VLOOKUP(A301,depara!A:B,2,0),A301)</f>
        <v>9190419</v>
      </c>
      <c r="E301">
        <f>VLOOKUP(B301,'inumos depara'!$A:$B,2,0)</f>
        <v>16298711</v>
      </c>
      <c r="F301" s="1" t="str">
        <f t="shared" si="8"/>
        <v>1.02040816326531</v>
      </c>
      <c r="G301" t="str">
        <f t="shared" si="9"/>
        <v>9190419,16298711,1.02040816326531</v>
      </c>
    </row>
    <row r="302" spans="1:7" x14ac:dyDescent="0.25">
      <c r="A302" s="1" t="s">
        <v>1302</v>
      </c>
      <c r="B302" s="1" t="s">
        <v>1312</v>
      </c>
      <c r="C302" s="1" t="s">
        <v>120</v>
      </c>
      <c r="D302" t="str">
        <f>IFERROR(VLOOKUP(A302,depara!A:B,2,0),A302)</f>
        <v>9190419</v>
      </c>
      <c r="E302">
        <f>VLOOKUP(B302,'inumos depara'!$A:$B,2,0)</f>
        <v>16298712</v>
      </c>
      <c r="F302" s="1" t="str">
        <f t="shared" si="8"/>
        <v>0.0283326096396005</v>
      </c>
      <c r="G302" t="str">
        <f t="shared" si="9"/>
        <v>9190419,16298712,0.0283326096396005</v>
      </c>
    </row>
    <row r="303" spans="1:7" x14ac:dyDescent="0.25">
      <c r="A303" s="1" t="s">
        <v>1313</v>
      </c>
      <c r="B303" s="1" t="s">
        <v>1171</v>
      </c>
      <c r="C303" s="1" t="s">
        <v>1314</v>
      </c>
      <c r="D303" t="str">
        <f>IFERROR(VLOOKUP(A303,depara!A:B,2,0),A303)</f>
        <v>9190424</v>
      </c>
      <c r="E303">
        <f>VLOOKUP(B303,'inumos depara'!$A:$B,2,0)</f>
        <v>16298580</v>
      </c>
      <c r="F303" s="1" t="str">
        <f t="shared" si="8"/>
        <v>8.97955424571744E-05</v>
      </c>
      <c r="G303" t="str">
        <f t="shared" si="9"/>
        <v>9190424,16298580,8.97955424571744E-05</v>
      </c>
    </row>
    <row r="304" spans="1:7" x14ac:dyDescent="0.25">
      <c r="A304" s="1" t="s">
        <v>1313</v>
      </c>
      <c r="B304" s="1" t="s">
        <v>1239</v>
      </c>
      <c r="C304" s="1" t="s">
        <v>1314</v>
      </c>
      <c r="D304" t="str">
        <f>IFERROR(VLOOKUP(A304,depara!A:B,2,0),A304)</f>
        <v>9190424</v>
      </c>
      <c r="E304">
        <f>VLOOKUP(B304,'inumos depara'!$A:$B,2,0)</f>
        <v>16298641</v>
      </c>
      <c r="F304" s="1" t="str">
        <f t="shared" si="8"/>
        <v>8.97955424571744E-05</v>
      </c>
      <c r="G304" t="str">
        <f t="shared" si="9"/>
        <v>9190424,16298641,8.97955424571744E-05</v>
      </c>
    </row>
    <row r="305" spans="1:7" x14ac:dyDescent="0.25">
      <c r="A305" s="1" t="s">
        <v>1313</v>
      </c>
      <c r="B305" s="1" t="s">
        <v>1315</v>
      </c>
      <c r="C305" s="1" t="s">
        <v>121</v>
      </c>
      <c r="D305" t="str">
        <f>IFERROR(VLOOKUP(A305,depara!A:B,2,0),A305)</f>
        <v>9190424</v>
      </c>
      <c r="E305">
        <f>VLOOKUP(B305,'inumos depara'!$A:$B,2,0)</f>
        <v>16298713</v>
      </c>
      <c r="F305" s="1" t="str">
        <f t="shared" si="8"/>
        <v>0.000448977712285872</v>
      </c>
      <c r="G305" t="str">
        <f t="shared" si="9"/>
        <v>9190424,16298713,0.000448977712285872</v>
      </c>
    </row>
    <row r="306" spans="1:7" x14ac:dyDescent="0.25">
      <c r="A306" s="1" t="s">
        <v>1313</v>
      </c>
      <c r="B306" s="1" t="s">
        <v>1316</v>
      </c>
      <c r="C306" s="1" t="s">
        <v>122</v>
      </c>
      <c r="D306" t="str">
        <f>IFERROR(VLOOKUP(A306,depara!A:B,2,0),A306)</f>
        <v>9190424</v>
      </c>
      <c r="E306">
        <f>VLOOKUP(B306,'inumos depara'!$A:$B,2,0)</f>
        <v>16298714</v>
      </c>
      <c r="F306" s="1" t="str">
        <f t="shared" si="8"/>
        <v>0.000224488856142936</v>
      </c>
      <c r="G306" t="str">
        <f t="shared" si="9"/>
        <v>9190424,16298714,0.000224488856142936</v>
      </c>
    </row>
    <row r="307" spans="1:7" x14ac:dyDescent="0.25">
      <c r="A307" s="1" t="s">
        <v>1313</v>
      </c>
      <c r="B307" s="1" t="s">
        <v>1317</v>
      </c>
      <c r="C307" s="1" t="s">
        <v>123</v>
      </c>
      <c r="D307" t="str">
        <f>IFERROR(VLOOKUP(A307,depara!A:B,2,0),A307)</f>
        <v>9190424</v>
      </c>
      <c r="E307">
        <f>VLOOKUP(B307,'inumos depara'!$A:$B,2,0)</f>
        <v>16298715</v>
      </c>
      <c r="F307" s="1" t="str">
        <f t="shared" si="8"/>
        <v>0.000897955424571744</v>
      </c>
      <c r="G307" t="str">
        <f t="shared" si="9"/>
        <v>9190424,16298715,0.000897955424571744</v>
      </c>
    </row>
    <row r="308" spans="1:7" x14ac:dyDescent="0.25">
      <c r="A308" s="1" t="s">
        <v>1313</v>
      </c>
      <c r="B308" s="1" t="s">
        <v>1304</v>
      </c>
      <c r="C308" s="1" t="s">
        <v>124</v>
      </c>
      <c r="D308" t="str">
        <f>IFERROR(VLOOKUP(A308,depara!A:B,2,0),A308)</f>
        <v>9190424</v>
      </c>
      <c r="E308">
        <f>VLOOKUP(B308,'inumos depara'!$A:$B,2,0)</f>
        <v>16298705</v>
      </c>
      <c r="F308" s="1" t="str">
        <f t="shared" si="8"/>
        <v>0.00538773254743047</v>
      </c>
      <c r="G308" t="str">
        <f t="shared" si="9"/>
        <v>9190424,16298705,0.00538773254743047</v>
      </c>
    </row>
    <row r="309" spans="1:7" x14ac:dyDescent="0.25">
      <c r="A309" s="1" t="s">
        <v>1313</v>
      </c>
      <c r="B309" s="1" t="s">
        <v>1303</v>
      </c>
      <c r="C309" s="1" t="s">
        <v>125</v>
      </c>
      <c r="D309" t="str">
        <f>IFERROR(VLOOKUP(A309,depara!A:B,2,0),A309)</f>
        <v>9190424</v>
      </c>
      <c r="E309">
        <f>VLOOKUP(B309,'inumos depara'!$A:$B,2,0)</f>
        <v>16298704</v>
      </c>
      <c r="F309" s="1" t="str">
        <f t="shared" si="8"/>
        <v>0.0826567968318291</v>
      </c>
      <c r="G309" t="str">
        <f t="shared" si="9"/>
        <v>9190424,16298704,0.0826567968318291</v>
      </c>
    </row>
    <row r="310" spans="1:7" x14ac:dyDescent="0.25">
      <c r="A310" s="1" t="s">
        <v>1313</v>
      </c>
      <c r="B310" s="1" t="s">
        <v>1310</v>
      </c>
      <c r="C310" s="1" t="s">
        <v>126</v>
      </c>
      <c r="D310" t="str">
        <f>IFERROR(VLOOKUP(A310,depara!A:B,2,0),A310)</f>
        <v>9190424</v>
      </c>
      <c r="E310">
        <f>VLOOKUP(B310,'inumos depara'!$A:$B,2,0)</f>
        <v>16298710</v>
      </c>
      <c r="F310" s="1" t="str">
        <f t="shared" si="8"/>
        <v>0.000506538957450728</v>
      </c>
      <c r="G310" t="str">
        <f t="shared" si="9"/>
        <v>9190424,16298710,0.000506538957450728</v>
      </c>
    </row>
    <row r="311" spans="1:7" x14ac:dyDescent="0.25">
      <c r="A311" s="1" t="s">
        <v>1313</v>
      </c>
      <c r="B311" s="1" t="s">
        <v>127</v>
      </c>
      <c r="C311" s="1" t="s">
        <v>1318</v>
      </c>
      <c r="D311" t="str">
        <f>IFERROR(VLOOKUP(A311,depara!A:B,2,0),A311)</f>
        <v>9190424</v>
      </c>
      <c r="E311">
        <f>VLOOKUP(B311,'inumos depara'!$A:$B,2,0)</f>
        <v>16298716</v>
      </c>
      <c r="F311" s="1" t="str">
        <f t="shared" si="8"/>
        <v>1.02039970528642</v>
      </c>
      <c r="G311" t="str">
        <f t="shared" si="9"/>
        <v>9190424,16298716,1.02039970528642</v>
      </c>
    </row>
    <row r="312" spans="1:7" x14ac:dyDescent="0.25">
      <c r="A312" s="1" t="s">
        <v>1313</v>
      </c>
      <c r="B312" s="1" t="s">
        <v>1312</v>
      </c>
      <c r="C312" s="1" t="s">
        <v>128</v>
      </c>
      <c r="D312" t="str">
        <f>IFERROR(VLOOKUP(A312,depara!A:B,2,0),A312)</f>
        <v>9190424</v>
      </c>
      <c r="E312">
        <f>VLOOKUP(B312,'inumos depara'!$A:$B,2,0)</f>
        <v>16298712</v>
      </c>
      <c r="F312" s="1" t="str">
        <f t="shared" si="8"/>
        <v>0.0283661816172407</v>
      </c>
      <c r="G312" t="str">
        <f t="shared" si="9"/>
        <v>9190424,16298712,0.0283661816172407</v>
      </c>
    </row>
    <row r="313" spans="1:7" x14ac:dyDescent="0.25">
      <c r="A313" s="1" t="s">
        <v>1319</v>
      </c>
      <c r="B313" s="1" t="s">
        <v>129</v>
      </c>
      <c r="C313" s="1" t="s">
        <v>130</v>
      </c>
      <c r="D313" t="str">
        <f>IFERROR(VLOOKUP(A313,depara!A:B,2,0),A313)</f>
        <v>9190426</v>
      </c>
      <c r="E313">
        <f>VLOOKUP(B313,'inumos depara'!$A:$B,2,0)</f>
        <v>16298717</v>
      </c>
      <c r="F313" s="1" t="str">
        <f t="shared" si="8"/>
        <v>0.212630480167015</v>
      </c>
      <c r="G313" t="str">
        <f t="shared" si="9"/>
        <v>9190426,16298717,0.212630480167015</v>
      </c>
    </row>
    <row r="314" spans="1:7" x14ac:dyDescent="0.25">
      <c r="A314" s="1" t="s">
        <v>1319</v>
      </c>
      <c r="B314" s="1" t="s">
        <v>1320</v>
      </c>
      <c r="C314" s="1" t="s">
        <v>1321</v>
      </c>
      <c r="D314" t="str">
        <f>IFERROR(VLOOKUP(A314,depara!A:B,2,0),A314)</f>
        <v>9190426</v>
      </c>
      <c r="E314">
        <f>VLOOKUP(B314,'inumos depara'!$A:$B,2,0)</f>
        <v>16298718</v>
      </c>
      <c r="F314" s="1" t="str">
        <f t="shared" si="8"/>
        <v>1.05198329853862</v>
      </c>
      <c r="G314" t="str">
        <f t="shared" si="9"/>
        <v>9190426,16298718,1.05198329853862</v>
      </c>
    </row>
    <row r="315" spans="1:7" x14ac:dyDescent="0.25">
      <c r="A315" s="1" t="s">
        <v>1319</v>
      </c>
      <c r="B315" s="1" t="s">
        <v>1322</v>
      </c>
      <c r="C315" s="1" t="s">
        <v>1321</v>
      </c>
      <c r="D315" t="str">
        <f>IFERROR(VLOOKUP(A315,depara!A:B,2,0),A315)</f>
        <v>9190426</v>
      </c>
      <c r="E315">
        <f>VLOOKUP(B315,'inumos depara'!$A:$B,2,0)</f>
        <v>16298719</v>
      </c>
      <c r="F315" s="1" t="str">
        <f t="shared" si="8"/>
        <v>1.05198329853862</v>
      </c>
      <c r="G315" t="str">
        <f t="shared" si="9"/>
        <v>9190426,16298719,1.05198329853862</v>
      </c>
    </row>
    <row r="316" spans="1:7" x14ac:dyDescent="0.25">
      <c r="A316" s="1" t="s">
        <v>1319</v>
      </c>
      <c r="B316" s="1" t="s">
        <v>1323</v>
      </c>
      <c r="C316" s="1" t="s">
        <v>131</v>
      </c>
      <c r="D316" t="str">
        <f>IFERROR(VLOOKUP(A316,depara!A:B,2,0),A316)</f>
        <v>9190426</v>
      </c>
      <c r="E316">
        <f>VLOOKUP(B316,'inumos depara'!$A:$B,2,0)</f>
        <v>16298720</v>
      </c>
      <c r="F316" s="1" t="str">
        <f t="shared" si="8"/>
        <v>0.0657620041753653</v>
      </c>
      <c r="G316" t="str">
        <f t="shared" si="9"/>
        <v>9190426,16298720,0.0657620041753653</v>
      </c>
    </row>
    <row r="317" spans="1:7" x14ac:dyDescent="0.25">
      <c r="A317" s="1" t="s">
        <v>1324</v>
      </c>
      <c r="B317" s="1" t="s">
        <v>1325</v>
      </c>
      <c r="C317" s="1" t="s">
        <v>1326</v>
      </c>
      <c r="D317" t="str">
        <f>IFERROR(VLOOKUP(A317,depara!A:B,2,0),A317)</f>
        <v>9190430</v>
      </c>
      <c r="E317">
        <f>VLOOKUP(B317,'inumos depara'!$A:$B,2,0)</f>
        <v>16298721</v>
      </c>
      <c r="F317" s="1" t="str">
        <f t="shared" si="8"/>
        <v>1.06006768189509</v>
      </c>
      <c r="G317" t="str">
        <f t="shared" si="9"/>
        <v>9190430,16298721,1.06006768189509</v>
      </c>
    </row>
    <row r="318" spans="1:7" x14ac:dyDescent="0.25">
      <c r="A318" s="1" t="s">
        <v>1324</v>
      </c>
      <c r="B318" s="1" t="s">
        <v>1327</v>
      </c>
      <c r="C318" s="1" t="s">
        <v>1326</v>
      </c>
      <c r="D318" t="str">
        <f>IFERROR(VLOOKUP(A318,depara!A:B,2,0),A318)</f>
        <v>9190430</v>
      </c>
      <c r="E318">
        <f>VLOOKUP(B318,'inumos depara'!$A:$B,2,0)</f>
        <v>16298722</v>
      </c>
      <c r="F318" s="1" t="str">
        <f t="shared" si="8"/>
        <v>1.06006768189509</v>
      </c>
      <c r="G318" t="str">
        <f t="shared" si="9"/>
        <v>9190430,16298722,1.06006768189509</v>
      </c>
    </row>
    <row r="319" spans="1:7" x14ac:dyDescent="0.25">
      <c r="A319" s="1" t="s">
        <v>1324</v>
      </c>
      <c r="B319" s="1" t="s">
        <v>1328</v>
      </c>
      <c r="C319" s="1" t="s">
        <v>1329</v>
      </c>
      <c r="D319" t="str">
        <f>IFERROR(VLOOKUP(A319,depara!A:B,2,0),A319)</f>
        <v>9190430</v>
      </c>
      <c r="E319">
        <f>VLOOKUP(B319,'inumos depara'!$A:$B,2,0)</f>
        <v>16298723</v>
      </c>
      <c r="F319" s="1" t="str">
        <f t="shared" si="8"/>
        <v>1.01001128031585</v>
      </c>
      <c r="G319" t="str">
        <f t="shared" si="9"/>
        <v>9190430,16298723,1.01001128031585</v>
      </c>
    </row>
    <row r="320" spans="1:7" x14ac:dyDescent="0.25">
      <c r="A320" s="1" t="s">
        <v>1324</v>
      </c>
      <c r="B320" s="1" t="s">
        <v>1287</v>
      </c>
      <c r="C320" s="1" t="s">
        <v>1326</v>
      </c>
      <c r="D320" t="str">
        <f>IFERROR(VLOOKUP(A320,depara!A:B,2,0),A320)</f>
        <v>9190430</v>
      </c>
      <c r="E320">
        <f>VLOOKUP(B320,'inumos depara'!$A:$B,2,0)</f>
        <v>16298691</v>
      </c>
      <c r="F320" s="1" t="str">
        <f t="shared" si="8"/>
        <v>1.06006768189509</v>
      </c>
      <c r="G320" t="str">
        <f t="shared" si="9"/>
        <v>9190430,16298691,1.06006768189509</v>
      </c>
    </row>
    <row r="321" spans="1:7" x14ac:dyDescent="0.25">
      <c r="A321" s="1" t="s">
        <v>1324</v>
      </c>
      <c r="B321" s="1" t="s">
        <v>1288</v>
      </c>
      <c r="C321" s="1" t="s">
        <v>132</v>
      </c>
      <c r="D321" t="str">
        <f>IFERROR(VLOOKUP(A321,depara!A:B,2,0),A321)</f>
        <v>9190430</v>
      </c>
      <c r="E321">
        <f>VLOOKUP(B321,'inumos depara'!$A:$B,2,0)</f>
        <v>16298692</v>
      </c>
      <c r="F321" s="1" t="str">
        <f t="shared" si="8"/>
        <v>0.0624647490129724</v>
      </c>
      <c r="G321" t="str">
        <f t="shared" si="9"/>
        <v>9190430,16298692,0.0624647490129724</v>
      </c>
    </row>
    <row r="322" spans="1:7" x14ac:dyDescent="0.25">
      <c r="A322" s="1" t="s">
        <v>1324</v>
      </c>
      <c r="B322" s="1" t="s">
        <v>1272</v>
      </c>
      <c r="C322" s="1" t="s">
        <v>133</v>
      </c>
      <c r="D322" t="str">
        <f>IFERROR(VLOOKUP(A322,depara!A:B,2,0),A322)</f>
        <v>9190430</v>
      </c>
      <c r="E322">
        <f>VLOOKUP(B322,'inumos depara'!$A:$B,2,0)</f>
        <v>16298724</v>
      </c>
      <c r="F322" s="1" t="str">
        <f t="shared" ref="F322:F385" si="10">C322</f>
        <v>0.148054145516074</v>
      </c>
      <c r="G322" t="str">
        <f t="shared" ref="G322:G385" si="11">D322&amp;","&amp;E322&amp;","&amp;F322</f>
        <v>9190430,16298724,0.148054145516074</v>
      </c>
    </row>
    <row r="323" spans="1:7" x14ac:dyDescent="0.25">
      <c r="A323" s="1" t="s">
        <v>1324</v>
      </c>
      <c r="B323" s="1" t="s">
        <v>98</v>
      </c>
      <c r="C323" s="1" t="s">
        <v>134</v>
      </c>
      <c r="D323" t="str">
        <f>IFERROR(VLOOKUP(A323,depara!A:B,2,0),A323)</f>
        <v>9190430</v>
      </c>
      <c r="E323">
        <f>VLOOKUP(B323,'inumos depara'!$A:$B,2,0)</f>
        <v>16298690</v>
      </c>
      <c r="F323" s="1" t="str">
        <f t="shared" si="10"/>
        <v>0.980400451212634</v>
      </c>
      <c r="G323" t="str">
        <f t="shared" si="11"/>
        <v>9190430,16298690,0.980400451212634</v>
      </c>
    </row>
    <row r="324" spans="1:7" x14ac:dyDescent="0.25">
      <c r="A324" s="1" t="s">
        <v>1330</v>
      </c>
      <c r="B324" s="1" t="s">
        <v>1331</v>
      </c>
      <c r="C324" s="1" t="s">
        <v>1332</v>
      </c>
      <c r="D324" t="str">
        <f>IFERROR(VLOOKUP(A324,depara!A:B,2,0),A324)</f>
        <v>9190431</v>
      </c>
      <c r="E324">
        <f>VLOOKUP(B324,'inumos depara'!$A:$B,2,0)</f>
        <v>16298725</v>
      </c>
      <c r="F324" s="1" t="str">
        <f t="shared" si="10"/>
        <v>1.03027196938636</v>
      </c>
      <c r="G324" t="str">
        <f t="shared" si="11"/>
        <v>9190431,16298725,1.03027196938636</v>
      </c>
    </row>
    <row r="325" spans="1:7" x14ac:dyDescent="0.25">
      <c r="A325" s="1" t="s">
        <v>1330</v>
      </c>
      <c r="B325" s="1" t="s">
        <v>1312</v>
      </c>
      <c r="C325" s="1" t="s">
        <v>135</v>
      </c>
      <c r="D325" t="str">
        <f>IFERROR(VLOOKUP(A325,depara!A:B,2,0),A325)</f>
        <v>9190431</v>
      </c>
      <c r="E325">
        <f>VLOOKUP(B325,'inumos depara'!$A:$B,2,0)</f>
        <v>16298712</v>
      </c>
      <c r="F325" s="1" t="str">
        <f t="shared" si="10"/>
        <v>0.0278119447861145</v>
      </c>
      <c r="G325" t="str">
        <f t="shared" si="11"/>
        <v>9190431,16298712,0.0278119447861145</v>
      </c>
    </row>
    <row r="326" spans="1:7" x14ac:dyDescent="0.25">
      <c r="A326" s="1" t="s">
        <v>1330</v>
      </c>
      <c r="B326" s="1" t="s">
        <v>1310</v>
      </c>
      <c r="C326" s="1" t="s">
        <v>136</v>
      </c>
      <c r="D326" t="str">
        <f>IFERROR(VLOOKUP(A326,depara!A:B,2,0),A326)</f>
        <v>9190431</v>
      </c>
      <c r="E326">
        <f>VLOOKUP(B326,'inumos depara'!$A:$B,2,0)</f>
        <v>16298710</v>
      </c>
      <c r="F326" s="1" t="str">
        <f t="shared" si="10"/>
        <v>0.00048380483804838</v>
      </c>
      <c r="G326" t="str">
        <f t="shared" si="11"/>
        <v>9190431,16298710,0.00048380483804838</v>
      </c>
    </row>
    <row r="327" spans="1:7" x14ac:dyDescent="0.25">
      <c r="A327" s="1" t="s">
        <v>1330</v>
      </c>
      <c r="B327" s="1" t="s">
        <v>1303</v>
      </c>
      <c r="C327" s="1" t="s">
        <v>137</v>
      </c>
      <c r="D327" t="str">
        <f>IFERROR(VLOOKUP(A327,depara!A:B,2,0),A327)</f>
        <v>9190431</v>
      </c>
      <c r="E327">
        <f>VLOOKUP(B327,'inumos depara'!$A:$B,2,0)</f>
        <v>16298704</v>
      </c>
      <c r="F327" s="1" t="str">
        <f t="shared" si="10"/>
        <v>0.0715621156211562</v>
      </c>
      <c r="G327" t="str">
        <f t="shared" si="11"/>
        <v>9190431,16298704,0.0715621156211562</v>
      </c>
    </row>
    <row r="328" spans="1:7" x14ac:dyDescent="0.25">
      <c r="A328" s="1" t="s">
        <v>1330</v>
      </c>
      <c r="B328" s="1" t="s">
        <v>1304</v>
      </c>
      <c r="C328" s="1" t="s">
        <v>138</v>
      </c>
      <c r="D328" t="str">
        <f>IFERROR(VLOOKUP(A328,depara!A:B,2,0),A328)</f>
        <v>9190431</v>
      </c>
      <c r="E328">
        <f>VLOOKUP(B328,'inumos depara'!$A:$B,2,0)</f>
        <v>16298705</v>
      </c>
      <c r="F328" s="1" t="str">
        <f t="shared" si="10"/>
        <v>0.00492004920049201</v>
      </c>
      <c r="G328" t="str">
        <f t="shared" si="11"/>
        <v>9190431,16298705,0.00492004920049201</v>
      </c>
    </row>
    <row r="329" spans="1:7" x14ac:dyDescent="0.25">
      <c r="A329" s="1" t="s">
        <v>1330</v>
      </c>
      <c r="B329" s="1" t="s">
        <v>1305</v>
      </c>
      <c r="C329" s="1" t="s">
        <v>139</v>
      </c>
      <c r="D329" t="str">
        <f>IFERROR(VLOOKUP(A329,depara!A:B,2,0),A329)</f>
        <v>9190431</v>
      </c>
      <c r="E329">
        <f>VLOOKUP(B329,'inumos depara'!$A:$B,2,0)</f>
        <v>16298706</v>
      </c>
      <c r="F329" s="1" t="str">
        <f t="shared" si="10"/>
        <v>0.000820008200082001</v>
      </c>
      <c r="G329" t="str">
        <f t="shared" si="11"/>
        <v>9190431,16298706,0.000820008200082001</v>
      </c>
    </row>
    <row r="330" spans="1:7" x14ac:dyDescent="0.25">
      <c r="A330" s="1" t="s">
        <v>1330</v>
      </c>
      <c r="B330" s="1" t="s">
        <v>1220</v>
      </c>
      <c r="C330" s="1" t="s">
        <v>1333</v>
      </c>
      <c r="D330" t="str">
        <f>IFERROR(VLOOKUP(A330,depara!A:B,2,0),A330)</f>
        <v>9190431</v>
      </c>
      <c r="E330">
        <f>VLOOKUP(B330,'inumos depara'!$A:$B,2,0)</f>
        <v>16298625</v>
      </c>
      <c r="F330" s="1" t="str">
        <f t="shared" si="10"/>
        <v>8.20008200082001E-05</v>
      </c>
      <c r="G330" t="str">
        <f t="shared" si="11"/>
        <v>9190431,16298625,8.20008200082001E-05</v>
      </c>
    </row>
    <row r="331" spans="1:7" x14ac:dyDescent="0.25">
      <c r="A331" s="1" t="s">
        <v>1330</v>
      </c>
      <c r="B331" s="1" t="s">
        <v>1307</v>
      </c>
      <c r="C331" s="1" t="s">
        <v>140</v>
      </c>
      <c r="D331" t="str">
        <f>IFERROR(VLOOKUP(A331,depara!A:B,2,0),A331)</f>
        <v>9190431</v>
      </c>
      <c r="E331">
        <f>VLOOKUP(B331,'inumos depara'!$A:$B,2,0)</f>
        <v>16298707</v>
      </c>
      <c r="F331" s="1" t="str">
        <f t="shared" si="10"/>
        <v>0.00010660106601066</v>
      </c>
      <c r="G331" t="str">
        <f t="shared" si="11"/>
        <v>9190431,16298707,0.00010660106601066</v>
      </c>
    </row>
    <row r="332" spans="1:7" x14ac:dyDescent="0.25">
      <c r="A332" s="1" t="s">
        <v>1330</v>
      </c>
      <c r="B332" s="1" t="s">
        <v>1219</v>
      </c>
      <c r="C332" s="1" t="s">
        <v>141</v>
      </c>
      <c r="D332" t="str">
        <f>IFERROR(VLOOKUP(A332,depara!A:B,2,0),A332)</f>
        <v>9190431</v>
      </c>
      <c r="E332">
        <f>VLOOKUP(B332,'inumos depara'!$A:$B,2,0)</f>
        <v>16298624</v>
      </c>
      <c r="F332" s="1" t="str">
        <f t="shared" si="10"/>
        <v>0.001640016400164</v>
      </c>
      <c r="G332" t="str">
        <f t="shared" si="11"/>
        <v>9190431,16298624,0.001640016400164</v>
      </c>
    </row>
    <row r="333" spans="1:7" x14ac:dyDescent="0.25">
      <c r="A333" s="1" t="s">
        <v>1330</v>
      </c>
      <c r="B333" s="1" t="s">
        <v>1334</v>
      </c>
      <c r="C333" s="1" t="s">
        <v>139</v>
      </c>
      <c r="D333" t="str">
        <f>IFERROR(VLOOKUP(A333,depara!A:B,2,0),A333)</f>
        <v>9190431</v>
      </c>
      <c r="E333">
        <f>VLOOKUP(B333,'inumos depara'!$A:$B,2,0)</f>
        <v>16298726</v>
      </c>
      <c r="F333" s="1" t="str">
        <f t="shared" si="10"/>
        <v>0.000820008200082001</v>
      </c>
      <c r="G333" t="str">
        <f t="shared" si="11"/>
        <v>9190431,16298726,0.000820008200082001</v>
      </c>
    </row>
    <row r="334" spans="1:7" x14ac:dyDescent="0.25">
      <c r="A334" s="1" t="s">
        <v>1330</v>
      </c>
      <c r="B334" s="1" t="s">
        <v>1168</v>
      </c>
      <c r="C334" s="1" t="s">
        <v>142</v>
      </c>
      <c r="D334" t="str">
        <f>IFERROR(VLOOKUP(A334,depara!A:B,2,0),A334)</f>
        <v>9190431</v>
      </c>
      <c r="E334">
        <f>VLOOKUP(B334,'inumos depara'!$A:$B,2,0)</f>
        <v>16298577</v>
      </c>
      <c r="F334" s="1" t="str">
        <f t="shared" si="10"/>
        <v>0.001230012300123</v>
      </c>
      <c r="G334" t="str">
        <f t="shared" si="11"/>
        <v>9190431,16298577,0.001230012300123</v>
      </c>
    </row>
    <row r="335" spans="1:7" x14ac:dyDescent="0.25">
      <c r="A335" s="1" t="s">
        <v>1330</v>
      </c>
      <c r="B335" s="1" t="s">
        <v>1187</v>
      </c>
      <c r="C335" s="1" t="s">
        <v>139</v>
      </c>
      <c r="D335" t="str">
        <f>IFERROR(VLOOKUP(A335,depara!A:B,2,0),A335)</f>
        <v>9190431</v>
      </c>
      <c r="E335">
        <f>VLOOKUP(B335,'inumos depara'!$A:$B,2,0)</f>
        <v>16298593</v>
      </c>
      <c r="F335" s="1" t="str">
        <f t="shared" si="10"/>
        <v>0.000820008200082001</v>
      </c>
      <c r="G335" t="str">
        <f t="shared" si="11"/>
        <v>9190431,16298593,0.000820008200082001</v>
      </c>
    </row>
    <row r="336" spans="1:7" x14ac:dyDescent="0.25">
      <c r="A336" s="1" t="s">
        <v>1335</v>
      </c>
      <c r="B336" s="1" t="s">
        <v>1260</v>
      </c>
      <c r="C336" s="1" t="s">
        <v>143</v>
      </c>
      <c r="D336" t="str">
        <f>IFERROR(VLOOKUP(A336,depara!A:B,2,0),A336)</f>
        <v>9190432</v>
      </c>
      <c r="E336">
        <f>VLOOKUP(B336,'inumos depara'!$A:$B,2,0)</f>
        <v>16298727</v>
      </c>
      <c r="F336" s="1" t="str">
        <f t="shared" si="10"/>
        <v>0.0347009111939946</v>
      </c>
      <c r="G336" t="str">
        <f t="shared" si="11"/>
        <v>9190432,16298727,0.0347009111939946</v>
      </c>
    </row>
    <row r="337" spans="1:7" x14ac:dyDescent="0.25">
      <c r="A337" s="1" t="s">
        <v>1335</v>
      </c>
      <c r="B337" s="1" t="s">
        <v>1336</v>
      </c>
      <c r="C337" s="1" t="s">
        <v>1337</v>
      </c>
      <c r="D337" t="str">
        <f>IFERROR(VLOOKUP(A337,depara!A:B,2,0),A337)</f>
        <v>9190432</v>
      </c>
      <c r="E337">
        <f>VLOOKUP(B337,'inumos depara'!$A:$B,2,0)</f>
        <v>16298728</v>
      </c>
      <c r="F337" s="1" t="str">
        <f t="shared" si="10"/>
        <v>1.06609697370285</v>
      </c>
      <c r="G337" t="str">
        <f t="shared" si="11"/>
        <v>9190432,16298728,1.06609697370285</v>
      </c>
    </row>
    <row r="338" spans="1:7" x14ac:dyDescent="0.25">
      <c r="A338" s="1" t="s">
        <v>1335</v>
      </c>
      <c r="B338" s="1" t="s">
        <v>144</v>
      </c>
      <c r="C338" s="1" t="s">
        <v>145</v>
      </c>
      <c r="D338" t="str">
        <f>IFERROR(VLOOKUP(A338,depara!A:B,2,0),A338)</f>
        <v>9190432</v>
      </c>
      <c r="E338">
        <f>VLOOKUP(B338,'inumos depara'!$A:$B,2,0)</f>
        <v>16298729</v>
      </c>
      <c r="F338" s="1" t="str">
        <f t="shared" si="10"/>
        <v>0.0668051555639488</v>
      </c>
      <c r="G338" t="str">
        <f t="shared" si="11"/>
        <v>9190432,16298729,0.0668051555639488</v>
      </c>
    </row>
    <row r="339" spans="1:7" x14ac:dyDescent="0.25">
      <c r="A339" s="1" t="s">
        <v>1335</v>
      </c>
      <c r="B339" s="1" t="s">
        <v>146</v>
      </c>
      <c r="C339" s="1" t="s">
        <v>1337</v>
      </c>
      <c r="D339" t="str">
        <f>IFERROR(VLOOKUP(A339,depara!A:B,2,0),A339)</f>
        <v>9190432</v>
      </c>
      <c r="E339">
        <f>VLOOKUP(B339,'inumos depara'!$A:$B,2,0)</f>
        <v>16298730</v>
      </c>
      <c r="F339" s="1" t="str">
        <f t="shared" si="10"/>
        <v>1.06609697370285</v>
      </c>
      <c r="G339" t="str">
        <f t="shared" si="11"/>
        <v>9190432,16298730,1.06609697370285</v>
      </c>
    </row>
    <row r="340" spans="1:7" x14ac:dyDescent="0.25">
      <c r="A340" s="1" t="s">
        <v>1338</v>
      </c>
      <c r="B340" s="1" t="s">
        <v>147</v>
      </c>
      <c r="C340" s="1" t="s">
        <v>148</v>
      </c>
      <c r="D340" t="str">
        <f>IFERROR(VLOOKUP(A340,depara!A:B,2,0),A340)</f>
        <v>9192733</v>
      </c>
      <c r="E340">
        <f>VLOOKUP(B340,'inumos depara'!$A:$B,2,0)</f>
        <v>16298731</v>
      </c>
      <c r="F340" s="1" t="str">
        <f t="shared" si="10"/>
        <v>0.158628387498702</v>
      </c>
      <c r="G340" t="str">
        <f t="shared" si="11"/>
        <v>9192733,16298731,0.158628387498702</v>
      </c>
    </row>
    <row r="341" spans="1:7" x14ac:dyDescent="0.25">
      <c r="A341" s="1" t="s">
        <v>1338</v>
      </c>
      <c r="B341" s="1" t="s">
        <v>1339</v>
      </c>
      <c r="C341" s="1" t="s">
        <v>1340</v>
      </c>
      <c r="D341" t="str">
        <f>IFERROR(VLOOKUP(A341,depara!A:B,2,0),A341)</f>
        <v>9192733</v>
      </c>
      <c r="E341">
        <f>VLOOKUP(B341,'inumos depara'!$A:$B,2,0)</f>
        <v>16298732</v>
      </c>
      <c r="F341" s="1" t="str">
        <f t="shared" si="10"/>
        <v>1.05196760461011</v>
      </c>
      <c r="G341" t="str">
        <f t="shared" si="11"/>
        <v>9192733,16298732,1.05196760461011</v>
      </c>
    </row>
    <row r="342" spans="1:7" x14ac:dyDescent="0.25">
      <c r="A342" s="1" t="s">
        <v>1338</v>
      </c>
      <c r="B342" s="1" t="s">
        <v>1341</v>
      </c>
      <c r="C342" s="1" t="s">
        <v>1340</v>
      </c>
      <c r="D342" t="str">
        <f>IFERROR(VLOOKUP(A342,depara!A:B,2,0),A342)</f>
        <v>9192733</v>
      </c>
      <c r="E342">
        <f>VLOOKUP(B342,'inumos depara'!$A:$B,2,0)</f>
        <v>16298733</v>
      </c>
      <c r="F342" s="1" t="str">
        <f t="shared" si="10"/>
        <v>1.05196760461011</v>
      </c>
      <c r="G342" t="str">
        <f t="shared" si="11"/>
        <v>9192733,16298733,1.05196760461011</v>
      </c>
    </row>
    <row r="343" spans="1:7" x14ac:dyDescent="0.25">
      <c r="A343" s="1" t="s">
        <v>1338</v>
      </c>
      <c r="B343" s="1" t="s">
        <v>1342</v>
      </c>
      <c r="C343" s="1" t="s">
        <v>1343</v>
      </c>
      <c r="D343" t="str">
        <f>IFERROR(VLOOKUP(A343,depara!A:B,2,0),A343)</f>
        <v>9192733</v>
      </c>
      <c r="E343">
        <f>VLOOKUP(B343,'inumos depara'!$A:$B,2,0)</f>
        <v>16298734</v>
      </c>
      <c r="F343" s="1" t="str">
        <f t="shared" si="10"/>
        <v>1.11509708233828</v>
      </c>
      <c r="G343" t="str">
        <f t="shared" si="11"/>
        <v>9192733,16298734,1.11509708233828</v>
      </c>
    </row>
    <row r="344" spans="1:7" x14ac:dyDescent="0.25">
      <c r="A344" s="1" t="s">
        <v>1338</v>
      </c>
      <c r="B344" s="1" t="s">
        <v>1344</v>
      </c>
      <c r="C344" s="1" t="s">
        <v>1343</v>
      </c>
      <c r="D344" t="str">
        <f>IFERROR(VLOOKUP(A344,depara!A:B,2,0),A344)</f>
        <v>9192733</v>
      </c>
      <c r="E344">
        <f>VLOOKUP(B344,'inumos depara'!$A:$B,2,0)</f>
        <v>16298735</v>
      </c>
      <c r="F344" s="1" t="str">
        <f t="shared" si="10"/>
        <v>1.11509708233828</v>
      </c>
      <c r="G344" t="str">
        <f t="shared" si="11"/>
        <v>9192733,16298735,1.11509708233828</v>
      </c>
    </row>
    <row r="345" spans="1:7" x14ac:dyDescent="0.25">
      <c r="A345" s="1" t="s">
        <v>1338</v>
      </c>
      <c r="B345" s="1" t="s">
        <v>1287</v>
      </c>
      <c r="C345" s="1" t="s">
        <v>1343</v>
      </c>
      <c r="D345" t="str">
        <f>IFERROR(VLOOKUP(A345,depara!A:B,2,0),A345)</f>
        <v>9192733</v>
      </c>
      <c r="E345">
        <f>VLOOKUP(B345,'inumos depara'!$A:$B,2,0)</f>
        <v>16298691</v>
      </c>
      <c r="F345" s="1" t="str">
        <f t="shared" si="10"/>
        <v>1.11509708233828</v>
      </c>
      <c r="G345" t="str">
        <f t="shared" si="11"/>
        <v>9192733,16298691,1.11509708233828</v>
      </c>
    </row>
    <row r="346" spans="1:7" x14ac:dyDescent="0.25">
      <c r="A346" s="1" t="s">
        <v>1338</v>
      </c>
      <c r="B346" s="1" t="s">
        <v>1345</v>
      </c>
      <c r="C346" s="1" t="s">
        <v>149</v>
      </c>
      <c r="D346" t="str">
        <f>IFERROR(VLOOKUP(A346,depara!A:B,2,0),A346)</f>
        <v>9192733</v>
      </c>
      <c r="E346">
        <f>VLOOKUP(B346,'inumos depara'!$A:$B,2,0)</f>
        <v>16298736</v>
      </c>
      <c r="F346" s="1" t="str">
        <f t="shared" si="10"/>
        <v>0.0657252621742291</v>
      </c>
      <c r="G346" t="str">
        <f t="shared" si="11"/>
        <v>9192733,16298736,0.0657252621742291</v>
      </c>
    </row>
    <row r="347" spans="1:7" x14ac:dyDescent="0.25">
      <c r="A347" s="1" t="s">
        <v>1346</v>
      </c>
      <c r="B347" s="1" t="s">
        <v>150</v>
      </c>
      <c r="C347" s="1" t="s">
        <v>151</v>
      </c>
      <c r="D347" t="str">
        <f>IFERROR(VLOOKUP(A347,depara!A:B,2,0),A347)</f>
        <v>9192735</v>
      </c>
      <c r="E347">
        <f>VLOOKUP(B347,'inumos depara'!$A:$B,2,0)</f>
        <v>16298737</v>
      </c>
      <c r="F347" s="1" t="str">
        <f t="shared" si="10"/>
        <v>0.104694640631491</v>
      </c>
      <c r="G347" t="str">
        <f t="shared" si="11"/>
        <v>9192735,16298737,0.104694640631491</v>
      </c>
    </row>
    <row r="348" spans="1:7" x14ac:dyDescent="0.25">
      <c r="A348" s="1" t="s">
        <v>1346</v>
      </c>
      <c r="B348" s="1" t="s">
        <v>1347</v>
      </c>
      <c r="C348" s="1" t="s">
        <v>1348</v>
      </c>
      <c r="D348" t="str">
        <f>IFERROR(VLOOKUP(A348,depara!A:B,2,0),A348)</f>
        <v>9192735</v>
      </c>
      <c r="E348">
        <f>VLOOKUP(B348,'inumos depara'!$A:$B,2,0)</f>
        <v>16298738</v>
      </c>
      <c r="F348" s="1" t="str">
        <f t="shared" si="10"/>
        <v>1.14250103863731</v>
      </c>
      <c r="G348" t="str">
        <f t="shared" si="11"/>
        <v>9192735,16298738,1.14250103863731</v>
      </c>
    </row>
    <row r="349" spans="1:7" x14ac:dyDescent="0.25">
      <c r="A349" s="1" t="s">
        <v>1346</v>
      </c>
      <c r="B349" s="1" t="s">
        <v>1349</v>
      </c>
      <c r="C349" s="1" t="s">
        <v>1350</v>
      </c>
      <c r="D349" t="str">
        <f>IFERROR(VLOOKUP(A349,depara!A:B,2,0),A349)</f>
        <v>9192735</v>
      </c>
      <c r="E349">
        <f>VLOOKUP(B349,'inumos depara'!$A:$B,2,0)</f>
        <v>16298739</v>
      </c>
      <c r="F349" s="1" t="str">
        <f t="shared" si="10"/>
        <v>1.06294142085584</v>
      </c>
      <c r="G349" t="str">
        <f t="shared" si="11"/>
        <v>9192735,16298739,1.06294142085584</v>
      </c>
    </row>
    <row r="350" spans="1:7" x14ac:dyDescent="0.25">
      <c r="A350" s="1" t="s">
        <v>1346</v>
      </c>
      <c r="B350" s="1" t="s">
        <v>1295</v>
      </c>
      <c r="C350" s="1" t="s">
        <v>152</v>
      </c>
      <c r="D350" t="str">
        <f>IFERROR(VLOOKUP(A350,depara!A:B,2,0),A350)</f>
        <v>9192735</v>
      </c>
      <c r="E350">
        <f>VLOOKUP(B350,'inumos depara'!$A:$B,2,0)</f>
        <v>16298697</v>
      </c>
      <c r="F350" s="1" t="str">
        <f t="shared" si="10"/>
        <v>0.0714582467802243</v>
      </c>
      <c r="G350" t="str">
        <f t="shared" si="11"/>
        <v>9192735,16298697,0.0714582467802243</v>
      </c>
    </row>
    <row r="351" spans="1:7" x14ac:dyDescent="0.25">
      <c r="A351" s="1" t="s">
        <v>1351</v>
      </c>
      <c r="B351" s="1" t="s">
        <v>1352</v>
      </c>
      <c r="C351" s="1" t="s">
        <v>153</v>
      </c>
      <c r="D351" t="str">
        <f>IFERROR(VLOOKUP(A351,depara!A:B,2,0),A351)</f>
        <v>9193004</v>
      </c>
      <c r="E351">
        <f>VLOOKUP(B351,'inumos depara'!$A:$B,2,0)</f>
        <v>16298740</v>
      </c>
      <c r="F351" s="1" t="str">
        <f t="shared" si="10"/>
        <v>0.066611685592844</v>
      </c>
      <c r="G351" t="str">
        <f t="shared" si="11"/>
        <v>9193004,16298740,0.066611685592844</v>
      </c>
    </row>
    <row r="352" spans="1:7" x14ac:dyDescent="0.25">
      <c r="A352" s="1" t="s">
        <v>1351</v>
      </c>
      <c r="B352" s="1" t="s">
        <v>1353</v>
      </c>
      <c r="C352" s="1" t="s">
        <v>1354</v>
      </c>
      <c r="D352" t="str">
        <f>IFERROR(VLOOKUP(A352,depara!A:B,2,0),A352)</f>
        <v>9193004</v>
      </c>
      <c r="E352">
        <f>VLOOKUP(B352,'inumos depara'!$A:$B,2,0)</f>
        <v>16298741</v>
      </c>
      <c r="F352" s="1" t="str">
        <f t="shared" si="10"/>
        <v>1.02998583180021</v>
      </c>
      <c r="G352" t="str">
        <f t="shared" si="11"/>
        <v>9193004,16298741,1.02998583180021</v>
      </c>
    </row>
    <row r="353" spans="1:7" x14ac:dyDescent="0.25">
      <c r="A353" s="1" t="s">
        <v>1351</v>
      </c>
      <c r="B353" s="1" t="s">
        <v>154</v>
      </c>
      <c r="C353" s="1" t="s">
        <v>155</v>
      </c>
      <c r="D353" t="str">
        <f>IFERROR(VLOOKUP(A353,depara!A:B,2,0),A353)</f>
        <v>9193004</v>
      </c>
      <c r="E353">
        <f>VLOOKUP(B353,'inumos depara'!$A:$B,2,0)</f>
        <v>16298742</v>
      </c>
      <c r="F353" s="1" t="str">
        <f t="shared" si="10"/>
        <v>0.083338619975047</v>
      </c>
      <c r="G353" t="str">
        <f t="shared" si="11"/>
        <v>9193004,16298742,0.083338619975047</v>
      </c>
    </row>
    <row r="354" spans="1:7" x14ac:dyDescent="0.25">
      <c r="A354" s="1" t="s">
        <v>1355</v>
      </c>
      <c r="B354" s="1" t="s">
        <v>1303</v>
      </c>
      <c r="C354" s="1" t="s">
        <v>156</v>
      </c>
      <c r="D354" t="str">
        <f>IFERROR(VLOOKUP(A354,depara!A:B,2,0),A354)</f>
        <v>9193005</v>
      </c>
      <c r="E354">
        <f>VLOOKUP(B354,'inumos depara'!$A:$B,2,0)</f>
        <v>16298704</v>
      </c>
      <c r="F354" s="1" t="str">
        <f t="shared" si="10"/>
        <v>0.086036688517657</v>
      </c>
      <c r="G354" t="str">
        <f t="shared" si="11"/>
        <v>9193005,16298704,0.086036688517657</v>
      </c>
    </row>
    <row r="355" spans="1:7" x14ac:dyDescent="0.25">
      <c r="A355" s="1" t="s">
        <v>1355</v>
      </c>
      <c r="B355" s="1" t="s">
        <v>1356</v>
      </c>
      <c r="C355" s="1" t="s">
        <v>157</v>
      </c>
      <c r="D355" t="str">
        <f>IFERROR(VLOOKUP(A355,depara!A:B,2,0),A355)</f>
        <v>9193005</v>
      </c>
      <c r="E355">
        <f>VLOOKUP(B355,'inumos depara'!$A:$B,2,0)</f>
        <v>16298743</v>
      </c>
      <c r="F355" s="1" t="str">
        <f t="shared" si="10"/>
        <v>0.000446711778388666</v>
      </c>
      <c r="G355" t="str">
        <f t="shared" si="11"/>
        <v>9193005,16298743,0.000446711778388666</v>
      </c>
    </row>
    <row r="356" spans="1:7" x14ac:dyDescent="0.25">
      <c r="A356" s="1" t="s">
        <v>1355</v>
      </c>
      <c r="B356" s="1" t="s">
        <v>1219</v>
      </c>
      <c r="C356" s="1" t="s">
        <v>158</v>
      </c>
      <c r="D356" t="str">
        <f>IFERROR(VLOOKUP(A356,depara!A:B,2,0),A356)</f>
        <v>9193005</v>
      </c>
      <c r="E356">
        <f>VLOOKUP(B356,'inumos depara'!$A:$B,2,0)</f>
        <v>16298624</v>
      </c>
      <c r="F356" s="1" t="str">
        <f t="shared" si="10"/>
        <v>0.000893423556777331</v>
      </c>
      <c r="G356" t="str">
        <f t="shared" si="11"/>
        <v>9193005,16298624,0.000893423556777331</v>
      </c>
    </row>
    <row r="357" spans="1:7" x14ac:dyDescent="0.25">
      <c r="A357" s="1" t="s">
        <v>1355</v>
      </c>
      <c r="B357" s="1" t="s">
        <v>1170</v>
      </c>
      <c r="C357" s="1" t="s">
        <v>1357</v>
      </c>
      <c r="D357" t="str">
        <f>IFERROR(VLOOKUP(A357,depara!A:B,2,0),A357)</f>
        <v>9193005</v>
      </c>
      <c r="E357">
        <f>VLOOKUP(B357,'inumos depara'!$A:$B,2,0)</f>
        <v>16298579</v>
      </c>
      <c r="F357" s="1" t="str">
        <f t="shared" si="10"/>
        <v>8.93423556777331E-05</v>
      </c>
      <c r="G357" t="str">
        <f t="shared" si="11"/>
        <v>9193005,16298579,8.93423556777331E-05</v>
      </c>
    </row>
    <row r="358" spans="1:7" x14ac:dyDescent="0.25">
      <c r="A358" s="1" t="s">
        <v>1355</v>
      </c>
      <c r="B358" s="1" t="s">
        <v>1171</v>
      </c>
      <c r="C358" s="1" t="s">
        <v>1357</v>
      </c>
      <c r="D358" t="str">
        <f>IFERROR(VLOOKUP(A358,depara!A:B,2,0),A358)</f>
        <v>9193005</v>
      </c>
      <c r="E358">
        <f>VLOOKUP(B358,'inumos depara'!$A:$B,2,0)</f>
        <v>16298580</v>
      </c>
      <c r="F358" s="1" t="str">
        <f t="shared" si="10"/>
        <v>8.93423556777331E-05</v>
      </c>
      <c r="G358" t="str">
        <f t="shared" si="11"/>
        <v>9193005,16298580,8.93423556777331E-05</v>
      </c>
    </row>
    <row r="359" spans="1:7" x14ac:dyDescent="0.25">
      <c r="A359" s="1" t="s">
        <v>1355</v>
      </c>
      <c r="B359" s="1" t="s">
        <v>1358</v>
      </c>
      <c r="C359" s="1" t="s">
        <v>159</v>
      </c>
      <c r="D359" t="str">
        <f>IFERROR(VLOOKUP(A359,depara!A:B,2,0),A359)</f>
        <v>9193005</v>
      </c>
      <c r="E359">
        <f>VLOOKUP(B359,'inumos depara'!$A:$B,2,0)</f>
        <v>16298744</v>
      </c>
      <c r="F359" s="1" t="str">
        <f t="shared" si="10"/>
        <v>0.001340135335166</v>
      </c>
      <c r="G359" t="str">
        <f t="shared" si="11"/>
        <v>9193005,16298744,0.001340135335166</v>
      </c>
    </row>
    <row r="360" spans="1:7" x14ac:dyDescent="0.25">
      <c r="A360" s="1" t="s">
        <v>1355</v>
      </c>
      <c r="B360" s="1" t="s">
        <v>160</v>
      </c>
      <c r="C360" s="1" t="s">
        <v>161</v>
      </c>
      <c r="D360" t="str">
        <f>IFERROR(VLOOKUP(A360,depara!A:B,2,0),A360)</f>
        <v>9193005</v>
      </c>
      <c r="E360">
        <f>VLOOKUP(B360,'inumos depara'!$A:$B,2,0)</f>
        <v>16298745</v>
      </c>
      <c r="F360" s="1" t="str">
        <f t="shared" si="10"/>
        <v>0.000898710086699091</v>
      </c>
      <c r="G360" t="str">
        <f t="shared" si="11"/>
        <v>9193005,16298745,0.000898710086699091</v>
      </c>
    </row>
    <row r="361" spans="1:7" x14ac:dyDescent="0.25">
      <c r="A361" s="1" t="s">
        <v>1355</v>
      </c>
      <c r="B361" s="1" t="s">
        <v>162</v>
      </c>
      <c r="C361" s="1" t="s">
        <v>1359</v>
      </c>
      <c r="D361" t="str">
        <f>IFERROR(VLOOKUP(A361,depara!A:B,2,0),A361)</f>
        <v>9193005</v>
      </c>
      <c r="E361">
        <f>VLOOKUP(B361,'inumos depara'!$A:$B,2,0)</f>
        <v>16298746</v>
      </c>
      <c r="F361" s="1" t="str">
        <f t="shared" si="10"/>
        <v>1.01004440685134</v>
      </c>
      <c r="G361" t="str">
        <f t="shared" si="11"/>
        <v>9193005,16298746,1.01004440685134</v>
      </c>
    </row>
    <row r="362" spans="1:7" x14ac:dyDescent="0.25">
      <c r="A362" s="1" t="s">
        <v>1355</v>
      </c>
      <c r="B362" s="1" t="s">
        <v>1360</v>
      </c>
      <c r="C362" s="1" t="s">
        <v>1150</v>
      </c>
      <c r="D362" t="str">
        <f>IFERROR(VLOOKUP(A362,depara!A:B,2,0),A362)</f>
        <v>9193005</v>
      </c>
      <c r="E362">
        <f>VLOOKUP(B362,'inumos depara'!$A:$B,2,0)</f>
        <v>16298747</v>
      </c>
      <c r="F362" s="1" t="str">
        <f t="shared" si="10"/>
        <v>1</v>
      </c>
      <c r="G362" t="str">
        <f t="shared" si="11"/>
        <v>9193005,16298747,1</v>
      </c>
    </row>
    <row r="363" spans="1:7" x14ac:dyDescent="0.25">
      <c r="A363" s="1" t="s">
        <v>1355</v>
      </c>
      <c r="B363" s="1" t="s">
        <v>163</v>
      </c>
      <c r="C363" s="1" t="s">
        <v>164</v>
      </c>
      <c r="D363" t="str">
        <f>IFERROR(VLOOKUP(A363,depara!A:B,2,0),A363)</f>
        <v>9193005</v>
      </c>
      <c r="E363">
        <f>VLOOKUP(B363,'inumos depara'!$A:$B,2,0)</f>
        <v>16298748</v>
      </c>
      <c r="F363" s="1" t="str">
        <f t="shared" si="10"/>
        <v>0.084161556354409</v>
      </c>
      <c r="G363" t="str">
        <f t="shared" si="11"/>
        <v>9193005,16298748,0.084161556354409</v>
      </c>
    </row>
    <row r="364" spans="1:7" x14ac:dyDescent="0.25">
      <c r="A364" s="1" t="s">
        <v>1361</v>
      </c>
      <c r="B364" s="1" t="s">
        <v>165</v>
      </c>
      <c r="C364" s="1" t="s">
        <v>148</v>
      </c>
      <c r="D364" t="str">
        <f>IFERROR(VLOOKUP(A364,depara!A:B,2,0),A364)</f>
        <v>9195922</v>
      </c>
      <c r="E364">
        <f>VLOOKUP(B364,'inumos depara'!$A:$B,2,0)</f>
        <v>16298749</v>
      </c>
      <c r="F364" s="1" t="str">
        <f t="shared" si="10"/>
        <v>0.158628387498702</v>
      </c>
      <c r="G364" t="str">
        <f t="shared" si="11"/>
        <v>9195922,16298749,0.158628387498702</v>
      </c>
    </row>
    <row r="365" spans="1:7" x14ac:dyDescent="0.25">
      <c r="A365" s="1" t="s">
        <v>1361</v>
      </c>
      <c r="B365" s="1" t="s">
        <v>1362</v>
      </c>
      <c r="C365" s="1" t="s">
        <v>1340</v>
      </c>
      <c r="D365" t="str">
        <f>IFERROR(VLOOKUP(A365,depara!A:B,2,0),A365)</f>
        <v>9195922</v>
      </c>
      <c r="E365">
        <f>VLOOKUP(B365,'inumos depara'!$A:$B,2,0)</f>
        <v>16298750</v>
      </c>
      <c r="F365" s="1" t="str">
        <f t="shared" si="10"/>
        <v>1.05196760461011</v>
      </c>
      <c r="G365" t="str">
        <f t="shared" si="11"/>
        <v>9195922,16298750,1.05196760461011</v>
      </c>
    </row>
    <row r="366" spans="1:7" x14ac:dyDescent="0.25">
      <c r="A366" s="1" t="s">
        <v>1361</v>
      </c>
      <c r="B366" s="1" t="s">
        <v>1363</v>
      </c>
      <c r="C366" s="1" t="s">
        <v>1340</v>
      </c>
      <c r="D366" t="str">
        <f>IFERROR(VLOOKUP(A366,depara!A:B,2,0),A366)</f>
        <v>9195922</v>
      </c>
      <c r="E366">
        <f>VLOOKUP(B366,'inumos depara'!$A:$B,2,0)</f>
        <v>16298751</v>
      </c>
      <c r="F366" s="1" t="str">
        <f t="shared" si="10"/>
        <v>1.05196760461011</v>
      </c>
      <c r="G366" t="str">
        <f t="shared" si="11"/>
        <v>9195922,16298751,1.05196760461011</v>
      </c>
    </row>
    <row r="367" spans="1:7" x14ac:dyDescent="0.25">
      <c r="A367" s="1" t="s">
        <v>1361</v>
      </c>
      <c r="B367" s="1" t="s">
        <v>1364</v>
      </c>
      <c r="C367" s="1" t="s">
        <v>1343</v>
      </c>
      <c r="D367" t="str">
        <f>IFERROR(VLOOKUP(A367,depara!A:B,2,0),A367)</f>
        <v>9195922</v>
      </c>
      <c r="E367">
        <f>VLOOKUP(B367,'inumos depara'!$A:$B,2,0)</f>
        <v>16298752</v>
      </c>
      <c r="F367" s="1" t="str">
        <f t="shared" si="10"/>
        <v>1.11509708233828</v>
      </c>
      <c r="G367" t="str">
        <f t="shared" si="11"/>
        <v>9195922,16298752,1.11509708233828</v>
      </c>
    </row>
    <row r="368" spans="1:7" x14ac:dyDescent="0.25">
      <c r="A368" s="1" t="s">
        <v>1361</v>
      </c>
      <c r="B368" s="1" t="s">
        <v>1365</v>
      </c>
      <c r="C368" s="1" t="s">
        <v>1343</v>
      </c>
      <c r="D368" t="str">
        <f>IFERROR(VLOOKUP(A368,depara!A:B,2,0),A368)</f>
        <v>9195922</v>
      </c>
      <c r="E368">
        <f>VLOOKUP(B368,'inumos depara'!$A:$B,2,0)</f>
        <v>16298753</v>
      </c>
      <c r="F368" s="1" t="str">
        <f t="shared" si="10"/>
        <v>1.11509708233828</v>
      </c>
      <c r="G368" t="str">
        <f t="shared" si="11"/>
        <v>9195922,16298753,1.11509708233828</v>
      </c>
    </row>
    <row r="369" spans="1:7" x14ac:dyDescent="0.25">
      <c r="A369" s="1" t="s">
        <v>1361</v>
      </c>
      <c r="B369" s="1" t="s">
        <v>1287</v>
      </c>
      <c r="C369" s="1" t="s">
        <v>1343</v>
      </c>
      <c r="D369" t="str">
        <f>IFERROR(VLOOKUP(A369,depara!A:B,2,0),A369)</f>
        <v>9195922</v>
      </c>
      <c r="E369">
        <f>VLOOKUP(B369,'inumos depara'!$A:$B,2,0)</f>
        <v>16298691</v>
      </c>
      <c r="F369" s="1" t="str">
        <f t="shared" si="10"/>
        <v>1.11509708233828</v>
      </c>
      <c r="G369" t="str">
        <f t="shared" si="11"/>
        <v>9195922,16298691,1.11509708233828</v>
      </c>
    </row>
    <row r="370" spans="1:7" x14ac:dyDescent="0.25">
      <c r="A370" s="1" t="s">
        <v>1361</v>
      </c>
      <c r="B370" s="1" t="s">
        <v>1345</v>
      </c>
      <c r="C370" s="1" t="s">
        <v>149</v>
      </c>
      <c r="D370" t="str">
        <f>IFERROR(VLOOKUP(A370,depara!A:B,2,0),A370)</f>
        <v>9195922</v>
      </c>
      <c r="E370">
        <f>VLOOKUP(B370,'inumos depara'!$A:$B,2,0)</f>
        <v>16298736</v>
      </c>
      <c r="F370" s="1" t="str">
        <f t="shared" si="10"/>
        <v>0.0657252621742291</v>
      </c>
      <c r="G370" t="str">
        <f t="shared" si="11"/>
        <v>9195922,16298736,0.0657252621742291</v>
      </c>
    </row>
    <row r="371" spans="1:7" x14ac:dyDescent="0.25">
      <c r="A371" s="1" t="s">
        <v>1366</v>
      </c>
      <c r="B371" s="1" t="s">
        <v>166</v>
      </c>
      <c r="C371" s="1" t="s">
        <v>167</v>
      </c>
      <c r="D371" t="str">
        <f>IFERROR(VLOOKUP(A371,depara!A:B,2,0),A371)</f>
        <v>9195925</v>
      </c>
      <c r="E371">
        <f>VLOOKUP(B371,'inumos depara'!$A:$B,2,0)</f>
        <v>16298754</v>
      </c>
      <c r="F371" s="1" t="str">
        <f t="shared" si="10"/>
        <v>0.154857837920024</v>
      </c>
      <c r="G371" t="str">
        <f t="shared" si="11"/>
        <v>9195925,16298754,0.154857837920024</v>
      </c>
    </row>
    <row r="372" spans="1:7" x14ac:dyDescent="0.25">
      <c r="A372" s="1" t="s">
        <v>1366</v>
      </c>
      <c r="B372" s="1" t="s">
        <v>1367</v>
      </c>
      <c r="C372" s="1" t="s">
        <v>1368</v>
      </c>
      <c r="D372" t="str">
        <f>IFERROR(VLOOKUP(A372,depara!A:B,2,0),A372)</f>
        <v>9195925</v>
      </c>
      <c r="E372">
        <f>VLOOKUP(B372,'inumos depara'!$A:$B,2,0)</f>
        <v>16298755</v>
      </c>
      <c r="F372" s="1" t="str">
        <f t="shared" si="10"/>
        <v>1.05199939181998</v>
      </c>
      <c r="G372" t="str">
        <f t="shared" si="11"/>
        <v>9195925,16298755,1.05199939181998</v>
      </c>
    </row>
    <row r="373" spans="1:7" x14ac:dyDescent="0.25">
      <c r="A373" s="1" t="s">
        <v>1366</v>
      </c>
      <c r="B373" s="1" t="s">
        <v>1363</v>
      </c>
      <c r="C373" s="1" t="s">
        <v>1368</v>
      </c>
      <c r="D373" t="str">
        <f>IFERROR(VLOOKUP(A373,depara!A:B,2,0),A373)</f>
        <v>9195925</v>
      </c>
      <c r="E373">
        <f>VLOOKUP(B373,'inumos depara'!$A:$B,2,0)</f>
        <v>16298751</v>
      </c>
      <c r="F373" s="1" t="str">
        <f t="shared" si="10"/>
        <v>1.05199939181998</v>
      </c>
      <c r="G373" t="str">
        <f t="shared" si="11"/>
        <v>9195925,16298751,1.05199939181998</v>
      </c>
    </row>
    <row r="374" spans="1:7" x14ac:dyDescent="0.25">
      <c r="A374" s="1" t="s">
        <v>1366</v>
      </c>
      <c r="B374" s="1" t="s">
        <v>1287</v>
      </c>
      <c r="C374" s="1" t="s">
        <v>1369</v>
      </c>
      <c r="D374" t="str">
        <f>IFERROR(VLOOKUP(A374,depara!A:B,2,0),A374)</f>
        <v>9195925</v>
      </c>
      <c r="E374">
        <f>VLOOKUP(B374,'inumos depara'!$A:$B,2,0)</f>
        <v>16298691</v>
      </c>
      <c r="F374" s="1" t="str">
        <f t="shared" si="10"/>
        <v>1.11509806902843</v>
      </c>
      <c r="G374" t="str">
        <f t="shared" si="11"/>
        <v>9195925,16298691,1.11509806902843</v>
      </c>
    </row>
    <row r="375" spans="1:7" x14ac:dyDescent="0.25">
      <c r="A375" s="1" t="s">
        <v>1366</v>
      </c>
      <c r="B375" s="1" t="s">
        <v>1370</v>
      </c>
      <c r="C375" s="1" t="s">
        <v>1369</v>
      </c>
      <c r="D375" t="str">
        <f>IFERROR(VLOOKUP(A375,depara!A:B,2,0),A375)</f>
        <v>9195925</v>
      </c>
      <c r="E375">
        <f>VLOOKUP(B375,'inumos depara'!$A:$B,2,0)</f>
        <v>16298756</v>
      </c>
      <c r="F375" s="1" t="str">
        <f t="shared" si="10"/>
        <v>1.11509806902843</v>
      </c>
      <c r="G375" t="str">
        <f t="shared" si="11"/>
        <v>9195925,16298756,1.11509806902843</v>
      </c>
    </row>
    <row r="376" spans="1:7" x14ac:dyDescent="0.25">
      <c r="A376" s="1" t="s">
        <v>1366</v>
      </c>
      <c r="B376" s="1" t="s">
        <v>1371</v>
      </c>
      <c r="C376" s="1" t="s">
        <v>1369</v>
      </c>
      <c r="D376" t="str">
        <f>IFERROR(VLOOKUP(A376,depara!A:B,2,0),A376)</f>
        <v>9195925</v>
      </c>
      <c r="E376">
        <f>VLOOKUP(B376,'inumos depara'!$A:$B,2,0)</f>
        <v>16298757</v>
      </c>
      <c r="F376" s="1" t="str">
        <f t="shared" si="10"/>
        <v>1.11509806902843</v>
      </c>
      <c r="G376" t="str">
        <f t="shared" si="11"/>
        <v>9195925,16298757,1.11509806902843</v>
      </c>
    </row>
    <row r="377" spans="1:7" x14ac:dyDescent="0.25">
      <c r="A377" s="1" t="s">
        <v>1366</v>
      </c>
      <c r="B377" s="1" t="s">
        <v>1345</v>
      </c>
      <c r="C377" s="1" t="s">
        <v>168</v>
      </c>
      <c r="D377" t="str">
        <f>IFERROR(VLOOKUP(A377,depara!A:B,2,0),A377)</f>
        <v>9195925</v>
      </c>
      <c r="E377">
        <f>VLOOKUP(B377,'inumos depara'!$A:$B,2,0)</f>
        <v>16298736</v>
      </c>
      <c r="F377" s="1" t="str">
        <f t="shared" si="10"/>
        <v>0.0656834422989205</v>
      </c>
      <c r="G377" t="str">
        <f t="shared" si="11"/>
        <v>9195925,16298736,0.0656834422989205</v>
      </c>
    </row>
    <row r="378" spans="1:7" x14ac:dyDescent="0.25">
      <c r="A378" s="1" t="s">
        <v>1372</v>
      </c>
      <c r="B378" s="1" t="s">
        <v>1303</v>
      </c>
      <c r="C378" s="1" t="s">
        <v>169</v>
      </c>
      <c r="D378" t="str">
        <f>IFERROR(VLOOKUP(A378,depara!A:B,2,0),A378)</f>
        <v>9197755</v>
      </c>
      <c r="E378">
        <f>VLOOKUP(B378,'inumos depara'!$A:$B,2,0)</f>
        <v>16298704</v>
      </c>
      <c r="F378" s="1" t="str">
        <f t="shared" si="10"/>
        <v>0.0775375582800898</v>
      </c>
      <c r="G378" t="str">
        <f t="shared" si="11"/>
        <v>9197755,16298704,0.0775375582800898</v>
      </c>
    </row>
    <row r="379" spans="1:7" x14ac:dyDescent="0.25">
      <c r="A379" s="1" t="s">
        <v>1372</v>
      </c>
      <c r="B379" s="1" t="s">
        <v>1373</v>
      </c>
      <c r="C379" s="1" t="s">
        <v>170</v>
      </c>
      <c r="D379" t="str">
        <f>IFERROR(VLOOKUP(A379,depara!A:B,2,0),A379)</f>
        <v>9197755</v>
      </c>
      <c r="E379">
        <f>VLOOKUP(B379,'inumos depara'!$A:$B,2,0)</f>
        <v>16298758</v>
      </c>
      <c r="F379" s="1" t="str">
        <f t="shared" si="10"/>
        <v>0.00134691763080642</v>
      </c>
      <c r="G379" t="str">
        <f t="shared" si="11"/>
        <v>9197755,16298758,0.00134691763080642</v>
      </c>
    </row>
    <row r="380" spans="1:7" x14ac:dyDescent="0.25">
      <c r="A380" s="1" t="s">
        <v>1372</v>
      </c>
      <c r="B380" s="1" t="s">
        <v>1304</v>
      </c>
      <c r="C380" s="1" t="s">
        <v>171</v>
      </c>
      <c r="D380" t="str">
        <f>IFERROR(VLOOKUP(A380,depara!A:B,2,0),A380)</f>
        <v>9197755</v>
      </c>
      <c r="E380">
        <f>VLOOKUP(B380,'inumos depara'!$A:$B,2,0)</f>
        <v>16298705</v>
      </c>
      <c r="F380" s="1" t="str">
        <f t="shared" si="10"/>
        <v>0.00538767052322569</v>
      </c>
      <c r="G380" t="str">
        <f t="shared" si="11"/>
        <v>9197755,16298705,0.00538767052322569</v>
      </c>
    </row>
    <row r="381" spans="1:7" x14ac:dyDescent="0.25">
      <c r="A381" s="1" t="s">
        <v>1372</v>
      </c>
      <c r="B381" s="1" t="s">
        <v>1186</v>
      </c>
      <c r="C381" s="1" t="s">
        <v>172</v>
      </c>
      <c r="D381" t="str">
        <f>IFERROR(VLOOKUP(A381,depara!A:B,2,0),A381)</f>
        <v>9197755</v>
      </c>
      <c r="E381">
        <f>VLOOKUP(B381,'inumos depara'!$A:$B,2,0)</f>
        <v>16298592</v>
      </c>
      <c r="F381" s="1" t="str">
        <f t="shared" si="10"/>
        <v>0.00175099292004835</v>
      </c>
      <c r="G381" t="str">
        <f t="shared" si="11"/>
        <v>9197755,16298592,0.00175099292004835</v>
      </c>
    </row>
    <row r="382" spans="1:7" x14ac:dyDescent="0.25">
      <c r="A382" s="1" t="s">
        <v>1372</v>
      </c>
      <c r="B382" s="1" t="s">
        <v>1187</v>
      </c>
      <c r="C382" s="1" t="s">
        <v>173</v>
      </c>
      <c r="D382" t="str">
        <f>IFERROR(VLOOKUP(A382,depara!A:B,2,0),A382)</f>
        <v>9197755</v>
      </c>
      <c r="E382">
        <f>VLOOKUP(B382,'inumos depara'!$A:$B,2,0)</f>
        <v>16298593</v>
      </c>
      <c r="F382" s="1" t="str">
        <f t="shared" si="10"/>
        <v>0.000897945087204282</v>
      </c>
      <c r="G382" t="str">
        <f t="shared" si="11"/>
        <v>9197755,16298593,0.000897945087204282</v>
      </c>
    </row>
    <row r="383" spans="1:7" x14ac:dyDescent="0.25">
      <c r="A383" s="1" t="s">
        <v>1372</v>
      </c>
      <c r="B383" s="1" t="s">
        <v>1190</v>
      </c>
      <c r="C383" s="1" t="s">
        <v>173</v>
      </c>
      <c r="D383" t="str">
        <f>IFERROR(VLOOKUP(A383,depara!A:B,2,0),A383)</f>
        <v>9197755</v>
      </c>
      <c r="E383">
        <f>VLOOKUP(B383,'inumos depara'!$A:$B,2,0)</f>
        <v>16298596</v>
      </c>
      <c r="F383" s="1" t="str">
        <f t="shared" si="10"/>
        <v>0.000897945087204282</v>
      </c>
      <c r="G383" t="str">
        <f t="shared" si="11"/>
        <v>9197755,16298596,0.000897945087204282</v>
      </c>
    </row>
    <row r="384" spans="1:7" x14ac:dyDescent="0.25">
      <c r="A384" s="1" t="s">
        <v>1372</v>
      </c>
      <c r="B384" s="1" t="s">
        <v>1305</v>
      </c>
      <c r="C384" s="1" t="s">
        <v>174</v>
      </c>
      <c r="D384" t="str">
        <f>IFERROR(VLOOKUP(A384,depara!A:B,2,0),A384)</f>
        <v>9197755</v>
      </c>
      <c r="E384">
        <f>VLOOKUP(B384,'inumos depara'!$A:$B,2,0)</f>
        <v>16298706</v>
      </c>
      <c r="F384" s="1" t="str">
        <f t="shared" si="10"/>
        <v>0.00179589017440856</v>
      </c>
      <c r="G384" t="str">
        <f t="shared" si="11"/>
        <v>9197755,16298706,0.00179589017440856</v>
      </c>
    </row>
    <row r="385" spans="1:7" x14ac:dyDescent="0.25">
      <c r="A385" s="1" t="s">
        <v>1372</v>
      </c>
      <c r="B385" s="1" t="s">
        <v>1193</v>
      </c>
      <c r="C385" s="1" t="s">
        <v>175</v>
      </c>
      <c r="D385" t="str">
        <f>IFERROR(VLOOKUP(A385,depara!A:B,2,0),A385)</f>
        <v>9197755</v>
      </c>
      <c r="E385">
        <f>VLOOKUP(B385,'inumos depara'!$A:$B,2,0)</f>
        <v>16298599</v>
      </c>
      <c r="F385" s="1" t="str">
        <f t="shared" si="10"/>
        <v>0.000179589017440857</v>
      </c>
      <c r="G385" t="str">
        <f t="shared" si="11"/>
        <v>9197755,16298599,0.000179589017440857</v>
      </c>
    </row>
    <row r="386" spans="1:7" x14ac:dyDescent="0.25">
      <c r="A386" s="1" t="s">
        <v>1372</v>
      </c>
      <c r="B386" s="1" t="s">
        <v>1310</v>
      </c>
      <c r="C386" s="1" t="s">
        <v>176</v>
      </c>
      <c r="D386" t="str">
        <f>IFERROR(VLOOKUP(A386,depara!A:B,2,0),A386)</f>
        <v>9197755</v>
      </c>
      <c r="E386">
        <f>VLOOKUP(B386,'inumos depara'!$A:$B,2,0)</f>
        <v>16298710</v>
      </c>
      <c r="F386" s="1" t="str">
        <f t="shared" ref="F386:F449" si="12">C386</f>
        <v>0.000518045242617855</v>
      </c>
      <c r="G386" t="str">
        <f t="shared" ref="G386:G449" si="13">D386&amp;","&amp;E386&amp;","&amp;F386</f>
        <v>9197755,16298710,0.000518045242617855</v>
      </c>
    </row>
    <row r="387" spans="1:7" x14ac:dyDescent="0.25">
      <c r="A387" s="1" t="s">
        <v>1372</v>
      </c>
      <c r="B387" s="1" t="s">
        <v>177</v>
      </c>
      <c r="C387" s="1" t="s">
        <v>1374</v>
      </c>
      <c r="D387" t="str">
        <f>IFERROR(VLOOKUP(A387,depara!A:B,2,0),A387)</f>
        <v>9197755</v>
      </c>
      <c r="E387">
        <f>VLOOKUP(B387,'inumos depara'!$A:$B,2,0)</f>
        <v>16298759</v>
      </c>
      <c r="F387" s="1" t="str">
        <f t="shared" si="12"/>
        <v>1.02037644620964</v>
      </c>
      <c r="G387" t="str">
        <f t="shared" si="13"/>
        <v>9197755,16298759,1.02037644620964</v>
      </c>
    </row>
    <row r="388" spans="1:7" x14ac:dyDescent="0.25">
      <c r="A388" s="1" t="s">
        <v>1372</v>
      </c>
      <c r="B388" s="1" t="s">
        <v>1312</v>
      </c>
      <c r="C388" s="1" t="s">
        <v>178</v>
      </c>
      <c r="D388" t="str">
        <f>IFERROR(VLOOKUP(A388,depara!A:B,2,0),A388)</f>
        <v>9197755</v>
      </c>
      <c r="E388">
        <f>VLOOKUP(B388,'inumos depara'!$A:$B,2,0)</f>
        <v>16298712</v>
      </c>
      <c r="F388" s="1" t="str">
        <f t="shared" si="12"/>
        <v>0.0283198065964428</v>
      </c>
      <c r="G388" t="str">
        <f t="shared" si="13"/>
        <v>9197755,16298712,0.0283198065964428</v>
      </c>
    </row>
    <row r="389" spans="1:7" x14ac:dyDescent="0.25">
      <c r="A389" s="1" t="s">
        <v>1375</v>
      </c>
      <c r="B389" s="1" t="s">
        <v>1303</v>
      </c>
      <c r="C389" s="1" t="s">
        <v>179</v>
      </c>
      <c r="D389" t="str">
        <f>IFERROR(VLOOKUP(A389,depara!A:B,2,0),A389)</f>
        <v>9197779</v>
      </c>
      <c r="E389">
        <f>VLOOKUP(B389,'inumos depara'!$A:$B,2,0)</f>
        <v>16298704</v>
      </c>
      <c r="F389" s="1" t="str">
        <f t="shared" si="12"/>
        <v>0.0740512083300956</v>
      </c>
      <c r="G389" t="str">
        <f t="shared" si="13"/>
        <v>9197779,16298704,0.0740512083300956</v>
      </c>
    </row>
    <row r="390" spans="1:7" x14ac:dyDescent="0.25">
      <c r="A390" s="1" t="s">
        <v>1375</v>
      </c>
      <c r="B390" s="1" t="s">
        <v>1304</v>
      </c>
      <c r="C390" s="1" t="s">
        <v>180</v>
      </c>
      <c r="D390" t="str">
        <f>IFERROR(VLOOKUP(A390,depara!A:B,2,0),A390)</f>
        <v>9197779</v>
      </c>
      <c r="E390">
        <f>VLOOKUP(B390,'inumos depara'!$A:$B,2,0)</f>
        <v>16298705</v>
      </c>
      <c r="F390" s="1" t="str">
        <f t="shared" si="12"/>
        <v>0.00363664620405626</v>
      </c>
      <c r="G390" t="str">
        <f t="shared" si="13"/>
        <v>9197779,16298705,0.00363664620405626</v>
      </c>
    </row>
    <row r="391" spans="1:7" x14ac:dyDescent="0.25">
      <c r="A391" s="1" t="s">
        <v>1375</v>
      </c>
      <c r="B391" s="1" t="s">
        <v>1305</v>
      </c>
      <c r="C391" s="1" t="s">
        <v>181</v>
      </c>
      <c r="D391" t="str">
        <f>IFERROR(VLOOKUP(A391,depara!A:B,2,0),A391)</f>
        <v>9197779</v>
      </c>
      <c r="E391">
        <f>VLOOKUP(B391,'inumos depara'!$A:$B,2,0)</f>
        <v>16298706</v>
      </c>
      <c r="F391" s="1" t="str">
        <f t="shared" si="12"/>
        <v>0.00181832310202813</v>
      </c>
      <c r="G391" t="str">
        <f t="shared" si="13"/>
        <v>9197779,16298706,0.00181832310202813</v>
      </c>
    </row>
    <row r="392" spans="1:7" x14ac:dyDescent="0.25">
      <c r="A392" s="1" t="s">
        <v>1375</v>
      </c>
      <c r="B392" s="1" t="s">
        <v>1376</v>
      </c>
      <c r="C392" s="1" t="s">
        <v>182</v>
      </c>
      <c r="D392" t="str">
        <f>IFERROR(VLOOKUP(A392,depara!A:B,2,0),A392)</f>
        <v>9197779</v>
      </c>
      <c r="E392">
        <f>VLOOKUP(B392,'inumos depara'!$A:$B,2,0)</f>
        <v>16298760</v>
      </c>
      <c r="F392" s="1" t="str">
        <f t="shared" si="12"/>
        <v>0.000909161551014065</v>
      </c>
      <c r="G392" t="str">
        <f t="shared" si="13"/>
        <v>9197779,16298760,0.000909161551014065</v>
      </c>
    </row>
    <row r="393" spans="1:7" x14ac:dyDescent="0.25">
      <c r="A393" s="1" t="s">
        <v>1375</v>
      </c>
      <c r="B393" s="1" t="s">
        <v>1205</v>
      </c>
      <c r="C393" s="1" t="s">
        <v>183</v>
      </c>
      <c r="D393" t="str">
        <f>IFERROR(VLOOKUP(A393,depara!A:B,2,0),A393)</f>
        <v>9197779</v>
      </c>
      <c r="E393">
        <f>VLOOKUP(B393,'inumos depara'!$A:$B,2,0)</f>
        <v>16298610</v>
      </c>
      <c r="F393" s="1" t="str">
        <f t="shared" si="12"/>
        <v>0.000454580775507032</v>
      </c>
      <c r="G393" t="str">
        <f t="shared" si="13"/>
        <v>9197779,16298610,0.000454580775507032</v>
      </c>
    </row>
    <row r="394" spans="1:7" x14ac:dyDescent="0.25">
      <c r="A394" s="1" t="s">
        <v>1375</v>
      </c>
      <c r="B394" s="1" t="s">
        <v>1377</v>
      </c>
      <c r="C394" s="1" t="s">
        <v>182</v>
      </c>
      <c r="D394" t="str">
        <f>IFERROR(VLOOKUP(A394,depara!A:B,2,0),A394)</f>
        <v>9197779</v>
      </c>
      <c r="E394">
        <f>VLOOKUP(B394,'inumos depara'!$A:$B,2,0)</f>
        <v>16298761</v>
      </c>
      <c r="F394" s="1" t="str">
        <f t="shared" si="12"/>
        <v>0.000909161551014065</v>
      </c>
      <c r="G394" t="str">
        <f t="shared" si="13"/>
        <v>9197779,16298761,0.000909161551014065</v>
      </c>
    </row>
    <row r="395" spans="1:7" x14ac:dyDescent="0.25">
      <c r="A395" s="1" t="s">
        <v>1375</v>
      </c>
      <c r="B395" s="1" t="s">
        <v>1157</v>
      </c>
      <c r="C395" s="1" t="s">
        <v>183</v>
      </c>
      <c r="D395" t="str">
        <f>IFERROR(VLOOKUP(A395,depara!A:B,2,0),A395)</f>
        <v>9197779</v>
      </c>
      <c r="E395">
        <f>VLOOKUP(B395,'inumos depara'!$A:$B,2,0)</f>
        <v>16298568</v>
      </c>
      <c r="F395" s="1" t="str">
        <f t="shared" si="12"/>
        <v>0.000454580775507032</v>
      </c>
      <c r="G395" t="str">
        <f t="shared" si="13"/>
        <v>9197779,16298568,0.000454580775507032</v>
      </c>
    </row>
    <row r="396" spans="1:7" x14ac:dyDescent="0.25">
      <c r="A396" s="1" t="s">
        <v>1375</v>
      </c>
      <c r="B396" s="1" t="s">
        <v>1378</v>
      </c>
      <c r="C396" s="1" t="s">
        <v>181</v>
      </c>
      <c r="D396" t="str">
        <f>IFERROR(VLOOKUP(A396,depara!A:B,2,0),A396)</f>
        <v>9197779</v>
      </c>
      <c r="E396">
        <f>VLOOKUP(B396,'inumos depara'!$A:$B,2,0)</f>
        <v>16298762</v>
      </c>
      <c r="F396" s="1" t="str">
        <f t="shared" si="12"/>
        <v>0.00181832310202813</v>
      </c>
      <c r="G396" t="str">
        <f t="shared" si="13"/>
        <v>9197779,16298762,0.00181832310202813</v>
      </c>
    </row>
    <row r="397" spans="1:7" x14ac:dyDescent="0.25">
      <c r="A397" s="1" t="s">
        <v>1375</v>
      </c>
      <c r="B397" s="1" t="s">
        <v>1379</v>
      </c>
      <c r="C397" s="1" t="s">
        <v>182</v>
      </c>
      <c r="D397" t="str">
        <f>IFERROR(VLOOKUP(A397,depara!A:B,2,0),A397)</f>
        <v>9197779</v>
      </c>
      <c r="E397">
        <f>VLOOKUP(B397,'inumos depara'!$A:$B,2,0)</f>
        <v>16298763</v>
      </c>
      <c r="F397" s="1" t="str">
        <f t="shared" si="12"/>
        <v>0.000909161551014065</v>
      </c>
      <c r="G397" t="str">
        <f t="shared" si="13"/>
        <v>9197779,16298763,0.000909161551014065</v>
      </c>
    </row>
    <row r="398" spans="1:7" x14ac:dyDescent="0.25">
      <c r="A398" s="1" t="s">
        <v>1375</v>
      </c>
      <c r="B398" s="1" t="s">
        <v>1380</v>
      </c>
      <c r="C398" s="1" t="s">
        <v>182</v>
      </c>
      <c r="D398" t="str">
        <f>IFERROR(VLOOKUP(A398,depara!A:B,2,0),A398)</f>
        <v>9197779</v>
      </c>
      <c r="E398">
        <f>VLOOKUP(B398,'inumos depara'!$A:$B,2,0)</f>
        <v>16298764</v>
      </c>
      <c r="F398" s="1" t="str">
        <f t="shared" si="12"/>
        <v>0.000909161551014065</v>
      </c>
      <c r="G398" t="str">
        <f t="shared" si="13"/>
        <v>9197779,16298764,0.000909161551014065</v>
      </c>
    </row>
    <row r="399" spans="1:7" x14ac:dyDescent="0.25">
      <c r="A399" s="1" t="s">
        <v>1375</v>
      </c>
      <c r="B399" s="1" t="s">
        <v>1180</v>
      </c>
      <c r="C399" s="1" t="s">
        <v>183</v>
      </c>
      <c r="D399" t="str">
        <f>IFERROR(VLOOKUP(A399,depara!A:B,2,0),A399)</f>
        <v>9197779</v>
      </c>
      <c r="E399">
        <f>VLOOKUP(B399,'inumos depara'!$A:$B,2,0)</f>
        <v>16298588</v>
      </c>
      <c r="F399" s="1" t="str">
        <f t="shared" si="12"/>
        <v>0.000454580775507032</v>
      </c>
      <c r="G399" t="str">
        <f t="shared" si="13"/>
        <v>9197779,16298588,0.000454580775507032</v>
      </c>
    </row>
    <row r="400" spans="1:7" x14ac:dyDescent="0.25">
      <c r="A400" s="1" t="s">
        <v>1375</v>
      </c>
      <c r="B400" s="1" t="s">
        <v>1381</v>
      </c>
      <c r="C400" s="1" t="s">
        <v>182</v>
      </c>
      <c r="D400" t="str">
        <f>IFERROR(VLOOKUP(A400,depara!A:B,2,0),A400)</f>
        <v>9197779</v>
      </c>
      <c r="E400">
        <f>VLOOKUP(B400,'inumos depara'!$A:$B,2,0)</f>
        <v>16298765</v>
      </c>
      <c r="F400" s="1" t="str">
        <f t="shared" si="12"/>
        <v>0.000909161551014065</v>
      </c>
      <c r="G400" t="str">
        <f t="shared" si="13"/>
        <v>9197779,16298765,0.000909161551014065</v>
      </c>
    </row>
    <row r="401" spans="1:7" x14ac:dyDescent="0.25">
      <c r="A401" s="1" t="s">
        <v>1375</v>
      </c>
      <c r="B401" s="1" t="s">
        <v>1382</v>
      </c>
      <c r="C401" s="1" t="s">
        <v>181</v>
      </c>
      <c r="D401" t="str">
        <f>IFERROR(VLOOKUP(A401,depara!A:B,2,0),A401)</f>
        <v>9197779</v>
      </c>
      <c r="E401">
        <f>VLOOKUP(B401,'inumos depara'!$A:$B,2,0)</f>
        <v>16298766</v>
      </c>
      <c r="F401" s="1" t="str">
        <f t="shared" si="12"/>
        <v>0.00181832310202813</v>
      </c>
      <c r="G401" t="str">
        <f t="shared" si="13"/>
        <v>9197779,16298766,0.00181832310202813</v>
      </c>
    </row>
    <row r="402" spans="1:7" x14ac:dyDescent="0.25">
      <c r="A402" s="1" t="s">
        <v>1375</v>
      </c>
      <c r="B402" s="1" t="s">
        <v>1154</v>
      </c>
      <c r="C402" s="1" t="s">
        <v>182</v>
      </c>
      <c r="D402" t="str">
        <f>IFERROR(VLOOKUP(A402,depara!A:B,2,0),A402)</f>
        <v>9197779</v>
      </c>
      <c r="E402">
        <f>VLOOKUP(B402,'inumos depara'!$A:$B,2,0)</f>
        <v>16298565</v>
      </c>
      <c r="F402" s="1" t="str">
        <f t="shared" si="12"/>
        <v>0.000909161551014065</v>
      </c>
      <c r="G402" t="str">
        <f t="shared" si="13"/>
        <v>9197779,16298565,0.000909161551014065</v>
      </c>
    </row>
    <row r="403" spans="1:7" x14ac:dyDescent="0.25">
      <c r="A403" s="1" t="s">
        <v>1375</v>
      </c>
      <c r="B403" s="1" t="s">
        <v>1383</v>
      </c>
      <c r="C403" s="1" t="s">
        <v>1384</v>
      </c>
      <c r="D403" t="str">
        <f>IFERROR(VLOOKUP(A403,depara!A:B,2,0),A403)</f>
        <v>9197779</v>
      </c>
      <c r="E403">
        <f>VLOOKUP(B403,'inumos depara'!$A:$B,2,0)</f>
        <v>16298767</v>
      </c>
      <c r="F403" s="1" t="str">
        <f t="shared" si="12"/>
        <v>4.54580775507032E-05</v>
      </c>
      <c r="G403" t="str">
        <f t="shared" si="13"/>
        <v>9197779,16298767,4.54580775507032E-05</v>
      </c>
    </row>
    <row r="404" spans="1:7" x14ac:dyDescent="0.25">
      <c r="A404" s="1" t="s">
        <v>1375</v>
      </c>
      <c r="B404" s="1" t="s">
        <v>1385</v>
      </c>
      <c r="C404" s="1" t="s">
        <v>183</v>
      </c>
      <c r="D404" t="str">
        <f>IFERROR(VLOOKUP(A404,depara!A:B,2,0),A404)</f>
        <v>9197779</v>
      </c>
      <c r="E404">
        <f>VLOOKUP(B404,'inumos depara'!$A:$B,2,0)</f>
        <v>16298768</v>
      </c>
      <c r="F404" s="1" t="str">
        <f t="shared" si="12"/>
        <v>0.000454580775507032</v>
      </c>
      <c r="G404" t="str">
        <f t="shared" si="13"/>
        <v>9197779,16298768,0.000454580775507032</v>
      </c>
    </row>
    <row r="405" spans="1:7" x14ac:dyDescent="0.25">
      <c r="A405" s="1" t="s">
        <v>1375</v>
      </c>
      <c r="B405" s="1" t="s">
        <v>1386</v>
      </c>
      <c r="C405" s="1" t="s">
        <v>183</v>
      </c>
      <c r="D405" t="str">
        <f>IFERROR(VLOOKUP(A405,depara!A:B,2,0),A405)</f>
        <v>9197779</v>
      </c>
      <c r="E405">
        <f>VLOOKUP(B405,'inumos depara'!$A:$B,2,0)</f>
        <v>16298769</v>
      </c>
      <c r="F405" s="1" t="str">
        <f t="shared" si="12"/>
        <v>0.000454580775507032</v>
      </c>
      <c r="G405" t="str">
        <f t="shared" si="13"/>
        <v>9197779,16298769,0.000454580775507032</v>
      </c>
    </row>
    <row r="406" spans="1:7" x14ac:dyDescent="0.25">
      <c r="A406" s="1" t="s">
        <v>1375</v>
      </c>
      <c r="B406" s="1" t="s">
        <v>1310</v>
      </c>
      <c r="C406" s="1" t="s">
        <v>184</v>
      </c>
      <c r="D406" t="str">
        <f>IFERROR(VLOOKUP(A406,depara!A:B,2,0),A406)</f>
        <v>9197779</v>
      </c>
      <c r="E406">
        <f>VLOOKUP(B406,'inumos depara'!$A:$B,2,0)</f>
        <v>16298710</v>
      </c>
      <c r="F406" s="1" t="str">
        <f t="shared" si="12"/>
        <v>0.000543942808299013</v>
      </c>
      <c r="G406" t="str">
        <f t="shared" si="13"/>
        <v>9197779,16298710,0.000543942808299013</v>
      </c>
    </row>
    <row r="407" spans="1:7" x14ac:dyDescent="0.25">
      <c r="A407" s="1" t="s">
        <v>1375</v>
      </c>
      <c r="B407" s="1" t="s">
        <v>1387</v>
      </c>
      <c r="C407" s="1" t="s">
        <v>1388</v>
      </c>
      <c r="D407" t="str">
        <f>IFERROR(VLOOKUP(A407,depara!A:B,2,0),A407)</f>
        <v>9197779</v>
      </c>
      <c r="E407">
        <f>VLOOKUP(B407,'inumos depara'!$A:$B,2,0)</f>
        <v>16298770</v>
      </c>
      <c r="F407" s="1" t="str">
        <f t="shared" si="12"/>
        <v>1.02035900225348</v>
      </c>
      <c r="G407" t="str">
        <f t="shared" si="13"/>
        <v>9197779,16298770,1.02035900225348</v>
      </c>
    </row>
    <row r="408" spans="1:7" x14ac:dyDescent="0.25">
      <c r="A408" s="1" t="s">
        <v>1375</v>
      </c>
      <c r="B408" s="1" t="s">
        <v>1312</v>
      </c>
      <c r="C408" s="1" t="s">
        <v>185</v>
      </c>
      <c r="D408" t="str">
        <f>IFERROR(VLOOKUP(A408,depara!A:B,2,0),A408)</f>
        <v>9197779</v>
      </c>
      <c r="E408">
        <f>VLOOKUP(B408,'inumos depara'!$A:$B,2,0)</f>
        <v>16298712</v>
      </c>
      <c r="F408" s="1" t="str">
        <f t="shared" si="12"/>
        <v>0.02836273214702</v>
      </c>
      <c r="G408" t="str">
        <f t="shared" si="13"/>
        <v>9197779,16298712,0.02836273214702</v>
      </c>
    </row>
    <row r="409" spans="1:7" x14ac:dyDescent="0.25">
      <c r="A409" s="1" t="s">
        <v>1389</v>
      </c>
      <c r="B409" s="1" t="s">
        <v>186</v>
      </c>
      <c r="C409" s="1" t="s">
        <v>187</v>
      </c>
      <c r="D409" t="str">
        <f>IFERROR(VLOOKUP(A409,depara!A:B,2,0),A409)</f>
        <v>9197783</v>
      </c>
      <c r="E409">
        <f>VLOOKUP(B409,'inumos depara'!$A:$B,2,0)</f>
        <v>16298771</v>
      </c>
      <c r="F409" s="1" t="str">
        <f t="shared" si="12"/>
        <v>0.157103192966219</v>
      </c>
      <c r="G409" t="str">
        <f t="shared" si="13"/>
        <v>9197783,16298771,0.157103192966219</v>
      </c>
    </row>
    <row r="410" spans="1:7" x14ac:dyDescent="0.25">
      <c r="A410" s="1" t="s">
        <v>1389</v>
      </c>
      <c r="B410" s="1" t="s">
        <v>1367</v>
      </c>
      <c r="C410" s="1" t="s">
        <v>1390</v>
      </c>
      <c r="D410" t="str">
        <f>IFERROR(VLOOKUP(A410,depara!A:B,2,0),A410)</f>
        <v>9197783</v>
      </c>
      <c r="E410">
        <f>VLOOKUP(B410,'inumos depara'!$A:$B,2,0)</f>
        <v>16298755</v>
      </c>
      <c r="F410" s="1" t="str">
        <f t="shared" si="12"/>
        <v>1.06830643897854</v>
      </c>
      <c r="G410" t="str">
        <f t="shared" si="13"/>
        <v>9197783,16298755,1.06830643897854</v>
      </c>
    </row>
    <row r="411" spans="1:7" x14ac:dyDescent="0.25">
      <c r="A411" s="1" t="s">
        <v>1389</v>
      </c>
      <c r="B411" s="1" t="s">
        <v>98</v>
      </c>
      <c r="C411" s="1" t="s">
        <v>1391</v>
      </c>
      <c r="D411" t="str">
        <f>IFERROR(VLOOKUP(A411,depara!A:B,2,0),A411)</f>
        <v>9197783</v>
      </c>
      <c r="E411">
        <f>VLOOKUP(B411,'inumos depara'!$A:$B,2,0)</f>
        <v>16298690</v>
      </c>
      <c r="F411" s="1" t="str">
        <f t="shared" si="12"/>
        <v>1.05182785747339</v>
      </c>
      <c r="G411" t="str">
        <f t="shared" si="13"/>
        <v>9197783,16298690,1.05182785747339</v>
      </c>
    </row>
    <row r="412" spans="1:7" x14ac:dyDescent="0.25">
      <c r="A412" s="1" t="s">
        <v>1389</v>
      </c>
      <c r="B412" s="1" t="s">
        <v>1392</v>
      </c>
      <c r="C412" s="1" t="s">
        <v>1393</v>
      </c>
      <c r="D412" t="str">
        <f>IFERROR(VLOOKUP(A412,depara!A:B,2,0),A412)</f>
        <v>9197783</v>
      </c>
      <c r="E412">
        <f>VLOOKUP(B412,'inumos depara'!$A:$B,2,0)</f>
        <v>16298772</v>
      </c>
      <c r="F412" s="1" t="str">
        <f t="shared" si="12"/>
        <v>1.115070183557</v>
      </c>
      <c r="G412" t="str">
        <f t="shared" si="13"/>
        <v>9197783,16298772,1.115070183557</v>
      </c>
    </row>
    <row r="413" spans="1:7" x14ac:dyDescent="0.25">
      <c r="A413" s="1" t="s">
        <v>1389</v>
      </c>
      <c r="B413" s="1" t="s">
        <v>1394</v>
      </c>
      <c r="C413" s="1" t="s">
        <v>1393</v>
      </c>
      <c r="D413" t="str">
        <f>IFERROR(VLOOKUP(A413,depara!A:B,2,0),A413)</f>
        <v>9197783</v>
      </c>
      <c r="E413">
        <f>VLOOKUP(B413,'inumos depara'!$A:$B,2,0)</f>
        <v>16298773</v>
      </c>
      <c r="F413" s="1" t="str">
        <f t="shared" si="12"/>
        <v>1.115070183557</v>
      </c>
      <c r="G413" t="str">
        <f t="shared" si="13"/>
        <v>9197783,16298773,1.115070183557</v>
      </c>
    </row>
    <row r="414" spans="1:7" x14ac:dyDescent="0.25">
      <c r="A414" s="1" t="s">
        <v>1389</v>
      </c>
      <c r="B414" s="1" t="s">
        <v>1287</v>
      </c>
      <c r="C414" s="1" t="s">
        <v>1393</v>
      </c>
      <c r="D414" t="str">
        <f>IFERROR(VLOOKUP(A414,depara!A:B,2,0),A414)</f>
        <v>9197783</v>
      </c>
      <c r="E414">
        <f>VLOOKUP(B414,'inumos depara'!$A:$B,2,0)</f>
        <v>16298691</v>
      </c>
      <c r="F414" s="1" t="str">
        <f t="shared" si="12"/>
        <v>1.115070183557</v>
      </c>
      <c r="G414" t="str">
        <f t="shared" si="13"/>
        <v>9197783,16298691,1.115070183557</v>
      </c>
    </row>
    <row r="415" spans="1:7" x14ac:dyDescent="0.25">
      <c r="A415" s="1" t="s">
        <v>1389</v>
      </c>
      <c r="B415" s="1" t="s">
        <v>1288</v>
      </c>
      <c r="C415" s="1" t="s">
        <v>188</v>
      </c>
      <c r="D415" t="str">
        <f>IFERROR(VLOOKUP(A415,depara!A:B,2,0),A415)</f>
        <v>9197783</v>
      </c>
      <c r="E415">
        <f>VLOOKUP(B415,'inumos depara'!$A:$B,2,0)</f>
        <v>16298692</v>
      </c>
      <c r="F415" s="1" t="str">
        <f t="shared" si="12"/>
        <v>0.0657103192966219</v>
      </c>
      <c r="G415" t="str">
        <f t="shared" si="13"/>
        <v>9197783,16298692,0.0657103192966219</v>
      </c>
    </row>
    <row r="416" spans="1:7" x14ac:dyDescent="0.25">
      <c r="A416" s="1" t="s">
        <v>1395</v>
      </c>
      <c r="B416" s="1" t="s">
        <v>1143</v>
      </c>
      <c r="C416" s="1" t="s">
        <v>189</v>
      </c>
      <c r="D416" t="str">
        <f>IFERROR(VLOOKUP(A416,depara!A:B,2,0),A416)</f>
        <v>9197879</v>
      </c>
      <c r="E416">
        <f>VLOOKUP(B416,'inumos depara'!$A:$B,2,0)</f>
        <v>16298774</v>
      </c>
      <c r="F416" s="1" t="str">
        <f t="shared" si="12"/>
        <v>0.250283058220607</v>
      </c>
      <c r="G416" t="str">
        <f t="shared" si="13"/>
        <v>9197879,16298774,0.250283058220607</v>
      </c>
    </row>
    <row r="417" spans="1:7" x14ac:dyDescent="0.25">
      <c r="A417" s="1" t="s">
        <v>1395</v>
      </c>
      <c r="B417" s="1" t="s">
        <v>1396</v>
      </c>
      <c r="C417" s="1" t="s">
        <v>1150</v>
      </c>
      <c r="D417" t="str">
        <f>IFERROR(VLOOKUP(A417,depara!A:B,2,0),A417)</f>
        <v>9197879</v>
      </c>
      <c r="E417">
        <f>VLOOKUP(B417,'inumos depara'!$A:$B,2,0)</f>
        <v>16298775</v>
      </c>
      <c r="F417" s="1" t="str">
        <f t="shared" si="12"/>
        <v>1</v>
      </c>
      <c r="G417" t="str">
        <f t="shared" si="13"/>
        <v>9197879,16298775,1</v>
      </c>
    </row>
    <row r="418" spans="1:7" x14ac:dyDescent="0.25">
      <c r="A418" s="1" t="s">
        <v>1395</v>
      </c>
      <c r="B418" s="1" t="s">
        <v>1397</v>
      </c>
      <c r="C418" s="1" t="s">
        <v>1398</v>
      </c>
      <c r="D418" t="str">
        <f>IFERROR(VLOOKUP(A418,depara!A:B,2,0),A418)</f>
        <v>9197879</v>
      </c>
      <c r="E418">
        <f>VLOOKUP(B418,'inumos depara'!$A:$B,2,0)</f>
        <v>16298776</v>
      </c>
      <c r="F418" s="1" t="str">
        <f t="shared" si="12"/>
        <v>1.06000834276861</v>
      </c>
      <c r="G418" t="str">
        <f t="shared" si="13"/>
        <v>9197879,16298776,1.06000834276861</v>
      </c>
    </row>
    <row r="419" spans="1:7" x14ac:dyDescent="0.25">
      <c r="A419" s="1" t="s">
        <v>1395</v>
      </c>
      <c r="B419" s="1" t="s">
        <v>1399</v>
      </c>
      <c r="C419" s="1" t="s">
        <v>1398</v>
      </c>
      <c r="D419" t="str">
        <f>IFERROR(VLOOKUP(A419,depara!A:B,2,0),A419)</f>
        <v>9197879</v>
      </c>
      <c r="E419">
        <f>VLOOKUP(B419,'inumos depara'!$A:$B,2,0)</f>
        <v>16298777</v>
      </c>
      <c r="F419" s="1" t="str">
        <f t="shared" si="12"/>
        <v>1.06000834276861</v>
      </c>
      <c r="G419" t="str">
        <f t="shared" si="13"/>
        <v>9197879,16298777,1.06000834276861</v>
      </c>
    </row>
    <row r="420" spans="1:7" x14ac:dyDescent="0.25">
      <c r="A420" s="1" t="s">
        <v>1395</v>
      </c>
      <c r="B420" s="1" t="s">
        <v>1400</v>
      </c>
      <c r="C420" s="1" t="s">
        <v>1150</v>
      </c>
      <c r="D420" t="str">
        <f>IFERROR(VLOOKUP(A420,depara!A:B,2,0),A420)</f>
        <v>9197879</v>
      </c>
      <c r="E420">
        <f>VLOOKUP(B420,'inumos depara'!$A:$B,2,0)</f>
        <v>16298778</v>
      </c>
      <c r="F420" s="1" t="str">
        <f t="shared" si="12"/>
        <v>1</v>
      </c>
      <c r="G420" t="str">
        <f t="shared" si="13"/>
        <v>9197879,16298778,1</v>
      </c>
    </row>
    <row r="421" spans="1:7" x14ac:dyDescent="0.25">
      <c r="A421" s="1" t="s">
        <v>1395</v>
      </c>
      <c r="B421" s="1" t="s">
        <v>1287</v>
      </c>
      <c r="C421" s="1" t="s">
        <v>1401</v>
      </c>
      <c r="D421" t="str">
        <f>IFERROR(VLOOKUP(A421,depara!A:B,2,0),A421)</f>
        <v>9197879</v>
      </c>
      <c r="E421">
        <f>VLOOKUP(B421,'inumos depara'!$A:$B,2,0)</f>
        <v>16298691</v>
      </c>
      <c r="F421" s="1" t="str">
        <f t="shared" si="12"/>
        <v>1.02002264465765</v>
      </c>
      <c r="G421" t="str">
        <f t="shared" si="13"/>
        <v>9197879,16298691,1.02002264465765</v>
      </c>
    </row>
    <row r="422" spans="1:7" x14ac:dyDescent="0.25">
      <c r="A422" s="1" t="s">
        <v>1395</v>
      </c>
      <c r="B422" s="1" t="s">
        <v>1295</v>
      </c>
      <c r="C422" s="1" t="s">
        <v>190</v>
      </c>
      <c r="D422" t="str">
        <f>IFERROR(VLOOKUP(A422,depara!A:B,2,0),A422)</f>
        <v>9197879</v>
      </c>
      <c r="E422">
        <f>VLOOKUP(B422,'inumos depara'!$A:$B,2,0)</f>
        <v>16298697</v>
      </c>
      <c r="F422" s="1" t="str">
        <f t="shared" si="12"/>
        <v>0.0625111733508134</v>
      </c>
      <c r="G422" t="str">
        <f t="shared" si="13"/>
        <v>9197879,16298697,0.0625111733508134</v>
      </c>
    </row>
    <row r="423" spans="1:7" x14ac:dyDescent="0.25">
      <c r="A423" s="1" t="s">
        <v>1402</v>
      </c>
      <c r="B423" s="1" t="s">
        <v>1143</v>
      </c>
      <c r="C423" s="1" t="s">
        <v>191</v>
      </c>
      <c r="D423" t="str">
        <f>IFERROR(VLOOKUP(A423,depara!A:B,2,0),A423)</f>
        <v>9197880</v>
      </c>
      <c r="E423">
        <f>VLOOKUP(B423,'inumos depara'!$A:$B,2,0)</f>
        <v>16298774</v>
      </c>
      <c r="F423" s="1" t="str">
        <f t="shared" si="12"/>
        <v>0.063</v>
      </c>
      <c r="G423" t="str">
        <f t="shared" si="13"/>
        <v>9197880,16298774,0.063</v>
      </c>
    </row>
    <row r="424" spans="1:7" x14ac:dyDescent="0.25">
      <c r="A424" s="1" t="s">
        <v>1402</v>
      </c>
      <c r="B424" s="1" t="s">
        <v>1403</v>
      </c>
      <c r="C424" s="1" t="s">
        <v>1404</v>
      </c>
      <c r="D424" t="str">
        <f>IFERROR(VLOOKUP(A424,depara!A:B,2,0),A424)</f>
        <v>9197880</v>
      </c>
      <c r="E424">
        <f>VLOOKUP(B424,'inumos depara'!$A:$B,2,0)</f>
        <v>16298779</v>
      </c>
      <c r="F424" s="1" t="str">
        <f t="shared" si="12"/>
        <v>1.04533333333333</v>
      </c>
      <c r="G424" t="str">
        <f t="shared" si="13"/>
        <v>9197880,16298779,1.04533333333333</v>
      </c>
    </row>
    <row r="425" spans="1:7" x14ac:dyDescent="0.25">
      <c r="A425" s="1" t="s">
        <v>1402</v>
      </c>
      <c r="B425" s="1" t="s">
        <v>1405</v>
      </c>
      <c r="C425" s="1" t="s">
        <v>1406</v>
      </c>
      <c r="D425" t="str">
        <f>IFERROR(VLOOKUP(A425,depara!A:B,2,0),A425)</f>
        <v>9197880</v>
      </c>
      <c r="E425">
        <f>VLOOKUP(B425,'inumos depara'!$A:$B,2,0)</f>
        <v>16298780</v>
      </c>
      <c r="F425" s="1" t="str">
        <f t="shared" si="12"/>
        <v>1.09093333333333</v>
      </c>
      <c r="G425" t="str">
        <f t="shared" si="13"/>
        <v>9197880,16298780,1.09093333333333</v>
      </c>
    </row>
    <row r="426" spans="1:7" x14ac:dyDescent="0.25">
      <c r="A426" s="1" t="s">
        <v>1402</v>
      </c>
      <c r="B426" s="1" t="s">
        <v>1407</v>
      </c>
      <c r="C426" s="1" t="s">
        <v>1406</v>
      </c>
      <c r="D426" t="str">
        <f>IFERROR(VLOOKUP(A426,depara!A:B,2,0),A426)</f>
        <v>9197880</v>
      </c>
      <c r="E426">
        <f>VLOOKUP(B426,'inumos depara'!$A:$B,2,0)</f>
        <v>16298781</v>
      </c>
      <c r="F426" s="1" t="str">
        <f t="shared" si="12"/>
        <v>1.09093333333333</v>
      </c>
      <c r="G426" t="str">
        <f t="shared" si="13"/>
        <v>9197880,16298781,1.09093333333333</v>
      </c>
    </row>
    <row r="427" spans="1:7" x14ac:dyDescent="0.25">
      <c r="A427" s="1" t="s">
        <v>1402</v>
      </c>
      <c r="B427" s="1" t="s">
        <v>1408</v>
      </c>
      <c r="C427" s="1" t="s">
        <v>1404</v>
      </c>
      <c r="D427" t="str">
        <f>IFERROR(VLOOKUP(A427,depara!A:B,2,0),A427)</f>
        <v>9197880</v>
      </c>
      <c r="E427">
        <f>VLOOKUP(B427,'inumos depara'!$A:$B,2,0)</f>
        <v>16298782</v>
      </c>
      <c r="F427" s="1" t="str">
        <f t="shared" si="12"/>
        <v>1.04533333333333</v>
      </c>
      <c r="G427" t="str">
        <f t="shared" si="13"/>
        <v>9197880,16298782,1.04533333333333</v>
      </c>
    </row>
    <row r="428" spans="1:7" x14ac:dyDescent="0.25">
      <c r="A428" s="1" t="s">
        <v>1402</v>
      </c>
      <c r="B428" s="1" t="s">
        <v>192</v>
      </c>
      <c r="C428" s="1" t="s">
        <v>1150</v>
      </c>
      <c r="D428" t="str">
        <f>IFERROR(VLOOKUP(A428,depara!A:B,2,0),A428)</f>
        <v>9197880</v>
      </c>
      <c r="E428">
        <f>VLOOKUP(B428,'inumos depara'!$A:$B,2,0)</f>
        <v>16298783</v>
      </c>
      <c r="F428" s="1" t="str">
        <f t="shared" si="12"/>
        <v>1</v>
      </c>
      <c r="G428" t="str">
        <f t="shared" si="13"/>
        <v>9197880,16298783,1</v>
      </c>
    </row>
    <row r="429" spans="1:7" x14ac:dyDescent="0.25">
      <c r="A429" s="1" t="s">
        <v>1409</v>
      </c>
      <c r="B429" s="1" t="s">
        <v>193</v>
      </c>
      <c r="C429" s="1" t="s">
        <v>97</v>
      </c>
      <c r="D429" t="str">
        <f>IFERROR(VLOOKUP(A429,depara!A:B,2,0),A429)</f>
        <v>9197882</v>
      </c>
      <c r="E429">
        <f>VLOOKUP(B429,'inumos depara'!$A:$B,2,0)</f>
        <v>16298784</v>
      </c>
      <c r="F429" s="1" t="str">
        <f t="shared" si="12"/>
        <v>0.155607048278672</v>
      </c>
      <c r="G429" t="str">
        <f t="shared" si="13"/>
        <v>9197882,16298784,0.155607048278672</v>
      </c>
    </row>
    <row r="430" spans="1:7" x14ac:dyDescent="0.25">
      <c r="A430" s="1" t="s">
        <v>1409</v>
      </c>
      <c r="B430" s="1" t="s">
        <v>1367</v>
      </c>
      <c r="C430" s="1" t="s">
        <v>1283</v>
      </c>
      <c r="D430" t="str">
        <f>IFERROR(VLOOKUP(A430,depara!A:B,2,0),A430)</f>
        <v>9197882</v>
      </c>
      <c r="E430">
        <f>VLOOKUP(B430,'inumos depara'!$A:$B,2,0)</f>
        <v>16298755</v>
      </c>
      <c r="F430" s="1" t="str">
        <f t="shared" si="12"/>
        <v>1.05199633326543</v>
      </c>
      <c r="G430" t="str">
        <f t="shared" si="13"/>
        <v>9197882,16298755,1.05199633326543</v>
      </c>
    </row>
    <row r="431" spans="1:7" x14ac:dyDescent="0.25">
      <c r="A431" s="1" t="s">
        <v>1409</v>
      </c>
      <c r="B431" s="1" t="s">
        <v>98</v>
      </c>
      <c r="C431" s="1" t="s">
        <v>1283</v>
      </c>
      <c r="D431" t="str">
        <f>IFERROR(VLOOKUP(A431,depara!A:B,2,0),A431)</f>
        <v>9197882</v>
      </c>
      <c r="E431">
        <f>VLOOKUP(B431,'inumos depara'!$A:$B,2,0)</f>
        <v>16298690</v>
      </c>
      <c r="F431" s="1" t="str">
        <f t="shared" si="12"/>
        <v>1.05199633326543</v>
      </c>
      <c r="G431" t="str">
        <f t="shared" si="13"/>
        <v>9197882,16298690,1.05199633326543</v>
      </c>
    </row>
    <row r="432" spans="1:7" x14ac:dyDescent="0.25">
      <c r="A432" s="1" t="s">
        <v>1409</v>
      </c>
      <c r="B432" s="1" t="s">
        <v>194</v>
      </c>
      <c r="C432" s="1" t="s">
        <v>1285</v>
      </c>
      <c r="D432" t="str">
        <f>IFERROR(VLOOKUP(A432,depara!A:B,2,0),A432)</f>
        <v>9197882</v>
      </c>
      <c r="E432">
        <f>VLOOKUP(B432,'inumos depara'!$A:$B,2,0)</f>
        <v>16298785</v>
      </c>
      <c r="F432" s="1" t="str">
        <f t="shared" si="12"/>
        <v>1.11509472397637</v>
      </c>
      <c r="G432" t="str">
        <f t="shared" si="13"/>
        <v>9197882,16298785,1.11509472397637</v>
      </c>
    </row>
    <row r="433" spans="1:7" x14ac:dyDescent="0.25">
      <c r="A433" s="1" t="s">
        <v>1409</v>
      </c>
      <c r="B433" s="1" t="s">
        <v>195</v>
      </c>
      <c r="C433" s="1" t="s">
        <v>1285</v>
      </c>
      <c r="D433" t="str">
        <f>IFERROR(VLOOKUP(A433,depara!A:B,2,0),A433)</f>
        <v>9197882</v>
      </c>
      <c r="E433">
        <f>VLOOKUP(B433,'inumos depara'!$A:$B,2,0)</f>
        <v>16298786</v>
      </c>
      <c r="F433" s="1" t="str">
        <f t="shared" si="12"/>
        <v>1.11509472397637</v>
      </c>
      <c r="G433" t="str">
        <f t="shared" si="13"/>
        <v>9197882,16298786,1.11509472397637</v>
      </c>
    </row>
    <row r="434" spans="1:7" x14ac:dyDescent="0.25">
      <c r="A434" s="1" t="s">
        <v>1409</v>
      </c>
      <c r="B434" s="1" t="s">
        <v>1287</v>
      </c>
      <c r="C434" s="1" t="s">
        <v>1285</v>
      </c>
      <c r="D434" t="str">
        <f>IFERROR(VLOOKUP(A434,depara!A:B,2,0),A434)</f>
        <v>9197882</v>
      </c>
      <c r="E434">
        <f>VLOOKUP(B434,'inumos depara'!$A:$B,2,0)</f>
        <v>16298691</v>
      </c>
      <c r="F434" s="1" t="str">
        <f t="shared" si="12"/>
        <v>1.11509472397637</v>
      </c>
      <c r="G434" t="str">
        <f t="shared" si="13"/>
        <v>9197882,16298691,1.11509472397637</v>
      </c>
    </row>
    <row r="435" spans="1:7" x14ac:dyDescent="0.25">
      <c r="A435" s="1" t="s">
        <v>1409</v>
      </c>
      <c r="B435" s="1" t="s">
        <v>1288</v>
      </c>
      <c r="C435" s="1" t="s">
        <v>99</v>
      </c>
      <c r="D435" t="str">
        <f>IFERROR(VLOOKUP(A435,depara!A:B,2,0),A435)</f>
        <v>9197882</v>
      </c>
      <c r="E435">
        <f>VLOOKUP(B435,'inumos depara'!$A:$B,2,0)</f>
        <v>16298692</v>
      </c>
      <c r="F435" s="1" t="str">
        <f t="shared" si="12"/>
        <v>0.0657465878997759</v>
      </c>
      <c r="G435" t="str">
        <f t="shared" si="13"/>
        <v>9197882,16298692,0.0657465878997759</v>
      </c>
    </row>
    <row r="436" spans="1:7" x14ac:dyDescent="0.25">
      <c r="A436" s="1" t="s">
        <v>1410</v>
      </c>
      <c r="B436" s="1" t="s">
        <v>193</v>
      </c>
      <c r="C436" s="1" t="s">
        <v>196</v>
      </c>
      <c r="D436" t="str">
        <f>IFERROR(VLOOKUP(A436,depara!A:B,2,0),A436)</f>
        <v>9197883</v>
      </c>
      <c r="E436">
        <f>VLOOKUP(B436,'inumos depara'!$A:$B,2,0)</f>
        <v>16298784</v>
      </c>
      <c r="F436" s="1" t="str">
        <f t="shared" si="12"/>
        <v>0.0673165895571712</v>
      </c>
      <c r="G436" t="str">
        <f t="shared" si="13"/>
        <v>9197883,16298784,0.0673165895571712</v>
      </c>
    </row>
    <row r="437" spans="1:7" x14ac:dyDescent="0.25">
      <c r="A437" s="1" t="s">
        <v>1410</v>
      </c>
      <c r="B437" s="1" t="s">
        <v>197</v>
      </c>
      <c r="C437" s="1" t="s">
        <v>1411</v>
      </c>
      <c r="D437" t="str">
        <f>IFERROR(VLOOKUP(A437,depara!A:B,2,0),A437)</f>
        <v>9197883</v>
      </c>
      <c r="E437">
        <f>VLOOKUP(B437,'inumos depara'!$A:$B,2,0)</f>
        <v>16298787</v>
      </c>
      <c r="F437" s="1" t="str">
        <f t="shared" si="12"/>
        <v>1.05194976867151</v>
      </c>
      <c r="G437" t="str">
        <f t="shared" si="13"/>
        <v>9197883,16298787,1.05194976867151</v>
      </c>
    </row>
    <row r="438" spans="1:7" x14ac:dyDescent="0.25">
      <c r="A438" s="1" t="s">
        <v>1410</v>
      </c>
      <c r="B438" s="1" t="s">
        <v>1280</v>
      </c>
      <c r="C438" s="1" t="s">
        <v>198</v>
      </c>
      <c r="D438" t="str">
        <f>IFERROR(VLOOKUP(A438,depara!A:B,2,0),A438)</f>
        <v>9197883</v>
      </c>
      <c r="E438">
        <f>VLOOKUP(B438,'inumos depara'!$A:$B,2,0)</f>
        <v>16298685</v>
      </c>
      <c r="F438" s="1" t="str">
        <f t="shared" si="12"/>
        <v>0.0657633840052875</v>
      </c>
      <c r="G438" t="str">
        <f t="shared" si="13"/>
        <v>9197883,16298685,0.0657633840052875</v>
      </c>
    </row>
    <row r="439" spans="1:7" x14ac:dyDescent="0.25">
      <c r="A439" s="1" t="s">
        <v>1412</v>
      </c>
      <c r="B439" s="1" t="s">
        <v>1400</v>
      </c>
      <c r="C439" s="1" t="s">
        <v>1150</v>
      </c>
      <c r="D439" t="str">
        <f>IFERROR(VLOOKUP(A439,depara!A:B,2,0),A439)</f>
        <v>9197885</v>
      </c>
      <c r="E439">
        <f>VLOOKUP(B439,'inumos depara'!$A:$B,2,0)</f>
        <v>16298778</v>
      </c>
      <c r="F439" s="1" t="str">
        <f t="shared" si="12"/>
        <v>1</v>
      </c>
      <c r="G439" t="str">
        <f t="shared" si="13"/>
        <v>9197885,16298778,1</v>
      </c>
    </row>
    <row r="440" spans="1:7" x14ac:dyDescent="0.25">
      <c r="A440" s="1" t="s">
        <v>1412</v>
      </c>
      <c r="B440" s="1" t="s">
        <v>1396</v>
      </c>
      <c r="C440" s="1" t="s">
        <v>1150</v>
      </c>
      <c r="D440" t="str">
        <f>IFERROR(VLOOKUP(A440,depara!A:B,2,0),A440)</f>
        <v>9197885</v>
      </c>
      <c r="E440">
        <f>VLOOKUP(B440,'inumos depara'!$A:$B,2,0)</f>
        <v>16298775</v>
      </c>
      <c r="F440" s="1" t="str">
        <f t="shared" si="12"/>
        <v>1</v>
      </c>
      <c r="G440" t="str">
        <f t="shared" si="13"/>
        <v>9197885,16298775,1</v>
      </c>
    </row>
    <row r="441" spans="1:7" x14ac:dyDescent="0.25">
      <c r="A441" s="1" t="s">
        <v>1412</v>
      </c>
      <c r="B441" s="1" t="s">
        <v>1413</v>
      </c>
      <c r="C441" s="1" t="s">
        <v>1398</v>
      </c>
      <c r="D441" t="str">
        <f>IFERROR(VLOOKUP(A441,depara!A:B,2,0),A441)</f>
        <v>9197885</v>
      </c>
      <c r="E441">
        <f>VLOOKUP(B441,'inumos depara'!$A:$B,2,0)</f>
        <v>16298788</v>
      </c>
      <c r="F441" s="1" t="str">
        <f t="shared" si="12"/>
        <v>1.06000834276861</v>
      </c>
      <c r="G441" t="str">
        <f t="shared" si="13"/>
        <v>9197885,16298788,1.06000834276861</v>
      </c>
    </row>
    <row r="442" spans="1:7" x14ac:dyDescent="0.25">
      <c r="A442" s="1" t="s">
        <v>1412</v>
      </c>
      <c r="B442" s="1" t="s">
        <v>1414</v>
      </c>
      <c r="C442" s="1" t="s">
        <v>1398</v>
      </c>
      <c r="D442" t="str">
        <f>IFERROR(VLOOKUP(A442,depara!A:B,2,0),A442)</f>
        <v>9197885</v>
      </c>
      <c r="E442">
        <f>VLOOKUP(B442,'inumos depara'!$A:$B,2,0)</f>
        <v>16298789</v>
      </c>
      <c r="F442" s="1" t="str">
        <f t="shared" si="12"/>
        <v>1.06000834276861</v>
      </c>
      <c r="G442" t="str">
        <f t="shared" si="13"/>
        <v>9197885,16298789,1.06000834276861</v>
      </c>
    </row>
    <row r="443" spans="1:7" x14ac:dyDescent="0.25">
      <c r="A443" s="1" t="s">
        <v>1412</v>
      </c>
      <c r="B443" s="1" t="s">
        <v>1295</v>
      </c>
      <c r="C443" s="1" t="s">
        <v>190</v>
      </c>
      <c r="D443" t="str">
        <f>IFERROR(VLOOKUP(A443,depara!A:B,2,0),A443)</f>
        <v>9197885</v>
      </c>
      <c r="E443">
        <f>VLOOKUP(B443,'inumos depara'!$A:$B,2,0)</f>
        <v>16298697</v>
      </c>
      <c r="F443" s="1" t="str">
        <f t="shared" si="12"/>
        <v>0.0625111733508134</v>
      </c>
      <c r="G443" t="str">
        <f t="shared" si="13"/>
        <v>9197885,16298697,0.0625111733508134</v>
      </c>
    </row>
    <row r="444" spans="1:7" x14ac:dyDescent="0.25">
      <c r="A444" s="1" t="s">
        <v>1412</v>
      </c>
      <c r="B444" s="1" t="s">
        <v>1287</v>
      </c>
      <c r="C444" s="1" t="s">
        <v>1401</v>
      </c>
      <c r="D444" t="str">
        <f>IFERROR(VLOOKUP(A444,depara!A:B,2,0),A444)</f>
        <v>9197885</v>
      </c>
      <c r="E444">
        <f>VLOOKUP(B444,'inumos depara'!$A:$B,2,0)</f>
        <v>16298691</v>
      </c>
      <c r="F444" s="1" t="str">
        <f t="shared" si="12"/>
        <v>1.02002264465765</v>
      </c>
      <c r="G444" t="str">
        <f t="shared" si="13"/>
        <v>9197885,16298691,1.02002264465765</v>
      </c>
    </row>
    <row r="445" spans="1:7" x14ac:dyDescent="0.25">
      <c r="A445" s="1" t="s">
        <v>1412</v>
      </c>
      <c r="B445" s="1" t="s">
        <v>1162</v>
      </c>
      <c r="C445" s="1" t="s">
        <v>189</v>
      </c>
      <c r="D445" t="str">
        <f>IFERROR(VLOOKUP(A445,depara!A:B,2,0),A445)</f>
        <v>9197885</v>
      </c>
      <c r="E445">
        <f>VLOOKUP(B445,'inumos depara'!$A:$B,2,0)</f>
        <v>16298790</v>
      </c>
      <c r="F445" s="1" t="str">
        <f t="shared" si="12"/>
        <v>0.250283058220607</v>
      </c>
      <c r="G445" t="str">
        <f t="shared" si="13"/>
        <v>9197885,16298790,0.250283058220607</v>
      </c>
    </row>
    <row r="446" spans="1:7" x14ac:dyDescent="0.25">
      <c r="A446" s="1" t="s">
        <v>1415</v>
      </c>
      <c r="B446" s="1" t="s">
        <v>1416</v>
      </c>
      <c r="C446" s="1" t="s">
        <v>1417</v>
      </c>
      <c r="D446" t="str">
        <f>IFERROR(VLOOKUP(A446,depara!A:B,2,0),A446)</f>
        <v>9199201</v>
      </c>
      <c r="E446">
        <f>VLOOKUP(B446,'inumos depara'!$A:$B,2,0)</f>
        <v>16298791</v>
      </c>
      <c r="F446" s="1" t="str">
        <f t="shared" si="12"/>
        <v>1.05002987669075</v>
      </c>
      <c r="G446" t="str">
        <f t="shared" si="13"/>
        <v>9199201,16298791,1.05002987669075</v>
      </c>
    </row>
    <row r="447" spans="1:7" x14ac:dyDescent="0.25">
      <c r="A447" s="1" t="s">
        <v>1415</v>
      </c>
      <c r="B447" s="1" t="s">
        <v>1418</v>
      </c>
      <c r="C447" s="1" t="s">
        <v>1419</v>
      </c>
      <c r="D447" t="str">
        <f>IFERROR(VLOOKUP(A447,depara!A:B,2,0),A447)</f>
        <v>9199201</v>
      </c>
      <c r="E447">
        <f>VLOOKUP(B447,'inumos depara'!$A:$B,2,0)</f>
        <v>16298792</v>
      </c>
      <c r="F447" s="1" t="str">
        <f t="shared" si="12"/>
        <v>1.00499755554348</v>
      </c>
      <c r="G447" t="str">
        <f t="shared" si="13"/>
        <v>9199201,16298792,1.00499755554348</v>
      </c>
    </row>
    <row r="448" spans="1:7" x14ac:dyDescent="0.25">
      <c r="A448" s="1" t="s">
        <v>1415</v>
      </c>
      <c r="B448" s="1" t="s">
        <v>1301</v>
      </c>
      <c r="C448" s="1" t="s">
        <v>199</v>
      </c>
      <c r="D448" t="str">
        <f>IFERROR(VLOOKUP(A448,depara!A:B,2,0),A448)</f>
        <v>9199201</v>
      </c>
      <c r="E448">
        <f>VLOOKUP(B448,'inumos depara'!$A:$B,2,0)</f>
        <v>16298703</v>
      </c>
      <c r="F448" s="1" t="str">
        <f t="shared" si="12"/>
        <v>0.0625237655494595</v>
      </c>
      <c r="G448" t="str">
        <f t="shared" si="13"/>
        <v>9199201,16298703,0.0625237655494595</v>
      </c>
    </row>
    <row r="449" spans="1:7" x14ac:dyDescent="0.25">
      <c r="A449" s="1" t="s">
        <v>1415</v>
      </c>
      <c r="B449" s="1" t="s">
        <v>1259</v>
      </c>
      <c r="C449" s="1" t="s">
        <v>200</v>
      </c>
      <c r="D449" t="str">
        <f>IFERROR(VLOOKUP(A449,depara!A:B,2,0),A449)</f>
        <v>9199201</v>
      </c>
      <c r="E449">
        <f>VLOOKUP(B449,'inumos depara'!$A:$B,2,0)</f>
        <v>16298793</v>
      </c>
      <c r="F449" s="1" t="str">
        <f t="shared" si="12"/>
        <v>0.0553261991417242</v>
      </c>
      <c r="G449" t="str">
        <f t="shared" si="13"/>
        <v>9199201,16298793,0.0553261991417242</v>
      </c>
    </row>
    <row r="450" spans="1:7" x14ac:dyDescent="0.25">
      <c r="A450" s="1" t="s">
        <v>1420</v>
      </c>
      <c r="B450" s="1" t="s">
        <v>1421</v>
      </c>
      <c r="C450" s="1" t="s">
        <v>1422</v>
      </c>
      <c r="D450" t="str">
        <f>IFERROR(VLOOKUP(A450,depara!A:B,2,0),A450)</f>
        <v>9199202</v>
      </c>
      <c r="E450">
        <f>VLOOKUP(B450,'inumos depara'!$A:$B,2,0)</f>
        <v>16298794</v>
      </c>
      <c r="F450" s="1" t="str">
        <f t="shared" ref="F450:F513" si="14">C450</f>
        <v>1.05557716889902</v>
      </c>
      <c r="G450" t="str">
        <f t="shared" ref="G450:G513" si="15">D450&amp;","&amp;E450&amp;","&amp;F450</f>
        <v>9199202,16298794,1.05557716889902</v>
      </c>
    </row>
    <row r="451" spans="1:7" x14ac:dyDescent="0.25">
      <c r="A451" s="1" t="s">
        <v>1420</v>
      </c>
      <c r="B451" s="1" t="s">
        <v>1423</v>
      </c>
      <c r="C451" s="1" t="s">
        <v>1424</v>
      </c>
      <c r="D451" t="str">
        <f>IFERROR(VLOOKUP(A451,depara!A:B,2,0),A451)</f>
        <v>9199202</v>
      </c>
      <c r="E451">
        <f>VLOOKUP(B451,'inumos depara'!$A:$B,2,0)</f>
        <v>16298795</v>
      </c>
      <c r="F451" s="1" t="str">
        <f t="shared" si="14"/>
        <v>1.00500194520091</v>
      </c>
      <c r="G451" t="str">
        <f t="shared" si="15"/>
        <v>9199202,16298795,1.00500194520091</v>
      </c>
    </row>
    <row r="452" spans="1:7" x14ac:dyDescent="0.25">
      <c r="A452" s="1" t="s">
        <v>1420</v>
      </c>
      <c r="B452" s="1" t="s">
        <v>1301</v>
      </c>
      <c r="C452" s="1" t="s">
        <v>201</v>
      </c>
      <c r="D452" t="str">
        <f>IFERROR(VLOOKUP(A452,depara!A:B,2,0),A452)</f>
        <v>9199202</v>
      </c>
      <c r="E452">
        <f>VLOOKUP(B452,'inumos depara'!$A:$B,2,0)</f>
        <v>16298703</v>
      </c>
      <c r="F452" s="1" t="str">
        <f t="shared" si="14"/>
        <v>0.0625243150113933</v>
      </c>
      <c r="G452" t="str">
        <f t="shared" si="15"/>
        <v>9199202,16298703,0.0625243150113933</v>
      </c>
    </row>
    <row r="453" spans="1:7" x14ac:dyDescent="0.25">
      <c r="A453" s="1" t="s">
        <v>1420</v>
      </c>
      <c r="B453" s="1" t="s">
        <v>1241</v>
      </c>
      <c r="C453" s="1" t="s">
        <v>202</v>
      </c>
      <c r="D453" t="str">
        <f>IFERROR(VLOOKUP(A453,depara!A:B,2,0),A453)</f>
        <v>9199202</v>
      </c>
      <c r="E453">
        <f>VLOOKUP(B453,'inumos depara'!$A:$B,2,0)</f>
        <v>16298796</v>
      </c>
      <c r="F453" s="1" t="str">
        <f t="shared" si="14"/>
        <v>0.0566053465236481</v>
      </c>
      <c r="G453" t="str">
        <f t="shared" si="15"/>
        <v>9199202,16298796,0.0566053465236481</v>
      </c>
    </row>
    <row r="454" spans="1:7" x14ac:dyDescent="0.25">
      <c r="A454" s="1" t="s">
        <v>1425</v>
      </c>
      <c r="B454" s="1" t="s">
        <v>1426</v>
      </c>
      <c r="C454" s="1" t="s">
        <v>1427</v>
      </c>
      <c r="D454" t="str">
        <f>IFERROR(VLOOKUP(A454,depara!A:B,2,0),A454)</f>
        <v>9199204</v>
      </c>
      <c r="E454">
        <f>VLOOKUP(B454,'inumos depara'!$A:$B,2,0)</f>
        <v>16298797</v>
      </c>
      <c r="F454" s="1" t="str">
        <f t="shared" si="14"/>
        <v>1.04999164019395</v>
      </c>
      <c r="G454" t="str">
        <f t="shared" si="15"/>
        <v>9199204,16298797,1.04999164019395</v>
      </c>
    </row>
    <row r="455" spans="1:7" x14ac:dyDescent="0.25">
      <c r="A455" s="1" t="s">
        <v>1425</v>
      </c>
      <c r="B455" s="1" t="s">
        <v>1428</v>
      </c>
      <c r="C455" s="1" t="s">
        <v>1429</v>
      </c>
      <c r="D455" t="str">
        <f>IFERROR(VLOOKUP(A455,depara!A:B,2,0),A455)</f>
        <v>9199204</v>
      </c>
      <c r="E455">
        <f>VLOOKUP(B455,'inumos depara'!$A:$B,2,0)</f>
        <v>16298798</v>
      </c>
      <c r="F455" s="1" t="str">
        <f t="shared" si="14"/>
        <v>1.00496015159115</v>
      </c>
      <c r="G455" t="str">
        <f t="shared" si="15"/>
        <v>9199204,16298798,1.00496015159115</v>
      </c>
    </row>
    <row r="456" spans="1:7" x14ac:dyDescent="0.25">
      <c r="A456" s="1" t="s">
        <v>1425</v>
      </c>
      <c r="B456" s="1" t="s">
        <v>1301</v>
      </c>
      <c r="C456" s="1" t="s">
        <v>203</v>
      </c>
      <c r="D456" t="str">
        <f>IFERROR(VLOOKUP(A456,depara!A:B,2,0),A456)</f>
        <v>9199204</v>
      </c>
      <c r="E456">
        <f>VLOOKUP(B456,'inumos depara'!$A:$B,2,0)</f>
        <v>16298703</v>
      </c>
      <c r="F456" s="1" t="str">
        <f t="shared" si="14"/>
        <v>0.0624756172323469</v>
      </c>
      <c r="G456" t="str">
        <f t="shared" si="15"/>
        <v>9199204,16298703,0.0624756172323469</v>
      </c>
    </row>
    <row r="457" spans="1:7" x14ac:dyDescent="0.25">
      <c r="A457" s="1" t="s">
        <v>1425</v>
      </c>
      <c r="B457" s="1" t="s">
        <v>1258</v>
      </c>
      <c r="C457" s="1" t="s">
        <v>204</v>
      </c>
      <c r="D457" t="str">
        <f>IFERROR(VLOOKUP(A457,depara!A:B,2,0),A457)</f>
        <v>9199204</v>
      </c>
      <c r="E457">
        <f>VLOOKUP(B457,'inumos depara'!$A:$B,2,0)</f>
        <v>16298799</v>
      </c>
      <c r="F457" s="1" t="str">
        <f t="shared" si="14"/>
        <v>0.0567630830964722</v>
      </c>
      <c r="G457" t="str">
        <f t="shared" si="15"/>
        <v>9199204,16298799,0.0567630830964722</v>
      </c>
    </row>
    <row r="458" spans="1:7" x14ac:dyDescent="0.25">
      <c r="A458" s="1" t="s">
        <v>1430</v>
      </c>
      <c r="B458" s="1" t="s">
        <v>1431</v>
      </c>
      <c r="C458" s="1" t="s">
        <v>205</v>
      </c>
      <c r="D458" t="str">
        <f>IFERROR(VLOOKUP(A458,depara!A:B,2,0),A458)</f>
        <v>9199206</v>
      </c>
      <c r="E458">
        <f>VLOOKUP(B458,'inumos depara'!$A:$B,2,0)</f>
        <v>16298800</v>
      </c>
      <c r="F458" s="1" t="str">
        <f t="shared" si="14"/>
        <v>0.0551643828196934</v>
      </c>
      <c r="G458" t="str">
        <f t="shared" si="15"/>
        <v>9199206,16298800,0.0551643828196934</v>
      </c>
    </row>
    <row r="459" spans="1:7" x14ac:dyDescent="0.25">
      <c r="A459" s="1" t="s">
        <v>1430</v>
      </c>
      <c r="B459" s="1" t="s">
        <v>1432</v>
      </c>
      <c r="C459" s="1" t="s">
        <v>1433</v>
      </c>
      <c r="D459" t="str">
        <f>IFERROR(VLOOKUP(A459,depara!A:B,2,0),A459)</f>
        <v>9199206</v>
      </c>
      <c r="E459">
        <f>VLOOKUP(B459,'inumos depara'!$A:$B,2,0)</f>
        <v>16298801</v>
      </c>
      <c r="F459" s="1" t="str">
        <f t="shared" si="14"/>
        <v>1.04999187564318</v>
      </c>
      <c r="G459" t="str">
        <f t="shared" si="15"/>
        <v>9199206,16298801,1.04999187564318</v>
      </c>
    </row>
    <row r="460" spans="1:7" x14ac:dyDescent="0.25">
      <c r="A460" s="1" t="s">
        <v>1430</v>
      </c>
      <c r="B460" s="1" t="s">
        <v>1434</v>
      </c>
      <c r="C460" s="1" t="s">
        <v>1435</v>
      </c>
      <c r="D460" t="str">
        <f>IFERROR(VLOOKUP(A460,depara!A:B,2,0),A460)</f>
        <v>9199206</v>
      </c>
      <c r="E460">
        <f>VLOOKUP(B460,'inumos depara'!$A:$B,2,0)</f>
        <v>16298802</v>
      </c>
      <c r="F460" s="1" t="str">
        <f t="shared" si="14"/>
        <v>1.00498293885067</v>
      </c>
      <c r="G460" t="str">
        <f t="shared" si="15"/>
        <v>9199206,16298802,1.00498293885067</v>
      </c>
    </row>
    <row r="461" spans="1:7" x14ac:dyDescent="0.25">
      <c r="A461" s="1" t="s">
        <v>1430</v>
      </c>
      <c r="B461" s="1" t="s">
        <v>206</v>
      </c>
      <c r="C461" s="1" t="s">
        <v>207</v>
      </c>
      <c r="D461" t="str">
        <f>IFERROR(VLOOKUP(A461,depara!A:B,2,0),A461)</f>
        <v>9199206</v>
      </c>
      <c r="E461">
        <f>VLOOKUP(B461,'inumos depara'!$A:$B,2,0)</f>
        <v>16298803</v>
      </c>
      <c r="F461" s="1" t="str">
        <f t="shared" si="14"/>
        <v>0.0833559009911715</v>
      </c>
      <c r="G461" t="str">
        <f t="shared" si="15"/>
        <v>9199206,16298803,0.0833559009911715</v>
      </c>
    </row>
    <row r="462" spans="1:7" x14ac:dyDescent="0.25">
      <c r="A462" s="1" t="s">
        <v>1430</v>
      </c>
      <c r="B462" s="1" t="s">
        <v>1436</v>
      </c>
      <c r="C462" s="1" t="s">
        <v>1150</v>
      </c>
      <c r="D462" t="str">
        <f>IFERROR(VLOOKUP(A462,depara!A:B,2,0),A462)</f>
        <v>9199206</v>
      </c>
      <c r="E462">
        <f>VLOOKUP(B462,'inumos depara'!$A:$B,2,0)</f>
        <v>16298804</v>
      </c>
      <c r="F462" s="1" t="str">
        <f t="shared" si="14"/>
        <v>1</v>
      </c>
      <c r="G462" t="str">
        <f t="shared" si="15"/>
        <v>9199206,16298804,1</v>
      </c>
    </row>
    <row r="463" spans="1:7" x14ac:dyDescent="0.25">
      <c r="A463" s="1" t="s">
        <v>1437</v>
      </c>
      <c r="B463" s="1" t="s">
        <v>1438</v>
      </c>
      <c r="C463" s="1" t="s">
        <v>205</v>
      </c>
      <c r="D463" t="str">
        <f>IFERROR(VLOOKUP(A463,depara!A:B,2,0),A463)</f>
        <v>9199207</v>
      </c>
      <c r="E463">
        <f>VLOOKUP(B463,'inumos depara'!$A:$B,2,0)</f>
        <v>16298805</v>
      </c>
      <c r="F463" s="1" t="str">
        <f t="shared" si="14"/>
        <v>0.0551643828196934</v>
      </c>
      <c r="G463" t="str">
        <f t="shared" si="15"/>
        <v>9199207,16298805,0.0551643828196934</v>
      </c>
    </row>
    <row r="464" spans="1:7" x14ac:dyDescent="0.25">
      <c r="A464" s="1" t="s">
        <v>1437</v>
      </c>
      <c r="B464" s="1" t="s">
        <v>206</v>
      </c>
      <c r="C464" s="1" t="s">
        <v>207</v>
      </c>
      <c r="D464" t="str">
        <f>IFERROR(VLOOKUP(A464,depara!A:B,2,0),A464)</f>
        <v>9199207</v>
      </c>
      <c r="E464">
        <f>VLOOKUP(B464,'inumos depara'!$A:$B,2,0)</f>
        <v>16298803</v>
      </c>
      <c r="F464" s="1" t="str">
        <f t="shared" si="14"/>
        <v>0.0833559009911715</v>
      </c>
      <c r="G464" t="str">
        <f t="shared" si="15"/>
        <v>9199207,16298803,0.0833559009911715</v>
      </c>
    </row>
    <row r="465" spans="1:7" x14ac:dyDescent="0.25">
      <c r="A465" s="1" t="s">
        <v>1437</v>
      </c>
      <c r="B465" s="1" t="s">
        <v>1439</v>
      </c>
      <c r="C465" s="1" t="s">
        <v>1433</v>
      </c>
      <c r="D465" t="str">
        <f>IFERROR(VLOOKUP(A465,depara!A:B,2,0),A465)</f>
        <v>9199207</v>
      </c>
      <c r="E465">
        <f>VLOOKUP(B465,'inumos depara'!$A:$B,2,0)</f>
        <v>16298806</v>
      </c>
      <c r="F465" s="1" t="str">
        <f t="shared" si="14"/>
        <v>1.04999187564318</v>
      </c>
      <c r="G465" t="str">
        <f t="shared" si="15"/>
        <v>9199207,16298806,1.04999187564318</v>
      </c>
    </row>
    <row r="466" spans="1:7" x14ac:dyDescent="0.25">
      <c r="A466" s="1" t="s">
        <v>1437</v>
      </c>
      <c r="B466" s="1" t="s">
        <v>1440</v>
      </c>
      <c r="C466" s="1" t="s">
        <v>208</v>
      </c>
      <c r="D466" t="str">
        <f>IFERROR(VLOOKUP(A466,depara!A:B,2,0),A466)</f>
        <v>9199207</v>
      </c>
      <c r="E466">
        <f>VLOOKUP(B466,'inumos depara'!$A:$B,2,0)</f>
        <v>16298807</v>
      </c>
      <c r="F466" s="1" t="str">
        <f t="shared" si="14"/>
        <v>0.100471212695662</v>
      </c>
      <c r="G466" t="str">
        <f t="shared" si="15"/>
        <v>9199207,16298807,0.100471212695662</v>
      </c>
    </row>
    <row r="467" spans="1:7" x14ac:dyDescent="0.25">
      <c r="A467" s="1" t="s">
        <v>1437</v>
      </c>
      <c r="B467" s="1" t="s">
        <v>1436</v>
      </c>
      <c r="C467" s="1" t="s">
        <v>1150</v>
      </c>
      <c r="D467" t="str">
        <f>IFERROR(VLOOKUP(A467,depara!A:B,2,0),A467)</f>
        <v>9199207</v>
      </c>
      <c r="E467">
        <f>VLOOKUP(B467,'inumos depara'!$A:$B,2,0)</f>
        <v>16298804</v>
      </c>
      <c r="F467" s="1" t="str">
        <f t="shared" si="14"/>
        <v>1</v>
      </c>
      <c r="G467" t="str">
        <f t="shared" si="15"/>
        <v>9199207,16298804,1</v>
      </c>
    </row>
    <row r="468" spans="1:7" x14ac:dyDescent="0.25">
      <c r="A468" s="1" t="s">
        <v>1441</v>
      </c>
      <c r="B468" s="1" t="s">
        <v>107</v>
      </c>
      <c r="C468" s="1" t="s">
        <v>209</v>
      </c>
      <c r="D468" t="str">
        <f>IFERROR(VLOOKUP(A468,depara!A:B,2,0),A468)</f>
        <v>9990421</v>
      </c>
      <c r="E468">
        <f>VLOOKUP(B468,'inumos depara'!$A:$B,2,0)</f>
        <v>16298700</v>
      </c>
      <c r="F468" s="1" t="str">
        <f t="shared" si="14"/>
        <v>0.00579213809192721</v>
      </c>
      <c r="G468" t="str">
        <f t="shared" si="15"/>
        <v>9990421,16298700,0.00579213809192721</v>
      </c>
    </row>
    <row r="469" spans="1:7" x14ac:dyDescent="0.25">
      <c r="A469" s="1" t="s">
        <v>1441</v>
      </c>
      <c r="B469" s="1" t="s">
        <v>1442</v>
      </c>
      <c r="C469" s="1" t="s">
        <v>210</v>
      </c>
      <c r="D469" t="str">
        <f>IFERROR(VLOOKUP(A469,depara!A:B,2,0),A469)</f>
        <v>9990421</v>
      </c>
      <c r="E469">
        <f>VLOOKUP(B469,'inumos depara'!$A:$B,2,0)</f>
        <v>16298808</v>
      </c>
      <c r="F469" s="1" t="str">
        <f t="shared" si="14"/>
        <v>0.00137908049807791</v>
      </c>
      <c r="G469" t="str">
        <f t="shared" si="15"/>
        <v>9990421,16298808,0.00137908049807791</v>
      </c>
    </row>
    <row r="470" spans="1:7" x14ac:dyDescent="0.25">
      <c r="A470" s="1" t="s">
        <v>1441</v>
      </c>
      <c r="B470" s="1" t="s">
        <v>1443</v>
      </c>
      <c r="C470" s="1" t="s">
        <v>211</v>
      </c>
      <c r="D470" t="str">
        <f>IFERROR(VLOOKUP(A470,depara!A:B,2,0),A470)</f>
        <v>9990421</v>
      </c>
      <c r="E470">
        <f>VLOOKUP(B470,'inumos depara'!$A:$B,2,0)</f>
        <v>16298809</v>
      </c>
      <c r="F470" s="1" t="str">
        <f t="shared" si="14"/>
        <v>0.0106304121726839</v>
      </c>
      <c r="G470" t="str">
        <f t="shared" si="15"/>
        <v>9990421,16298809,0.0106304121726839</v>
      </c>
    </row>
    <row r="471" spans="1:7" x14ac:dyDescent="0.25">
      <c r="A471" s="1" t="s">
        <v>1444</v>
      </c>
      <c r="B471" s="1" t="s">
        <v>1445</v>
      </c>
      <c r="C471" s="1" t="s">
        <v>212</v>
      </c>
      <c r="D471" t="str">
        <f>IFERROR(VLOOKUP(A471,depara!A:B,2,0),A471)</f>
        <v>9990425</v>
      </c>
      <c r="E471">
        <f>VLOOKUP(B471,'inumos depara'!$A:$B,2,0)</f>
        <v>16298810</v>
      </c>
      <c r="F471" s="1" t="str">
        <f t="shared" si="14"/>
        <v>0.0013810009761292</v>
      </c>
      <c r="G471" t="str">
        <f t="shared" si="15"/>
        <v>9990425,16298810,0.0013810009761292</v>
      </c>
    </row>
    <row r="472" spans="1:7" x14ac:dyDescent="0.25">
      <c r="A472" s="1" t="s">
        <v>1444</v>
      </c>
      <c r="B472" s="1" t="s">
        <v>1443</v>
      </c>
      <c r="C472" s="1" t="s">
        <v>213</v>
      </c>
      <c r="D472" t="str">
        <f>IFERROR(VLOOKUP(A472,depara!A:B,2,0),A472)</f>
        <v>9990425</v>
      </c>
      <c r="E472">
        <f>VLOOKUP(B472,'inumos depara'!$A:$B,2,0)</f>
        <v>16298809</v>
      </c>
      <c r="F472" s="1" t="str">
        <f t="shared" si="14"/>
        <v>0.010626497470938</v>
      </c>
      <c r="G472" t="str">
        <f t="shared" si="15"/>
        <v>9990425,16298809,0.010626497470938</v>
      </c>
    </row>
    <row r="473" spans="1:7" x14ac:dyDescent="0.25">
      <c r="A473" s="1" t="s">
        <v>1444</v>
      </c>
      <c r="B473" s="1" t="s">
        <v>103</v>
      </c>
      <c r="C473" s="1" t="s">
        <v>214</v>
      </c>
      <c r="D473" t="str">
        <f>IFERROR(VLOOKUP(A473,depara!A:B,2,0),A473)</f>
        <v>9990425</v>
      </c>
      <c r="E473">
        <f>VLOOKUP(B473,'inumos depara'!$A:$B,2,0)</f>
        <v>16298698</v>
      </c>
      <c r="F473" s="1" t="str">
        <f t="shared" si="14"/>
        <v>0.00559055816842666</v>
      </c>
      <c r="G473" t="str">
        <f t="shared" si="15"/>
        <v>9990425,16298698,0.00559055816842666</v>
      </c>
    </row>
    <row r="474" spans="1:7" x14ac:dyDescent="0.25">
      <c r="A474" s="1" t="s">
        <v>1446</v>
      </c>
      <c r="B474" s="1" t="s">
        <v>1303</v>
      </c>
      <c r="C474" s="1" t="s">
        <v>215</v>
      </c>
      <c r="D474" t="str">
        <f>IFERROR(VLOOKUP(A474,depara!A:B,2,0),A474)</f>
        <v>9990426</v>
      </c>
      <c r="E474">
        <f>VLOOKUP(B474,'inumos depara'!$A:$B,2,0)</f>
        <v>16298704</v>
      </c>
      <c r="F474" s="1" t="str">
        <f t="shared" si="14"/>
        <v>0.0156138289934375</v>
      </c>
      <c r="G474" t="str">
        <f t="shared" si="15"/>
        <v>9990426,16298704,0.0156138289934375</v>
      </c>
    </row>
    <row r="475" spans="1:7" x14ac:dyDescent="0.25">
      <c r="A475" s="1" t="s">
        <v>1446</v>
      </c>
      <c r="B475" s="1" t="s">
        <v>1304</v>
      </c>
      <c r="C475" s="1" t="s">
        <v>216</v>
      </c>
      <c r="D475" t="str">
        <f>IFERROR(VLOOKUP(A475,depara!A:B,2,0),A475)</f>
        <v>9990426</v>
      </c>
      <c r="E475">
        <f>VLOOKUP(B475,'inumos depara'!$A:$B,2,0)</f>
        <v>16298705</v>
      </c>
      <c r="F475" s="1" t="str">
        <f t="shared" si="14"/>
        <v>0.00119386993705397</v>
      </c>
      <c r="G475" t="str">
        <f t="shared" si="15"/>
        <v>9990426,16298705,0.00119386993705397</v>
      </c>
    </row>
    <row r="476" spans="1:7" x14ac:dyDescent="0.25">
      <c r="A476" s="1" t="s">
        <v>1446</v>
      </c>
      <c r="B476" s="1" t="s">
        <v>1305</v>
      </c>
      <c r="C476" s="1" t="s">
        <v>217</v>
      </c>
      <c r="D476" t="str">
        <f>IFERROR(VLOOKUP(A476,depara!A:B,2,0),A476)</f>
        <v>9990426</v>
      </c>
      <c r="E476">
        <f>VLOOKUP(B476,'inumos depara'!$A:$B,2,0)</f>
        <v>16298706</v>
      </c>
      <c r="F476" s="1" t="str">
        <f t="shared" si="14"/>
        <v>0.000198978322842329</v>
      </c>
      <c r="G476" t="str">
        <f t="shared" si="15"/>
        <v>9990426,16298706,0.000198978322842329</v>
      </c>
    </row>
    <row r="477" spans="1:7" x14ac:dyDescent="0.25">
      <c r="A477" s="1" t="s">
        <v>1446</v>
      </c>
      <c r="B477" s="1" t="s">
        <v>1220</v>
      </c>
      <c r="C477" s="1" t="s">
        <v>1447</v>
      </c>
      <c r="D477" t="str">
        <f>IFERROR(VLOOKUP(A477,depara!A:B,2,0),A477)</f>
        <v>9990426</v>
      </c>
      <c r="E477">
        <f>VLOOKUP(B477,'inumos depara'!$A:$B,2,0)</f>
        <v>16298625</v>
      </c>
      <c r="F477" s="1" t="str">
        <f t="shared" si="14"/>
        <v>1.98978322842329E-05</v>
      </c>
      <c r="G477" t="str">
        <f t="shared" si="15"/>
        <v>9990426,16298625,1.98978322842329E-05</v>
      </c>
    </row>
    <row r="478" spans="1:7" x14ac:dyDescent="0.25">
      <c r="A478" s="1" t="s">
        <v>1446</v>
      </c>
      <c r="B478" s="1" t="s">
        <v>1307</v>
      </c>
      <c r="C478" s="1" t="s">
        <v>1448</v>
      </c>
      <c r="D478" t="str">
        <f>IFERROR(VLOOKUP(A478,depara!A:B,2,0),A478)</f>
        <v>9990426</v>
      </c>
      <c r="E478">
        <f>VLOOKUP(B478,'inumos depara'!$A:$B,2,0)</f>
        <v>16298707</v>
      </c>
      <c r="F478" s="1" t="str">
        <f t="shared" si="14"/>
        <v>2.58671819695027E-05</v>
      </c>
      <c r="G478" t="str">
        <f t="shared" si="15"/>
        <v>9990426,16298707,2.58671819695027E-05</v>
      </c>
    </row>
    <row r="479" spans="1:7" x14ac:dyDescent="0.25">
      <c r="A479" s="1" t="s">
        <v>1446</v>
      </c>
      <c r="B479" s="1" t="s">
        <v>1219</v>
      </c>
      <c r="C479" s="1" t="s">
        <v>218</v>
      </c>
      <c r="D479" t="str">
        <f>IFERROR(VLOOKUP(A479,depara!A:B,2,0),A479)</f>
        <v>9990426</v>
      </c>
      <c r="E479">
        <f>VLOOKUP(B479,'inumos depara'!$A:$B,2,0)</f>
        <v>16298624</v>
      </c>
      <c r="F479" s="1" t="str">
        <f t="shared" si="14"/>
        <v>0.000397956645684658</v>
      </c>
      <c r="G479" t="str">
        <f t="shared" si="15"/>
        <v>9990426,16298624,0.000397956645684658</v>
      </c>
    </row>
    <row r="480" spans="1:7" x14ac:dyDescent="0.25">
      <c r="A480" s="1" t="s">
        <v>1446</v>
      </c>
      <c r="B480" s="1" t="s">
        <v>1308</v>
      </c>
      <c r="C480" s="1" t="s">
        <v>219</v>
      </c>
      <c r="D480" t="str">
        <f>IFERROR(VLOOKUP(A480,depara!A:B,2,0),A480)</f>
        <v>9990426</v>
      </c>
      <c r="E480">
        <f>VLOOKUP(B480,'inumos depara'!$A:$B,2,0)</f>
        <v>16298708</v>
      </c>
      <c r="F480" s="1" t="str">
        <f t="shared" si="14"/>
        <v>0.00198978322842329</v>
      </c>
      <c r="G480" t="str">
        <f t="shared" si="15"/>
        <v>9990426,16298708,0.00198978322842329</v>
      </c>
    </row>
    <row r="481" spans="1:7" x14ac:dyDescent="0.25">
      <c r="A481" s="1" t="s">
        <v>1446</v>
      </c>
      <c r="B481" s="1" t="s">
        <v>1309</v>
      </c>
      <c r="C481" s="1" t="s">
        <v>220</v>
      </c>
      <c r="D481" t="str">
        <f>IFERROR(VLOOKUP(A481,depara!A:B,2,0),A481)</f>
        <v>9990426</v>
      </c>
      <c r="E481">
        <f>VLOOKUP(B481,'inumos depara'!$A:$B,2,0)</f>
        <v>16298709</v>
      </c>
      <c r="F481" s="1" t="str">
        <f t="shared" si="14"/>
        <v>0.000258671819695027</v>
      </c>
      <c r="G481" t="str">
        <f t="shared" si="15"/>
        <v>9990426,16298709,0.000258671819695027</v>
      </c>
    </row>
    <row r="482" spans="1:7" x14ac:dyDescent="0.25">
      <c r="A482" s="1" t="s">
        <v>1446</v>
      </c>
      <c r="B482" s="1" t="s">
        <v>1187</v>
      </c>
      <c r="C482" s="1" t="s">
        <v>217</v>
      </c>
      <c r="D482" t="str">
        <f>IFERROR(VLOOKUP(A482,depara!A:B,2,0),A482)</f>
        <v>9990426</v>
      </c>
      <c r="E482">
        <f>VLOOKUP(B482,'inumos depara'!$A:$B,2,0)</f>
        <v>16298593</v>
      </c>
      <c r="F482" s="1" t="str">
        <f t="shared" si="14"/>
        <v>0.000198978322842329</v>
      </c>
      <c r="G482" t="str">
        <f t="shared" si="15"/>
        <v>9990426,16298593,0.000198978322842329</v>
      </c>
    </row>
    <row r="483" spans="1:7" x14ac:dyDescent="0.25">
      <c r="A483" s="1" t="s">
        <v>1446</v>
      </c>
      <c r="B483" s="1" t="s">
        <v>221</v>
      </c>
      <c r="C483" s="1" t="s">
        <v>222</v>
      </c>
      <c r="D483" t="str">
        <f>IFERROR(VLOOKUP(A483,depara!A:B,2,0),A483)</f>
        <v>9990426</v>
      </c>
      <c r="E483">
        <f>VLOOKUP(B483,'inumos depara'!$A:$B,2,0)</f>
        <v>16298811</v>
      </c>
      <c r="F483" s="1" t="str">
        <f t="shared" si="14"/>
        <v>0.000516578338148354</v>
      </c>
      <c r="G483" t="str">
        <f t="shared" si="15"/>
        <v>9990426,16298811,0.000516578338148354</v>
      </c>
    </row>
    <row r="484" spans="1:7" x14ac:dyDescent="0.25">
      <c r="A484" s="1" t="s">
        <v>1446</v>
      </c>
      <c r="B484" s="1" t="s">
        <v>1301</v>
      </c>
      <c r="C484" s="1" t="s">
        <v>223</v>
      </c>
      <c r="D484" t="str">
        <f>IFERROR(VLOOKUP(A484,depara!A:B,2,0),A484)</f>
        <v>9990426</v>
      </c>
      <c r="E484">
        <f>VLOOKUP(B484,'inumos depara'!$A:$B,2,0)</f>
        <v>16298703</v>
      </c>
      <c r="F484" s="1" t="str">
        <f t="shared" si="14"/>
        <v>0.0101976390456694</v>
      </c>
      <c r="G484" t="str">
        <f t="shared" si="15"/>
        <v>9990426,16298703,0.0101976390456694</v>
      </c>
    </row>
    <row r="485" spans="1:7" x14ac:dyDescent="0.25">
      <c r="A485" s="1" t="s">
        <v>1449</v>
      </c>
      <c r="B485" s="1" t="s">
        <v>147</v>
      </c>
      <c r="C485" s="1" t="s">
        <v>224</v>
      </c>
      <c r="D485" t="str">
        <f>IFERROR(VLOOKUP(A485,depara!A:B,2,0),A485)</f>
        <v>9991112</v>
      </c>
      <c r="E485">
        <f>VLOOKUP(B485,'inumos depara'!$A:$B,2,0)</f>
        <v>16298731</v>
      </c>
      <c r="F485" s="1" t="str">
        <f t="shared" si="14"/>
        <v>0.0115875580231182</v>
      </c>
      <c r="G485" t="str">
        <f t="shared" si="15"/>
        <v>9991112,16298731,0.0115875580231182</v>
      </c>
    </row>
    <row r="486" spans="1:7" x14ac:dyDescent="0.25">
      <c r="A486" s="1" t="s">
        <v>1449</v>
      </c>
      <c r="B486" s="1" t="s">
        <v>1450</v>
      </c>
      <c r="C486" s="1" t="s">
        <v>225</v>
      </c>
      <c r="D486" t="str">
        <f>IFERROR(VLOOKUP(A486,depara!A:B,2,0),A486)</f>
        <v>9991112</v>
      </c>
      <c r="E486">
        <f>VLOOKUP(B486,'inumos depara'!$A:$B,2,0)</f>
        <v>16298812</v>
      </c>
      <c r="F486" s="1" t="str">
        <f t="shared" si="14"/>
        <v>0.00136524984072085</v>
      </c>
      <c r="G486" t="str">
        <f t="shared" si="15"/>
        <v>9991112,16298812,0.00136524984072085</v>
      </c>
    </row>
    <row r="487" spans="1:7" x14ac:dyDescent="0.25">
      <c r="A487" s="1" t="s">
        <v>1449</v>
      </c>
      <c r="B487" s="1" t="s">
        <v>1443</v>
      </c>
      <c r="C487" s="1" t="s">
        <v>226</v>
      </c>
      <c r="D487" t="str">
        <f>IFERROR(VLOOKUP(A487,depara!A:B,2,0),A487)</f>
        <v>9991112</v>
      </c>
      <c r="E487">
        <f>VLOOKUP(B487,'inumos depara'!$A:$B,2,0)</f>
        <v>16298809</v>
      </c>
      <c r="F487" s="1" t="str">
        <f t="shared" si="14"/>
        <v>0.0105238008555566</v>
      </c>
      <c r="G487" t="str">
        <f t="shared" si="15"/>
        <v>9991112,16298809,0.0105238008555566</v>
      </c>
    </row>
    <row r="488" spans="1:7" x14ac:dyDescent="0.25">
      <c r="A488" s="1" t="s">
        <v>1451</v>
      </c>
      <c r="B488" s="1" t="s">
        <v>1452</v>
      </c>
      <c r="C488" s="1" t="s">
        <v>227</v>
      </c>
      <c r="D488" t="str">
        <f>IFERROR(VLOOKUP(A488,depara!A:B,2,0),A488)</f>
        <v>9991114</v>
      </c>
      <c r="E488">
        <f>VLOOKUP(B488,'inumos depara'!$A:$B,2,0)</f>
        <v>16298813</v>
      </c>
      <c r="F488" s="1" t="str">
        <f t="shared" si="14"/>
        <v>0.00137700194898737</v>
      </c>
      <c r="G488" t="str">
        <f t="shared" si="15"/>
        <v>9991114,16298813,0.00137700194898737</v>
      </c>
    </row>
    <row r="489" spans="1:7" x14ac:dyDescent="0.25">
      <c r="A489" s="1" t="s">
        <v>1451</v>
      </c>
      <c r="B489" s="1" t="s">
        <v>1443</v>
      </c>
      <c r="C489" s="1" t="s">
        <v>228</v>
      </c>
      <c r="D489" t="str">
        <f>IFERROR(VLOOKUP(A489,depara!A:B,2,0),A489)</f>
        <v>9991114</v>
      </c>
      <c r="E489">
        <f>VLOOKUP(B489,'inumos depara'!$A:$B,2,0)</f>
        <v>16298809</v>
      </c>
      <c r="F489" s="1" t="str">
        <f t="shared" si="14"/>
        <v>0.0106240996525718</v>
      </c>
      <c r="G489" t="str">
        <f t="shared" si="15"/>
        <v>9991114,16298809,0.0106240996525718</v>
      </c>
    </row>
    <row r="490" spans="1:7" x14ac:dyDescent="0.25">
      <c r="A490" s="1" t="s">
        <v>1451</v>
      </c>
      <c r="B490" s="1" t="s">
        <v>150</v>
      </c>
      <c r="C490" s="1" t="s">
        <v>229</v>
      </c>
      <c r="D490" t="str">
        <f>IFERROR(VLOOKUP(A490,depara!A:B,2,0),A490)</f>
        <v>9991114</v>
      </c>
      <c r="E490">
        <f>VLOOKUP(B490,'inumos depara'!$A:$B,2,0)</f>
        <v>16298737</v>
      </c>
      <c r="F490" s="1" t="str">
        <f t="shared" si="14"/>
        <v>0.0106770612659944</v>
      </c>
      <c r="G490" t="str">
        <f t="shared" si="15"/>
        <v>9991114,16298737,0.0106770612659944</v>
      </c>
    </row>
    <row r="491" spans="1:7" x14ac:dyDescent="0.25">
      <c r="A491" s="1" t="s">
        <v>1453</v>
      </c>
      <c r="B491" s="1" t="s">
        <v>1303</v>
      </c>
      <c r="C491" s="1" t="s">
        <v>230</v>
      </c>
      <c r="D491" t="str">
        <f>IFERROR(VLOOKUP(A491,depara!A:B,2,0),A491)</f>
        <v>9993004</v>
      </c>
      <c r="E491">
        <f>VLOOKUP(B491,'inumos depara'!$A:$B,2,0)</f>
        <v>16298704</v>
      </c>
      <c r="F491" s="1" t="str">
        <f t="shared" si="14"/>
        <v>0.0190646605549295</v>
      </c>
      <c r="G491" t="str">
        <f t="shared" si="15"/>
        <v>9993004,16298704,0.0190646605549295</v>
      </c>
    </row>
    <row r="492" spans="1:7" x14ac:dyDescent="0.25">
      <c r="A492" s="1" t="s">
        <v>1453</v>
      </c>
      <c r="B492" s="1" t="s">
        <v>1356</v>
      </c>
      <c r="C492" s="1" t="s">
        <v>1454</v>
      </c>
      <c r="D492" t="str">
        <f>IFERROR(VLOOKUP(A492,depara!A:B,2,0),A492)</f>
        <v>9993004</v>
      </c>
      <c r="E492">
        <f>VLOOKUP(B492,'inumos depara'!$A:$B,2,0)</f>
        <v>16298743</v>
      </c>
      <c r="F492" s="1" t="str">
        <f t="shared" si="14"/>
        <v>9.89857765053452E-05</v>
      </c>
      <c r="G492" t="str">
        <f t="shared" si="15"/>
        <v>9993004,16298743,9.89857765053452E-05</v>
      </c>
    </row>
    <row r="493" spans="1:7" x14ac:dyDescent="0.25">
      <c r="A493" s="1" t="s">
        <v>1453</v>
      </c>
      <c r="B493" s="1" t="s">
        <v>1219</v>
      </c>
      <c r="C493" s="1" t="s">
        <v>231</v>
      </c>
      <c r="D493" t="str">
        <f>IFERROR(VLOOKUP(A493,depara!A:B,2,0),A493)</f>
        <v>9993004</v>
      </c>
      <c r="E493">
        <f>VLOOKUP(B493,'inumos depara'!$A:$B,2,0)</f>
        <v>16298624</v>
      </c>
      <c r="F493" s="1" t="str">
        <f t="shared" si="14"/>
        <v>0.00019797155301069</v>
      </c>
      <c r="G493" t="str">
        <f t="shared" si="15"/>
        <v>9993004,16298624,0.00019797155301069</v>
      </c>
    </row>
    <row r="494" spans="1:7" x14ac:dyDescent="0.25">
      <c r="A494" s="1" t="s">
        <v>1453</v>
      </c>
      <c r="B494" s="1" t="s">
        <v>1170</v>
      </c>
      <c r="C494" s="1" t="s">
        <v>232</v>
      </c>
      <c r="D494" t="str">
        <f>IFERROR(VLOOKUP(A494,depara!A:B,2,0),A494)</f>
        <v>9993004</v>
      </c>
      <c r="E494">
        <f>VLOOKUP(B494,'inumos depara'!$A:$B,2,0)</f>
        <v>16298579</v>
      </c>
      <c r="F494" s="1" t="str">
        <f t="shared" si="14"/>
        <v>0.000019797155301069</v>
      </c>
      <c r="G494" t="str">
        <f t="shared" si="15"/>
        <v>9993004,16298579,0.000019797155301069</v>
      </c>
    </row>
    <row r="495" spans="1:7" x14ac:dyDescent="0.25">
      <c r="A495" s="1" t="s">
        <v>1453</v>
      </c>
      <c r="B495" s="1" t="s">
        <v>1171</v>
      </c>
      <c r="C495" s="1" t="s">
        <v>232</v>
      </c>
      <c r="D495" t="str">
        <f>IFERROR(VLOOKUP(A495,depara!A:B,2,0),A495)</f>
        <v>9993004</v>
      </c>
      <c r="E495">
        <f>VLOOKUP(B495,'inumos depara'!$A:$B,2,0)</f>
        <v>16298580</v>
      </c>
      <c r="F495" s="1" t="str">
        <f t="shared" si="14"/>
        <v>0.000019797155301069</v>
      </c>
      <c r="G495" t="str">
        <f t="shared" si="15"/>
        <v>9993004,16298580,0.000019797155301069</v>
      </c>
    </row>
    <row r="496" spans="1:7" x14ac:dyDescent="0.25">
      <c r="A496" s="1" t="s">
        <v>1453</v>
      </c>
      <c r="B496" s="1" t="s">
        <v>1358</v>
      </c>
      <c r="C496" s="1" t="s">
        <v>233</v>
      </c>
      <c r="D496" t="str">
        <f>IFERROR(VLOOKUP(A496,depara!A:B,2,0),A496)</f>
        <v>9993004</v>
      </c>
      <c r="E496">
        <f>VLOOKUP(B496,'inumos depara'!$A:$B,2,0)</f>
        <v>16298744</v>
      </c>
      <c r="F496" s="1" t="str">
        <f t="shared" si="14"/>
        <v>0.000296957329516036</v>
      </c>
      <c r="G496" t="str">
        <f t="shared" si="15"/>
        <v>9993004,16298744,0.000296957329516036</v>
      </c>
    </row>
    <row r="497" spans="1:7" x14ac:dyDescent="0.25">
      <c r="A497" s="1" t="s">
        <v>1453</v>
      </c>
      <c r="B497" s="1" t="s">
        <v>234</v>
      </c>
      <c r="C497" s="1" t="s">
        <v>235</v>
      </c>
      <c r="D497" t="str">
        <f>IFERROR(VLOOKUP(A497,depara!A:B,2,0),A497)</f>
        <v>9993004</v>
      </c>
      <c r="E497">
        <f>VLOOKUP(B497,'inumos depara'!$A:$B,2,0)</f>
        <v>16298814</v>
      </c>
      <c r="F497" s="1" t="str">
        <f t="shared" si="14"/>
        <v>0.00051777175402796</v>
      </c>
      <c r="G497" t="str">
        <f t="shared" si="15"/>
        <v>9993004,16298814,0.00051777175402796</v>
      </c>
    </row>
    <row r="498" spans="1:7" x14ac:dyDescent="0.25">
      <c r="A498" s="1" t="s">
        <v>1453</v>
      </c>
      <c r="B498" s="1" t="s">
        <v>236</v>
      </c>
      <c r="C498" s="1" t="s">
        <v>237</v>
      </c>
      <c r="D498" t="str">
        <f>IFERROR(VLOOKUP(A498,depara!A:B,2,0),A498)</f>
        <v>9993004</v>
      </c>
      <c r="E498">
        <f>VLOOKUP(B498,'inumos depara'!$A:$B,2,0)</f>
        <v>16298815</v>
      </c>
      <c r="F498" s="1" t="str">
        <f t="shared" si="14"/>
        <v>0.00998994913653946</v>
      </c>
      <c r="G498" t="str">
        <f t="shared" si="15"/>
        <v>9993004,16298815,0.00998994913653946</v>
      </c>
    </row>
    <row r="499" spans="1:7" x14ac:dyDescent="0.25">
      <c r="A499" s="1" t="s">
        <v>1455</v>
      </c>
      <c r="B499" s="1" t="s">
        <v>95</v>
      </c>
      <c r="C499" s="1" t="s">
        <v>238</v>
      </c>
      <c r="D499" t="str">
        <f>IFERROR(VLOOKUP(A499,depara!A:B,2,0),A499)</f>
        <v>9995020</v>
      </c>
      <c r="E499">
        <f>VLOOKUP(B499,'inumos depara'!$A:$B,2,0)</f>
        <v>16298686</v>
      </c>
      <c r="F499" s="1" t="str">
        <f t="shared" si="14"/>
        <v>0.00584894391675376</v>
      </c>
      <c r="G499" t="str">
        <f t="shared" si="15"/>
        <v>9995020,16298686,0.00584894391675376</v>
      </c>
    </row>
    <row r="500" spans="1:7" x14ac:dyDescent="0.25">
      <c r="A500" s="1" t="s">
        <v>1455</v>
      </c>
      <c r="B500" s="1" t="s">
        <v>1456</v>
      </c>
      <c r="C500" s="1" t="s">
        <v>239</v>
      </c>
      <c r="D500" t="str">
        <f>IFERROR(VLOOKUP(A500,depara!A:B,2,0),A500)</f>
        <v>9995020</v>
      </c>
      <c r="E500">
        <f>VLOOKUP(B500,'inumos depara'!$A:$B,2,0)</f>
        <v>16298816</v>
      </c>
      <c r="F500" s="1" t="str">
        <f t="shared" si="14"/>
        <v>0.00136676352693902</v>
      </c>
      <c r="G500" t="str">
        <f t="shared" si="15"/>
        <v>9995020,16298816,0.00136676352693902</v>
      </c>
    </row>
    <row r="501" spans="1:7" x14ac:dyDescent="0.25">
      <c r="A501" s="1" t="s">
        <v>1455</v>
      </c>
      <c r="B501" s="1" t="s">
        <v>1443</v>
      </c>
      <c r="C501" s="1" t="s">
        <v>240</v>
      </c>
      <c r="D501" t="str">
        <f>IFERROR(VLOOKUP(A501,depara!A:B,2,0),A501)</f>
        <v>9995020</v>
      </c>
      <c r="E501">
        <f>VLOOKUP(B501,'inumos depara'!$A:$B,2,0)</f>
        <v>16298809</v>
      </c>
      <c r="F501" s="1" t="str">
        <f t="shared" si="14"/>
        <v>0.0105206335350937</v>
      </c>
      <c r="G501" t="str">
        <f t="shared" si="15"/>
        <v>9995020,16298809,0.0105206335350937</v>
      </c>
    </row>
    <row r="502" spans="1:7" x14ac:dyDescent="0.25">
      <c r="A502" s="1" t="s">
        <v>1457</v>
      </c>
      <c r="B502" s="1" t="s">
        <v>1260</v>
      </c>
      <c r="C502" s="1" t="s">
        <v>241</v>
      </c>
      <c r="D502" t="str">
        <f>IFERROR(VLOOKUP(A502,depara!A:B,2,0),A502)</f>
        <v>9995024</v>
      </c>
      <c r="E502">
        <f>VLOOKUP(B502,'inumos depara'!$A:$B,2,0)</f>
        <v>16298727</v>
      </c>
      <c r="F502" s="1" t="str">
        <f t="shared" si="14"/>
        <v>0.0055650072345094</v>
      </c>
      <c r="G502" t="str">
        <f t="shared" si="15"/>
        <v>9995024,16298727,0.0055650072345094</v>
      </c>
    </row>
    <row r="503" spans="1:7" x14ac:dyDescent="0.25">
      <c r="A503" s="1" t="s">
        <v>1457</v>
      </c>
      <c r="B503" s="1" t="s">
        <v>1458</v>
      </c>
      <c r="C503" s="1" t="s">
        <v>242</v>
      </c>
      <c r="D503" t="str">
        <f>IFERROR(VLOOKUP(A503,depara!A:B,2,0),A503)</f>
        <v>9995024</v>
      </c>
      <c r="E503">
        <f>VLOOKUP(B503,'inumos depara'!$A:$B,2,0)</f>
        <v>16298817</v>
      </c>
      <c r="F503" s="1" t="str">
        <f t="shared" si="14"/>
        <v>0.00136740177762231</v>
      </c>
      <c r="G503" t="str">
        <f t="shared" si="15"/>
        <v>9995024,16298817,0.00136740177762231</v>
      </c>
    </row>
    <row r="504" spans="1:7" x14ac:dyDescent="0.25">
      <c r="A504" s="1" t="s">
        <v>1457</v>
      </c>
      <c r="B504" s="1" t="s">
        <v>1443</v>
      </c>
      <c r="C504" s="1" t="s">
        <v>243</v>
      </c>
      <c r="D504" t="str">
        <f>IFERROR(VLOOKUP(A504,depara!A:B,2,0),A504)</f>
        <v>9995024</v>
      </c>
      <c r="E504">
        <f>VLOOKUP(B504,'inumos depara'!$A:$B,2,0)</f>
        <v>16298809</v>
      </c>
      <c r="F504" s="1" t="str">
        <f t="shared" si="14"/>
        <v>0.0100011130014469</v>
      </c>
      <c r="G504" t="str">
        <f t="shared" si="15"/>
        <v>9995024,16298809,0.0100011130014469</v>
      </c>
    </row>
    <row r="505" spans="1:7" x14ac:dyDescent="0.25">
      <c r="A505" s="1" t="s">
        <v>1459</v>
      </c>
      <c r="B505" s="1" t="s">
        <v>1460</v>
      </c>
      <c r="C505" s="1" t="s">
        <v>244</v>
      </c>
      <c r="D505" t="str">
        <f>IFERROR(VLOOKUP(A505,depara!A:B,2,0),A505)</f>
        <v>9995026</v>
      </c>
      <c r="E505">
        <f>VLOOKUP(B505,'inumos depara'!$A:$B,2,0)</f>
        <v>16298818</v>
      </c>
      <c r="F505" s="1" t="str">
        <f t="shared" si="14"/>
        <v>0.000419901399671332</v>
      </c>
      <c r="G505" t="str">
        <f t="shared" si="15"/>
        <v>9995026,16298818,0.000419901399671332</v>
      </c>
    </row>
    <row r="506" spans="1:7" x14ac:dyDescent="0.25">
      <c r="A506" s="1" t="s">
        <v>1459</v>
      </c>
      <c r="B506" s="1" t="s">
        <v>1301</v>
      </c>
      <c r="C506" s="1" t="s">
        <v>245</v>
      </c>
      <c r="D506" t="str">
        <f>IFERROR(VLOOKUP(A506,depara!A:B,2,0),A506)</f>
        <v>9995026</v>
      </c>
      <c r="E506">
        <f>VLOOKUP(B506,'inumos depara'!$A:$B,2,0)</f>
        <v>16298703</v>
      </c>
      <c r="F506" s="1" t="str">
        <f t="shared" si="14"/>
        <v>0.00997336657788859</v>
      </c>
      <c r="G506" t="str">
        <f t="shared" si="15"/>
        <v>9995026,16298703,0.00997336657788859</v>
      </c>
    </row>
    <row r="507" spans="1:7" x14ac:dyDescent="0.25">
      <c r="A507" s="1" t="s">
        <v>1459</v>
      </c>
      <c r="B507" s="1" t="s">
        <v>1303</v>
      </c>
      <c r="C507" s="1" t="s">
        <v>246</v>
      </c>
      <c r="D507" t="str">
        <f>IFERROR(VLOOKUP(A507,depara!A:B,2,0),A507)</f>
        <v>9995026</v>
      </c>
      <c r="E507">
        <f>VLOOKUP(B507,'inumos depara'!$A:$B,2,0)</f>
        <v>16298704</v>
      </c>
      <c r="F507" s="1" t="str">
        <f t="shared" si="14"/>
        <v>0.0148359494531648</v>
      </c>
      <c r="G507" t="str">
        <f t="shared" si="15"/>
        <v>9995026,16298704,0.0148359494531648</v>
      </c>
    </row>
    <row r="508" spans="1:7" x14ac:dyDescent="0.25">
      <c r="A508" s="1" t="s">
        <v>1459</v>
      </c>
      <c r="B508" s="1" t="s">
        <v>1304</v>
      </c>
      <c r="C508" s="1" t="s">
        <v>247</v>
      </c>
      <c r="D508" t="str">
        <f>IFERROR(VLOOKUP(A508,depara!A:B,2,0),A508)</f>
        <v>9995026</v>
      </c>
      <c r="E508">
        <f>VLOOKUP(B508,'inumos depara'!$A:$B,2,0)</f>
        <v>16298705</v>
      </c>
      <c r="F508" s="1" t="str">
        <f t="shared" si="14"/>
        <v>0.00102000340001133</v>
      </c>
      <c r="G508" t="str">
        <f t="shared" si="15"/>
        <v>9995026,16298705,0.00102000340001133</v>
      </c>
    </row>
    <row r="509" spans="1:7" x14ac:dyDescent="0.25">
      <c r="A509" s="1" t="s">
        <v>1459</v>
      </c>
      <c r="B509" s="1" t="s">
        <v>1305</v>
      </c>
      <c r="C509" s="1" t="s">
        <v>248</v>
      </c>
      <c r="D509" t="str">
        <f>IFERROR(VLOOKUP(A509,depara!A:B,2,0),A509)</f>
        <v>9995026</v>
      </c>
      <c r="E509">
        <f>VLOOKUP(B509,'inumos depara'!$A:$B,2,0)</f>
        <v>16298706</v>
      </c>
      <c r="F509" s="1" t="str">
        <f t="shared" si="14"/>
        <v>0.000170000566668556</v>
      </c>
      <c r="G509" t="str">
        <f t="shared" si="15"/>
        <v>9995026,16298706,0.000170000566668556</v>
      </c>
    </row>
    <row r="510" spans="1:7" x14ac:dyDescent="0.25">
      <c r="A510" s="1" t="s">
        <v>1459</v>
      </c>
      <c r="B510" s="1" t="s">
        <v>1220</v>
      </c>
      <c r="C510" s="1" t="s">
        <v>1461</v>
      </c>
      <c r="D510" t="str">
        <f>IFERROR(VLOOKUP(A510,depara!A:B,2,0),A510)</f>
        <v>9995026</v>
      </c>
      <c r="E510">
        <f>VLOOKUP(B510,'inumos depara'!$A:$B,2,0)</f>
        <v>16298625</v>
      </c>
      <c r="F510" s="1" t="str">
        <f t="shared" si="14"/>
        <v>1.70000566668556E-05</v>
      </c>
      <c r="G510" t="str">
        <f t="shared" si="15"/>
        <v>9995026,16298625,1.70000566668556E-05</v>
      </c>
    </row>
    <row r="511" spans="1:7" x14ac:dyDescent="0.25">
      <c r="A511" s="1" t="s">
        <v>1459</v>
      </c>
      <c r="B511" s="1" t="s">
        <v>1307</v>
      </c>
      <c r="C511" s="1" t="s">
        <v>1462</v>
      </c>
      <c r="D511" t="str">
        <f>IFERROR(VLOOKUP(A511,depara!A:B,2,0),A511)</f>
        <v>9995026</v>
      </c>
      <c r="E511">
        <f>VLOOKUP(B511,'inumos depara'!$A:$B,2,0)</f>
        <v>16298707</v>
      </c>
      <c r="F511" s="1" t="str">
        <f t="shared" si="14"/>
        <v>2.21000736669122E-05</v>
      </c>
      <c r="G511" t="str">
        <f t="shared" si="15"/>
        <v>9995026,16298707,2.21000736669122E-05</v>
      </c>
    </row>
    <row r="512" spans="1:7" x14ac:dyDescent="0.25">
      <c r="A512" s="1" t="s">
        <v>1459</v>
      </c>
      <c r="B512" s="1" t="s">
        <v>1219</v>
      </c>
      <c r="C512" s="1" t="s">
        <v>249</v>
      </c>
      <c r="D512" t="str">
        <f>IFERROR(VLOOKUP(A512,depara!A:B,2,0),A512)</f>
        <v>9995026</v>
      </c>
      <c r="E512">
        <f>VLOOKUP(B512,'inumos depara'!$A:$B,2,0)</f>
        <v>16298624</v>
      </c>
      <c r="F512" s="1" t="str">
        <f t="shared" si="14"/>
        <v>0.000340001133337111</v>
      </c>
      <c r="G512" t="str">
        <f t="shared" si="15"/>
        <v>9995026,16298624,0.000340001133337111</v>
      </c>
    </row>
    <row r="513" spans="1:7" x14ac:dyDescent="0.25">
      <c r="A513" s="1" t="s">
        <v>1459</v>
      </c>
      <c r="B513" s="1" t="s">
        <v>1334</v>
      </c>
      <c r="C513" s="1" t="s">
        <v>248</v>
      </c>
      <c r="D513" t="str">
        <f>IFERROR(VLOOKUP(A513,depara!A:B,2,0),A513)</f>
        <v>9995026</v>
      </c>
      <c r="E513">
        <f>VLOOKUP(B513,'inumos depara'!$A:$B,2,0)</f>
        <v>16298726</v>
      </c>
      <c r="F513" s="1" t="str">
        <f t="shared" si="14"/>
        <v>0.000170000566668556</v>
      </c>
      <c r="G513" t="str">
        <f t="shared" si="15"/>
        <v>9995026,16298726,0.000170000566668556</v>
      </c>
    </row>
    <row r="514" spans="1:7" x14ac:dyDescent="0.25">
      <c r="A514" s="1" t="s">
        <v>1459</v>
      </c>
      <c r="B514" s="1" t="s">
        <v>1168</v>
      </c>
      <c r="C514" s="1" t="s">
        <v>250</v>
      </c>
      <c r="D514" t="str">
        <f>IFERROR(VLOOKUP(A514,depara!A:B,2,0),A514)</f>
        <v>9995026</v>
      </c>
      <c r="E514">
        <f>VLOOKUP(B514,'inumos depara'!$A:$B,2,0)</f>
        <v>16298577</v>
      </c>
      <c r="F514" s="1" t="str">
        <f t="shared" ref="F514:F577" si="16">C514</f>
        <v>0.000255000850002833</v>
      </c>
      <c r="G514" t="str">
        <f t="shared" ref="G514:G577" si="17">D514&amp;","&amp;E514&amp;","&amp;F514</f>
        <v>9995026,16298577,0.000255000850002833</v>
      </c>
    </row>
    <row r="515" spans="1:7" x14ac:dyDescent="0.25">
      <c r="A515" s="1" t="s">
        <v>1459</v>
      </c>
      <c r="B515" s="1" t="s">
        <v>1187</v>
      </c>
      <c r="C515" s="1" t="s">
        <v>248</v>
      </c>
      <c r="D515" t="str">
        <f>IFERROR(VLOOKUP(A515,depara!A:B,2,0),A515)</f>
        <v>9995026</v>
      </c>
      <c r="E515">
        <f>VLOOKUP(B515,'inumos depara'!$A:$B,2,0)</f>
        <v>16298593</v>
      </c>
      <c r="F515" s="1" t="str">
        <f t="shared" si="16"/>
        <v>0.000170000566668556</v>
      </c>
      <c r="G515" t="str">
        <f t="shared" si="17"/>
        <v>9995026,16298593,0.000170000566668556</v>
      </c>
    </row>
    <row r="516" spans="1:7" x14ac:dyDescent="0.25">
      <c r="A516" s="1" t="s">
        <v>1463</v>
      </c>
      <c r="B516" s="1" t="s">
        <v>1260</v>
      </c>
      <c r="C516" s="1" t="s">
        <v>251</v>
      </c>
      <c r="D516" t="str">
        <f>IFERROR(VLOOKUP(A516,depara!A:B,2,0),A516)</f>
        <v>9995027</v>
      </c>
      <c r="E516">
        <f>VLOOKUP(B516,'inumos depara'!$A:$B,2,0)</f>
        <v>16298727</v>
      </c>
      <c r="F516" s="1" t="str">
        <f t="shared" si="16"/>
        <v>0.00570895957124549</v>
      </c>
      <c r="G516" t="str">
        <f t="shared" si="17"/>
        <v>9995027,16298727,0.00570895957124549</v>
      </c>
    </row>
    <row r="517" spans="1:7" x14ac:dyDescent="0.25">
      <c r="A517" s="1" t="s">
        <v>1463</v>
      </c>
      <c r="B517" s="1" t="s">
        <v>252</v>
      </c>
      <c r="C517" s="1" t="s">
        <v>253</v>
      </c>
      <c r="D517" t="str">
        <f>IFERROR(VLOOKUP(A517,depara!A:B,2,0),A517)</f>
        <v>9995027</v>
      </c>
      <c r="E517">
        <f>VLOOKUP(B517,'inumos depara'!$A:$B,2,0)</f>
        <v>16298819</v>
      </c>
      <c r="F517" s="1" t="str">
        <f t="shared" si="16"/>
        <v>0.00144471629966212</v>
      </c>
      <c r="G517" t="str">
        <f t="shared" si="17"/>
        <v>9995027,16298819,0.00144471629966212</v>
      </c>
    </row>
    <row r="518" spans="1:7" x14ac:dyDescent="0.25">
      <c r="A518" s="1" t="s">
        <v>1463</v>
      </c>
      <c r="B518" s="1" t="s">
        <v>1443</v>
      </c>
      <c r="C518" s="1" t="s">
        <v>254</v>
      </c>
      <c r="D518" t="str">
        <f>IFERROR(VLOOKUP(A518,depara!A:B,2,0),A518)</f>
        <v>9995027</v>
      </c>
      <c r="E518">
        <f>VLOOKUP(B518,'inumos depara'!$A:$B,2,0)</f>
        <v>16298809</v>
      </c>
      <c r="F518" s="1" t="str">
        <f t="shared" si="16"/>
        <v>0.00808575090294769</v>
      </c>
      <c r="G518" t="str">
        <f t="shared" si="17"/>
        <v>9995027,16298809,0.00808575090294769</v>
      </c>
    </row>
    <row r="519" spans="1:7" x14ac:dyDescent="0.25">
      <c r="A519" s="1" t="s">
        <v>1464</v>
      </c>
      <c r="B519" s="1" t="s">
        <v>165</v>
      </c>
      <c r="C519" s="1" t="s">
        <v>224</v>
      </c>
      <c r="D519" t="str">
        <f>IFERROR(VLOOKUP(A519,depara!A:B,2,0),A519)</f>
        <v>9997253</v>
      </c>
      <c r="E519">
        <f>VLOOKUP(B519,'inumos depara'!$A:$B,2,0)</f>
        <v>16298749</v>
      </c>
      <c r="F519" s="1" t="str">
        <f t="shared" si="16"/>
        <v>0.0115875580231182</v>
      </c>
      <c r="G519" t="str">
        <f t="shared" si="17"/>
        <v>9997253,16298749,0.0115875580231182</v>
      </c>
    </row>
    <row r="520" spans="1:7" x14ac:dyDescent="0.25">
      <c r="A520" s="1" t="s">
        <v>1464</v>
      </c>
      <c r="B520" s="1" t="s">
        <v>1465</v>
      </c>
      <c r="C520" s="1" t="s">
        <v>225</v>
      </c>
      <c r="D520" t="str">
        <f>IFERROR(VLOOKUP(A520,depara!A:B,2,0),A520)</f>
        <v>9997253</v>
      </c>
      <c r="E520">
        <f>VLOOKUP(B520,'inumos depara'!$A:$B,2,0)</f>
        <v>16298820</v>
      </c>
      <c r="F520" s="1" t="str">
        <f t="shared" si="16"/>
        <v>0.00136524984072085</v>
      </c>
      <c r="G520" t="str">
        <f t="shared" si="17"/>
        <v>9997253,16298820,0.00136524984072085</v>
      </c>
    </row>
    <row r="521" spans="1:7" x14ac:dyDescent="0.25">
      <c r="A521" s="1" t="s">
        <v>1464</v>
      </c>
      <c r="B521" s="1" t="s">
        <v>1443</v>
      </c>
      <c r="C521" s="1" t="s">
        <v>226</v>
      </c>
      <c r="D521" t="str">
        <f>IFERROR(VLOOKUP(A521,depara!A:B,2,0),A521)</f>
        <v>9997253</v>
      </c>
      <c r="E521">
        <f>VLOOKUP(B521,'inumos depara'!$A:$B,2,0)</f>
        <v>16298809</v>
      </c>
      <c r="F521" s="1" t="str">
        <f t="shared" si="16"/>
        <v>0.0105238008555566</v>
      </c>
      <c r="G521" t="str">
        <f t="shared" si="17"/>
        <v>9997253,16298809,0.0105238008555566</v>
      </c>
    </row>
    <row r="522" spans="1:7" x14ac:dyDescent="0.25">
      <c r="A522" s="1" t="s">
        <v>1466</v>
      </c>
      <c r="B522" s="1" t="s">
        <v>166</v>
      </c>
      <c r="C522" s="1" t="s">
        <v>255</v>
      </c>
      <c r="D522" t="str">
        <f>IFERROR(VLOOKUP(A522,depara!A:B,2,0),A522)</f>
        <v>9997256</v>
      </c>
      <c r="E522">
        <f>VLOOKUP(B522,'inumos depara'!$A:$B,2,0)</f>
        <v>16298754</v>
      </c>
      <c r="F522" s="1" t="str">
        <f t="shared" si="16"/>
        <v>0.0113116392714349</v>
      </c>
      <c r="G522" t="str">
        <f t="shared" si="17"/>
        <v>9997256,16298754,0.0113116392714349</v>
      </c>
    </row>
    <row r="523" spans="1:7" x14ac:dyDescent="0.25">
      <c r="A523" s="1" t="s">
        <v>1466</v>
      </c>
      <c r="B523" s="1" t="s">
        <v>1467</v>
      </c>
      <c r="C523" s="1" t="s">
        <v>256</v>
      </c>
      <c r="D523" t="str">
        <f>IFERROR(VLOOKUP(A523,depara!A:B,2,0),A523)</f>
        <v>9997256</v>
      </c>
      <c r="E523">
        <f>VLOOKUP(B523,'inumos depara'!$A:$B,2,0)</f>
        <v>16298821</v>
      </c>
      <c r="F523" s="1" t="str">
        <f t="shared" si="16"/>
        <v>0.00136605952909818</v>
      </c>
      <c r="G523" t="str">
        <f t="shared" si="17"/>
        <v>9997256,16298821,0.00136605952909818</v>
      </c>
    </row>
    <row r="524" spans="1:7" x14ac:dyDescent="0.25">
      <c r="A524" s="1" t="s">
        <v>1466</v>
      </c>
      <c r="B524" s="1" t="s">
        <v>1443</v>
      </c>
      <c r="C524" s="1" t="s">
        <v>257</v>
      </c>
      <c r="D524" t="str">
        <f>IFERROR(VLOOKUP(A524,depara!A:B,2,0),A524)</f>
        <v>9997256</v>
      </c>
      <c r="E524">
        <f>VLOOKUP(B524,'inumos depara'!$A:$B,2,0)</f>
        <v>16298809</v>
      </c>
      <c r="F524" s="1" t="str">
        <f t="shared" si="16"/>
        <v>0.0105175477565526</v>
      </c>
      <c r="G524" t="str">
        <f t="shared" si="17"/>
        <v>9997256,16298809,0.0105175477565526</v>
      </c>
    </row>
    <row r="525" spans="1:7" x14ac:dyDescent="0.25">
      <c r="A525" s="1" t="s">
        <v>1468</v>
      </c>
      <c r="B525" s="1" t="s">
        <v>258</v>
      </c>
      <c r="C525" s="1" t="s">
        <v>259</v>
      </c>
      <c r="D525" t="str">
        <f>IFERROR(VLOOKUP(A525,depara!A:B,2,0),A525)</f>
        <v>9997290</v>
      </c>
      <c r="E525">
        <f>VLOOKUP(B525,'inumos depara'!$A:$B,2,0)</f>
        <v>16298822</v>
      </c>
      <c r="F525" s="1" t="str">
        <f t="shared" si="16"/>
        <v>0.0108646446355817</v>
      </c>
      <c r="G525" t="str">
        <f t="shared" si="17"/>
        <v>9997290,16298822,0.0108646446355817</v>
      </c>
    </row>
    <row r="526" spans="1:7" x14ac:dyDescent="0.25">
      <c r="A526" s="1" t="s">
        <v>1468</v>
      </c>
      <c r="B526" s="1" t="s">
        <v>1469</v>
      </c>
      <c r="C526" s="1" t="s">
        <v>260</v>
      </c>
      <c r="D526" t="str">
        <f>IFERROR(VLOOKUP(A526,depara!A:B,2,0),A526)</f>
        <v>9997290</v>
      </c>
      <c r="E526">
        <f>VLOOKUP(B526,'inumos depara'!$A:$B,2,0)</f>
        <v>16298823</v>
      </c>
      <c r="F526" s="1" t="str">
        <f t="shared" si="16"/>
        <v>0.00137963741404212</v>
      </c>
      <c r="G526" t="str">
        <f t="shared" si="17"/>
        <v>9997290,16298823,0.00137963741404212</v>
      </c>
    </row>
    <row r="527" spans="1:7" x14ac:dyDescent="0.25">
      <c r="A527" s="1" t="s">
        <v>1468</v>
      </c>
      <c r="B527" s="1" t="s">
        <v>1443</v>
      </c>
      <c r="C527" s="1" t="s">
        <v>261</v>
      </c>
      <c r="D527" t="str">
        <f>IFERROR(VLOOKUP(A527,depara!A:B,2,0),A527)</f>
        <v>9997290</v>
      </c>
      <c r="E527">
        <f>VLOOKUP(B527,'inumos depara'!$A:$B,2,0)</f>
        <v>16298809</v>
      </c>
      <c r="F527" s="1" t="str">
        <f t="shared" si="16"/>
        <v>0.0106275194550432</v>
      </c>
      <c r="G527" t="str">
        <f t="shared" si="17"/>
        <v>9997290,16298809,0.0106275194550432</v>
      </c>
    </row>
    <row r="528" spans="1:7" x14ac:dyDescent="0.25">
      <c r="A528" s="1" t="s">
        <v>1470</v>
      </c>
      <c r="B528" s="1" t="s">
        <v>262</v>
      </c>
      <c r="C528" s="1" t="s">
        <v>259</v>
      </c>
      <c r="D528" t="str">
        <f>IFERROR(VLOOKUP(A528,depara!A:B,2,0),A528)</f>
        <v>9997291</v>
      </c>
      <c r="E528">
        <f>VLOOKUP(B528,'inumos depara'!$A:$B,2,0)</f>
        <v>16298824</v>
      </c>
      <c r="F528" s="1" t="str">
        <f t="shared" si="16"/>
        <v>0.0108646446355817</v>
      </c>
      <c r="G528" t="str">
        <f t="shared" si="17"/>
        <v>9997291,16298824,0.0108646446355817</v>
      </c>
    </row>
    <row r="529" spans="1:7" x14ac:dyDescent="0.25">
      <c r="A529" s="1" t="s">
        <v>1470</v>
      </c>
      <c r="B529" s="1" t="s">
        <v>1471</v>
      </c>
      <c r="C529" s="1" t="s">
        <v>260</v>
      </c>
      <c r="D529" t="str">
        <f>IFERROR(VLOOKUP(A529,depara!A:B,2,0),A529)</f>
        <v>9997291</v>
      </c>
      <c r="E529">
        <f>VLOOKUP(B529,'inumos depara'!$A:$B,2,0)</f>
        <v>16298825</v>
      </c>
      <c r="F529" s="1" t="str">
        <f t="shared" si="16"/>
        <v>0.00137963741404212</v>
      </c>
      <c r="G529" t="str">
        <f t="shared" si="17"/>
        <v>9997291,16298825,0.00137963741404212</v>
      </c>
    </row>
    <row r="530" spans="1:7" x14ac:dyDescent="0.25">
      <c r="A530" s="1" t="s">
        <v>1470</v>
      </c>
      <c r="B530" s="1" t="s">
        <v>1443</v>
      </c>
      <c r="C530" s="1" t="s">
        <v>261</v>
      </c>
      <c r="D530" t="str">
        <f>IFERROR(VLOOKUP(A530,depara!A:B,2,0),A530)</f>
        <v>9997291</v>
      </c>
      <c r="E530">
        <f>VLOOKUP(B530,'inumos depara'!$A:$B,2,0)</f>
        <v>16298809</v>
      </c>
      <c r="F530" s="1" t="str">
        <f t="shared" si="16"/>
        <v>0.0106275194550432</v>
      </c>
      <c r="G530" t="str">
        <f t="shared" si="17"/>
        <v>9997291,16298809,0.0106275194550432</v>
      </c>
    </row>
    <row r="531" spans="1:7" x14ac:dyDescent="0.25">
      <c r="A531" s="1" t="s">
        <v>1472</v>
      </c>
      <c r="B531" s="1" t="s">
        <v>1303</v>
      </c>
      <c r="C531" s="1" t="s">
        <v>263</v>
      </c>
      <c r="D531" t="str">
        <f>IFERROR(VLOOKUP(A531,depara!A:B,2,0),A531)</f>
        <v>9997729</v>
      </c>
      <c r="E531">
        <f>VLOOKUP(B531,'inumos depara'!$A:$B,2,0)</f>
        <v>16298704</v>
      </c>
      <c r="F531" s="1" t="str">
        <f t="shared" si="16"/>
        <v>0.016300970027881</v>
      </c>
      <c r="G531" t="str">
        <f t="shared" si="17"/>
        <v>9997729,16298704,0.016300970027881</v>
      </c>
    </row>
    <row r="532" spans="1:7" x14ac:dyDescent="0.25">
      <c r="A532" s="1" t="s">
        <v>1472</v>
      </c>
      <c r="B532" s="1" t="s">
        <v>1373</v>
      </c>
      <c r="C532" s="1" t="s">
        <v>264</v>
      </c>
      <c r="D532" t="str">
        <f>IFERROR(VLOOKUP(A532,depara!A:B,2,0),A532)</f>
        <v>9997729</v>
      </c>
      <c r="E532">
        <f>VLOOKUP(B532,'inumos depara'!$A:$B,2,0)</f>
        <v>16298758</v>
      </c>
      <c r="F532" s="1" t="str">
        <f t="shared" si="16"/>
        <v>0.000283166821561338</v>
      </c>
      <c r="G532" t="str">
        <f t="shared" si="17"/>
        <v>9997729,16298758,0.000283166821561338</v>
      </c>
    </row>
    <row r="533" spans="1:7" x14ac:dyDescent="0.25">
      <c r="A533" s="1" t="s">
        <v>1472</v>
      </c>
      <c r="B533" s="1" t="s">
        <v>1304</v>
      </c>
      <c r="C533" s="1" t="s">
        <v>265</v>
      </c>
      <c r="D533" t="str">
        <f>IFERROR(VLOOKUP(A533,depara!A:B,2,0),A533)</f>
        <v>9997729</v>
      </c>
      <c r="E533">
        <f>VLOOKUP(B533,'inumos depara'!$A:$B,2,0)</f>
        <v>16298705</v>
      </c>
      <c r="F533" s="1" t="str">
        <f t="shared" si="16"/>
        <v>0.00113266728624535</v>
      </c>
      <c r="G533" t="str">
        <f t="shared" si="17"/>
        <v>9997729,16298705,0.00113266728624535</v>
      </c>
    </row>
    <row r="534" spans="1:7" x14ac:dyDescent="0.25">
      <c r="A534" s="1" t="s">
        <v>1472</v>
      </c>
      <c r="B534" s="1" t="s">
        <v>1186</v>
      </c>
      <c r="C534" s="1" t="s">
        <v>266</v>
      </c>
      <c r="D534" t="str">
        <f>IFERROR(VLOOKUP(A534,depara!A:B,2,0),A534)</f>
        <v>9997729</v>
      </c>
      <c r="E534">
        <f>VLOOKUP(B534,'inumos depara'!$A:$B,2,0)</f>
        <v>16298592</v>
      </c>
      <c r="F534" s="1" t="str">
        <f t="shared" si="16"/>
        <v>0.00036811686802974</v>
      </c>
      <c r="G534" t="str">
        <f t="shared" si="17"/>
        <v>9997729,16298592,0.00036811686802974</v>
      </c>
    </row>
    <row r="535" spans="1:7" x14ac:dyDescent="0.25">
      <c r="A535" s="1" t="s">
        <v>1472</v>
      </c>
      <c r="B535" s="1" t="s">
        <v>1187</v>
      </c>
      <c r="C535" s="1" t="s">
        <v>267</v>
      </c>
      <c r="D535" t="str">
        <f>IFERROR(VLOOKUP(A535,depara!A:B,2,0),A535)</f>
        <v>9997729</v>
      </c>
      <c r="E535">
        <f>VLOOKUP(B535,'inumos depara'!$A:$B,2,0)</f>
        <v>16298593</v>
      </c>
      <c r="F535" s="1" t="str">
        <f t="shared" si="16"/>
        <v>0.000188777881040892</v>
      </c>
      <c r="G535" t="str">
        <f t="shared" si="17"/>
        <v>9997729,16298593,0.000188777881040892</v>
      </c>
    </row>
    <row r="536" spans="1:7" x14ac:dyDescent="0.25">
      <c r="A536" s="1" t="s">
        <v>1472</v>
      </c>
      <c r="B536" s="1" t="s">
        <v>1190</v>
      </c>
      <c r="C536" s="1" t="s">
        <v>267</v>
      </c>
      <c r="D536" t="str">
        <f>IFERROR(VLOOKUP(A536,depara!A:B,2,0),A536)</f>
        <v>9997729</v>
      </c>
      <c r="E536">
        <f>VLOOKUP(B536,'inumos depara'!$A:$B,2,0)</f>
        <v>16298596</v>
      </c>
      <c r="F536" s="1" t="str">
        <f t="shared" si="16"/>
        <v>0.000188777881040892</v>
      </c>
      <c r="G536" t="str">
        <f t="shared" si="17"/>
        <v>9997729,16298596,0.000188777881040892</v>
      </c>
    </row>
    <row r="537" spans="1:7" x14ac:dyDescent="0.25">
      <c r="A537" s="1" t="s">
        <v>1472</v>
      </c>
      <c r="B537" s="1" t="s">
        <v>1305</v>
      </c>
      <c r="C537" s="1" t="s">
        <v>268</v>
      </c>
      <c r="D537" t="str">
        <f>IFERROR(VLOOKUP(A537,depara!A:B,2,0),A537)</f>
        <v>9997729</v>
      </c>
      <c r="E537">
        <f>VLOOKUP(B537,'inumos depara'!$A:$B,2,0)</f>
        <v>16298706</v>
      </c>
      <c r="F537" s="1" t="str">
        <f t="shared" si="16"/>
        <v>0.000377555762081784</v>
      </c>
      <c r="G537" t="str">
        <f t="shared" si="17"/>
        <v>9997729,16298706,0.000377555762081784</v>
      </c>
    </row>
    <row r="538" spans="1:7" x14ac:dyDescent="0.25">
      <c r="A538" s="1" t="s">
        <v>1472</v>
      </c>
      <c r="B538" s="1" t="s">
        <v>1193</v>
      </c>
      <c r="C538" s="1" t="s">
        <v>1473</v>
      </c>
      <c r="D538" t="str">
        <f>IFERROR(VLOOKUP(A538,depara!A:B,2,0),A538)</f>
        <v>9997729</v>
      </c>
      <c r="E538">
        <f>VLOOKUP(B538,'inumos depara'!$A:$B,2,0)</f>
        <v>16298599</v>
      </c>
      <c r="F538" s="1" t="str">
        <f t="shared" si="16"/>
        <v>3.77555762081784E-05</v>
      </c>
      <c r="G538" t="str">
        <f t="shared" si="17"/>
        <v>9997729,16298599,3.77555762081784E-05</v>
      </c>
    </row>
    <row r="539" spans="1:7" x14ac:dyDescent="0.25">
      <c r="A539" s="1" t="s">
        <v>1472</v>
      </c>
      <c r="B539" s="1" t="s">
        <v>269</v>
      </c>
      <c r="C539" s="1" t="s">
        <v>270</v>
      </c>
      <c r="D539" t="str">
        <f>IFERROR(VLOOKUP(A539,depara!A:B,2,0),A539)</f>
        <v>9997729</v>
      </c>
      <c r="E539">
        <f>VLOOKUP(B539,'inumos depara'!$A:$B,2,0)</f>
        <v>16298826</v>
      </c>
      <c r="F539" s="1" t="str">
        <f t="shared" si="16"/>
        <v>0.000522769516728624</v>
      </c>
      <c r="G539" t="str">
        <f t="shared" si="17"/>
        <v>9997729,16298826,0.000522769516728624</v>
      </c>
    </row>
    <row r="540" spans="1:7" x14ac:dyDescent="0.25">
      <c r="A540" s="1" t="s">
        <v>1472</v>
      </c>
      <c r="B540" s="1" t="s">
        <v>1301</v>
      </c>
      <c r="C540" s="1" t="s">
        <v>271</v>
      </c>
      <c r="D540" t="str">
        <f>IFERROR(VLOOKUP(A540,depara!A:B,2,0),A540)</f>
        <v>9997729</v>
      </c>
      <c r="E540">
        <f>VLOOKUP(B540,'inumos depara'!$A:$B,2,0)</f>
        <v>16298703</v>
      </c>
      <c r="F540" s="1" t="str">
        <f t="shared" si="16"/>
        <v>0.0101940055762082</v>
      </c>
      <c r="G540" t="str">
        <f t="shared" si="17"/>
        <v>9997729,16298703,0.0101940055762082</v>
      </c>
    </row>
    <row r="541" spans="1:7" x14ac:dyDescent="0.25">
      <c r="A541" s="1" t="s">
        <v>1474</v>
      </c>
      <c r="B541" s="1" t="s">
        <v>272</v>
      </c>
      <c r="C541" s="1" t="s">
        <v>238</v>
      </c>
      <c r="D541" t="str">
        <f>IFERROR(VLOOKUP(A541,depara!A:B,2,0),A541)</f>
        <v>9997730</v>
      </c>
      <c r="E541">
        <f>VLOOKUP(B541,'inumos depara'!$A:$B,2,0)</f>
        <v>16298827</v>
      </c>
      <c r="F541" s="1" t="str">
        <f t="shared" si="16"/>
        <v>0.00584894391675376</v>
      </c>
      <c r="G541" t="str">
        <f t="shared" si="17"/>
        <v>9997730,16298827,0.00584894391675376</v>
      </c>
    </row>
    <row r="542" spans="1:7" x14ac:dyDescent="0.25">
      <c r="A542" s="1" t="s">
        <v>1474</v>
      </c>
      <c r="B542" s="1" t="s">
        <v>1475</v>
      </c>
      <c r="C542" s="1" t="s">
        <v>239</v>
      </c>
      <c r="D542" t="str">
        <f>IFERROR(VLOOKUP(A542,depara!A:B,2,0),A542)</f>
        <v>9997730</v>
      </c>
      <c r="E542">
        <f>VLOOKUP(B542,'inumos depara'!$A:$B,2,0)</f>
        <v>16298828</v>
      </c>
      <c r="F542" s="1" t="str">
        <f t="shared" si="16"/>
        <v>0.00136676352693902</v>
      </c>
      <c r="G542" t="str">
        <f t="shared" si="17"/>
        <v>9997730,16298828,0.00136676352693902</v>
      </c>
    </row>
    <row r="543" spans="1:7" x14ac:dyDescent="0.25">
      <c r="A543" s="1" t="s">
        <v>1474</v>
      </c>
      <c r="B543" s="1" t="s">
        <v>1443</v>
      </c>
      <c r="C543" s="1" t="s">
        <v>240</v>
      </c>
      <c r="D543" t="str">
        <f>IFERROR(VLOOKUP(A543,depara!A:B,2,0),A543)</f>
        <v>9997730</v>
      </c>
      <c r="E543">
        <f>VLOOKUP(B543,'inumos depara'!$A:$B,2,0)</f>
        <v>16298809</v>
      </c>
      <c r="F543" s="1" t="str">
        <f t="shared" si="16"/>
        <v>0.0105206335350937</v>
      </c>
      <c r="G543" t="str">
        <f t="shared" si="17"/>
        <v>9997730,16298809,0.0105206335350937</v>
      </c>
    </row>
    <row r="544" spans="1:7" x14ac:dyDescent="0.25">
      <c r="A544" s="1" t="s">
        <v>1476</v>
      </c>
      <c r="B544" s="1" t="s">
        <v>186</v>
      </c>
      <c r="C544" s="1" t="s">
        <v>273</v>
      </c>
      <c r="D544" t="str">
        <f>IFERROR(VLOOKUP(A544,depara!A:B,2,0),A544)</f>
        <v>9997734</v>
      </c>
      <c r="E544">
        <f>VLOOKUP(B544,'inumos depara'!$A:$B,2,0)</f>
        <v>16298771</v>
      </c>
      <c r="F544" s="1" t="str">
        <f t="shared" si="16"/>
        <v>0.00590571726777224</v>
      </c>
      <c r="G544" t="str">
        <f t="shared" si="17"/>
        <v>9997734,16298771,0.00590571726777224</v>
      </c>
    </row>
    <row r="545" spans="1:7" x14ac:dyDescent="0.25">
      <c r="A545" s="1" t="s">
        <v>1476</v>
      </c>
      <c r="B545" s="1" t="s">
        <v>1477</v>
      </c>
      <c r="C545" s="1" t="s">
        <v>274</v>
      </c>
      <c r="D545" t="str">
        <f>IFERROR(VLOOKUP(A545,depara!A:B,2,0),A545)</f>
        <v>9997734</v>
      </c>
      <c r="E545">
        <f>VLOOKUP(B545,'inumos depara'!$A:$B,2,0)</f>
        <v>16298829</v>
      </c>
      <c r="F545" s="1" t="str">
        <f t="shared" si="16"/>
        <v>0.00136843325988635</v>
      </c>
      <c r="G545" t="str">
        <f t="shared" si="17"/>
        <v>9997734,16298829,0.00136843325988635</v>
      </c>
    </row>
    <row r="546" spans="1:7" x14ac:dyDescent="0.25">
      <c r="A546" s="1" t="s">
        <v>1476</v>
      </c>
      <c r="B546" s="1" t="s">
        <v>1443</v>
      </c>
      <c r="C546" s="1" t="s">
        <v>275</v>
      </c>
      <c r="D546" t="str">
        <f>IFERROR(VLOOKUP(A546,depara!A:B,2,0),A546)</f>
        <v>9997734</v>
      </c>
      <c r="E546">
        <f>VLOOKUP(B546,'inumos depara'!$A:$B,2,0)</f>
        <v>16298809</v>
      </c>
      <c r="F546" s="1" t="str">
        <f t="shared" si="16"/>
        <v>0.0105183810738722</v>
      </c>
      <c r="G546" t="str">
        <f t="shared" si="17"/>
        <v>9997734,16298809,0.0105183810738722</v>
      </c>
    </row>
    <row r="547" spans="1:7" x14ac:dyDescent="0.25">
      <c r="A547" s="1" t="s">
        <v>1478</v>
      </c>
      <c r="B547" s="1" t="s">
        <v>1303</v>
      </c>
      <c r="C547" s="1" t="s">
        <v>276</v>
      </c>
      <c r="D547" t="str">
        <f>IFERROR(VLOOKUP(A547,depara!A:B,2,0),A547)</f>
        <v>9997740</v>
      </c>
      <c r="E547">
        <f>VLOOKUP(B547,'inumos depara'!$A:$B,2,0)</f>
        <v>16298704</v>
      </c>
      <c r="F547" s="1" t="str">
        <f t="shared" si="16"/>
        <v>0.0153757351339577</v>
      </c>
      <c r="G547" t="str">
        <f t="shared" si="17"/>
        <v>9997740,16298704,0.0153757351339577</v>
      </c>
    </row>
    <row r="548" spans="1:7" x14ac:dyDescent="0.25">
      <c r="A548" s="1" t="s">
        <v>1478</v>
      </c>
      <c r="B548" s="1" t="s">
        <v>1304</v>
      </c>
      <c r="C548" s="1" t="s">
        <v>277</v>
      </c>
      <c r="D548" t="str">
        <f>IFERROR(VLOOKUP(A548,depara!A:B,2,0),A548)</f>
        <v>9997740</v>
      </c>
      <c r="E548">
        <f>VLOOKUP(B548,'inumos depara'!$A:$B,2,0)</f>
        <v>16298705</v>
      </c>
      <c r="F548" s="1" t="str">
        <f t="shared" si="16"/>
        <v>0.000755100559064837</v>
      </c>
      <c r="G548" t="str">
        <f t="shared" si="17"/>
        <v>9997740,16298705,0.000755100559064837</v>
      </c>
    </row>
    <row r="549" spans="1:7" x14ac:dyDescent="0.25">
      <c r="A549" s="1" t="s">
        <v>1478</v>
      </c>
      <c r="B549" s="1" t="s">
        <v>1305</v>
      </c>
      <c r="C549" s="1" t="s">
        <v>278</v>
      </c>
      <c r="D549" t="str">
        <f>IFERROR(VLOOKUP(A549,depara!A:B,2,0),A549)</f>
        <v>9997740</v>
      </c>
      <c r="E549">
        <f>VLOOKUP(B549,'inumos depara'!$A:$B,2,0)</f>
        <v>16298706</v>
      </c>
      <c r="F549" s="1" t="str">
        <f t="shared" si="16"/>
        <v>0.000377550279532419</v>
      </c>
      <c r="G549" t="str">
        <f t="shared" si="17"/>
        <v>9997740,16298706,0.000377550279532419</v>
      </c>
    </row>
    <row r="550" spans="1:7" x14ac:dyDescent="0.25">
      <c r="A550" s="1" t="s">
        <v>1478</v>
      </c>
      <c r="B550" s="1" t="s">
        <v>1376</v>
      </c>
      <c r="C550" s="1" t="s">
        <v>279</v>
      </c>
      <c r="D550" t="str">
        <f>IFERROR(VLOOKUP(A550,depara!A:B,2,0),A550)</f>
        <v>9997740</v>
      </c>
      <c r="E550">
        <f>VLOOKUP(B550,'inumos depara'!$A:$B,2,0)</f>
        <v>16298760</v>
      </c>
      <c r="F550" s="1" t="str">
        <f t="shared" si="16"/>
        <v>0.000188775139766209</v>
      </c>
      <c r="G550" t="str">
        <f t="shared" si="17"/>
        <v>9997740,16298760,0.000188775139766209</v>
      </c>
    </row>
    <row r="551" spans="1:7" x14ac:dyDescent="0.25">
      <c r="A551" s="1" t="s">
        <v>1478</v>
      </c>
      <c r="B551" s="1" t="s">
        <v>1205</v>
      </c>
      <c r="C551" s="1" t="s">
        <v>1479</v>
      </c>
      <c r="D551" t="str">
        <f>IFERROR(VLOOKUP(A551,depara!A:B,2,0),A551)</f>
        <v>9997740</v>
      </c>
      <c r="E551">
        <f>VLOOKUP(B551,'inumos depara'!$A:$B,2,0)</f>
        <v>16298610</v>
      </c>
      <c r="F551" s="1" t="str">
        <f t="shared" si="16"/>
        <v>9.43875698831046E-05</v>
      </c>
      <c r="G551" t="str">
        <f t="shared" si="17"/>
        <v>9997740,16298610,9.43875698831046E-05</v>
      </c>
    </row>
    <row r="552" spans="1:7" x14ac:dyDescent="0.25">
      <c r="A552" s="1" t="s">
        <v>1478</v>
      </c>
      <c r="B552" s="1" t="s">
        <v>1377</v>
      </c>
      <c r="C552" s="1" t="s">
        <v>279</v>
      </c>
      <c r="D552" t="str">
        <f>IFERROR(VLOOKUP(A552,depara!A:B,2,0),A552)</f>
        <v>9997740</v>
      </c>
      <c r="E552">
        <f>VLOOKUP(B552,'inumos depara'!$A:$B,2,0)</f>
        <v>16298761</v>
      </c>
      <c r="F552" s="1" t="str">
        <f t="shared" si="16"/>
        <v>0.000188775139766209</v>
      </c>
      <c r="G552" t="str">
        <f t="shared" si="17"/>
        <v>9997740,16298761,0.000188775139766209</v>
      </c>
    </row>
    <row r="553" spans="1:7" x14ac:dyDescent="0.25">
      <c r="A553" s="1" t="s">
        <v>1478</v>
      </c>
      <c r="B553" s="1" t="s">
        <v>1157</v>
      </c>
      <c r="C553" s="1" t="s">
        <v>1479</v>
      </c>
      <c r="D553" t="str">
        <f>IFERROR(VLOOKUP(A553,depara!A:B,2,0),A553)</f>
        <v>9997740</v>
      </c>
      <c r="E553">
        <f>VLOOKUP(B553,'inumos depara'!$A:$B,2,0)</f>
        <v>16298568</v>
      </c>
      <c r="F553" s="1" t="str">
        <f t="shared" si="16"/>
        <v>9.43875698831046E-05</v>
      </c>
      <c r="G553" t="str">
        <f t="shared" si="17"/>
        <v>9997740,16298568,9.43875698831046E-05</v>
      </c>
    </row>
    <row r="554" spans="1:7" x14ac:dyDescent="0.25">
      <c r="A554" s="1" t="s">
        <v>1478</v>
      </c>
      <c r="B554" s="1" t="s">
        <v>1378</v>
      </c>
      <c r="C554" s="1" t="s">
        <v>278</v>
      </c>
      <c r="D554" t="str">
        <f>IFERROR(VLOOKUP(A554,depara!A:B,2,0),A554)</f>
        <v>9997740</v>
      </c>
      <c r="E554">
        <f>VLOOKUP(B554,'inumos depara'!$A:$B,2,0)</f>
        <v>16298762</v>
      </c>
      <c r="F554" s="1" t="str">
        <f t="shared" si="16"/>
        <v>0.000377550279532419</v>
      </c>
      <c r="G554" t="str">
        <f t="shared" si="17"/>
        <v>9997740,16298762,0.000377550279532419</v>
      </c>
    </row>
    <row r="555" spans="1:7" x14ac:dyDescent="0.25">
      <c r="A555" s="1" t="s">
        <v>1478</v>
      </c>
      <c r="B555" s="1" t="s">
        <v>1379</v>
      </c>
      <c r="C555" s="1" t="s">
        <v>279</v>
      </c>
      <c r="D555" t="str">
        <f>IFERROR(VLOOKUP(A555,depara!A:B,2,0),A555)</f>
        <v>9997740</v>
      </c>
      <c r="E555">
        <f>VLOOKUP(B555,'inumos depara'!$A:$B,2,0)</f>
        <v>16298763</v>
      </c>
      <c r="F555" s="1" t="str">
        <f t="shared" si="16"/>
        <v>0.000188775139766209</v>
      </c>
      <c r="G555" t="str">
        <f t="shared" si="17"/>
        <v>9997740,16298763,0.000188775139766209</v>
      </c>
    </row>
    <row r="556" spans="1:7" x14ac:dyDescent="0.25">
      <c r="A556" s="1" t="s">
        <v>1478</v>
      </c>
      <c r="B556" s="1" t="s">
        <v>1380</v>
      </c>
      <c r="C556" s="1" t="s">
        <v>279</v>
      </c>
      <c r="D556" t="str">
        <f>IFERROR(VLOOKUP(A556,depara!A:B,2,0),A556)</f>
        <v>9997740</v>
      </c>
      <c r="E556">
        <f>VLOOKUP(B556,'inumos depara'!$A:$B,2,0)</f>
        <v>16298764</v>
      </c>
      <c r="F556" s="1" t="str">
        <f t="shared" si="16"/>
        <v>0.000188775139766209</v>
      </c>
      <c r="G556" t="str">
        <f t="shared" si="17"/>
        <v>9997740,16298764,0.000188775139766209</v>
      </c>
    </row>
    <row r="557" spans="1:7" x14ac:dyDescent="0.25">
      <c r="A557" s="1" t="s">
        <v>1478</v>
      </c>
      <c r="B557" s="1" t="s">
        <v>1180</v>
      </c>
      <c r="C557" s="1" t="s">
        <v>1479</v>
      </c>
      <c r="D557" t="str">
        <f>IFERROR(VLOOKUP(A557,depara!A:B,2,0),A557)</f>
        <v>9997740</v>
      </c>
      <c r="E557">
        <f>VLOOKUP(B557,'inumos depara'!$A:$B,2,0)</f>
        <v>16298588</v>
      </c>
      <c r="F557" s="1" t="str">
        <f t="shared" si="16"/>
        <v>9.43875698831046E-05</v>
      </c>
      <c r="G557" t="str">
        <f t="shared" si="17"/>
        <v>9997740,16298588,9.43875698831046E-05</v>
      </c>
    </row>
    <row r="558" spans="1:7" x14ac:dyDescent="0.25">
      <c r="A558" s="1" t="s">
        <v>1478</v>
      </c>
      <c r="B558" s="1" t="s">
        <v>1381</v>
      </c>
      <c r="C558" s="1" t="s">
        <v>279</v>
      </c>
      <c r="D558" t="str">
        <f>IFERROR(VLOOKUP(A558,depara!A:B,2,0),A558)</f>
        <v>9997740</v>
      </c>
      <c r="E558">
        <f>VLOOKUP(B558,'inumos depara'!$A:$B,2,0)</f>
        <v>16298765</v>
      </c>
      <c r="F558" s="1" t="str">
        <f t="shared" si="16"/>
        <v>0.000188775139766209</v>
      </c>
      <c r="G558" t="str">
        <f t="shared" si="17"/>
        <v>9997740,16298765,0.000188775139766209</v>
      </c>
    </row>
    <row r="559" spans="1:7" x14ac:dyDescent="0.25">
      <c r="A559" s="1" t="s">
        <v>1478</v>
      </c>
      <c r="B559" s="1" t="s">
        <v>1382</v>
      </c>
      <c r="C559" s="1" t="s">
        <v>278</v>
      </c>
      <c r="D559" t="str">
        <f>IFERROR(VLOOKUP(A559,depara!A:B,2,0),A559)</f>
        <v>9997740</v>
      </c>
      <c r="E559">
        <f>VLOOKUP(B559,'inumos depara'!$A:$B,2,0)</f>
        <v>16298766</v>
      </c>
      <c r="F559" s="1" t="str">
        <f t="shared" si="16"/>
        <v>0.000377550279532419</v>
      </c>
      <c r="G559" t="str">
        <f t="shared" si="17"/>
        <v>9997740,16298766,0.000377550279532419</v>
      </c>
    </row>
    <row r="560" spans="1:7" x14ac:dyDescent="0.25">
      <c r="A560" s="1" t="s">
        <v>1478</v>
      </c>
      <c r="B560" s="1" t="s">
        <v>1154</v>
      </c>
      <c r="C560" s="1" t="s">
        <v>279</v>
      </c>
      <c r="D560" t="str">
        <f>IFERROR(VLOOKUP(A560,depara!A:B,2,0),A560)</f>
        <v>9997740</v>
      </c>
      <c r="E560">
        <f>VLOOKUP(B560,'inumos depara'!$A:$B,2,0)</f>
        <v>16298565</v>
      </c>
      <c r="F560" s="1" t="str">
        <f t="shared" si="16"/>
        <v>0.000188775139766209</v>
      </c>
      <c r="G560" t="str">
        <f t="shared" si="17"/>
        <v>9997740,16298565,0.000188775139766209</v>
      </c>
    </row>
    <row r="561" spans="1:7" x14ac:dyDescent="0.25">
      <c r="A561" s="1" t="s">
        <v>1478</v>
      </c>
      <c r="B561" s="1" t="s">
        <v>1383</v>
      </c>
      <c r="C561" s="1" t="s">
        <v>1480</v>
      </c>
      <c r="D561" t="str">
        <f>IFERROR(VLOOKUP(A561,depara!A:B,2,0),A561)</f>
        <v>9997740</v>
      </c>
      <c r="E561">
        <f>VLOOKUP(B561,'inumos depara'!$A:$B,2,0)</f>
        <v>16298767</v>
      </c>
      <c r="F561" s="1" t="str">
        <f t="shared" si="16"/>
        <v>9.43875698831046E-06</v>
      </c>
      <c r="G561" t="str">
        <f t="shared" si="17"/>
        <v>9997740,16298767,9.43875698831046E-06</v>
      </c>
    </row>
    <row r="562" spans="1:7" x14ac:dyDescent="0.25">
      <c r="A562" s="1" t="s">
        <v>1478</v>
      </c>
      <c r="B562" s="1" t="s">
        <v>1385</v>
      </c>
      <c r="C562" s="1" t="s">
        <v>1479</v>
      </c>
      <c r="D562" t="str">
        <f>IFERROR(VLOOKUP(A562,depara!A:B,2,0),A562)</f>
        <v>9997740</v>
      </c>
      <c r="E562">
        <f>VLOOKUP(B562,'inumos depara'!$A:$B,2,0)</f>
        <v>16298768</v>
      </c>
      <c r="F562" s="1" t="str">
        <f t="shared" si="16"/>
        <v>9.43875698831046E-05</v>
      </c>
      <c r="G562" t="str">
        <f t="shared" si="17"/>
        <v>9997740,16298768,9.43875698831046E-05</v>
      </c>
    </row>
    <row r="563" spans="1:7" x14ac:dyDescent="0.25">
      <c r="A563" s="1" t="s">
        <v>1478</v>
      </c>
      <c r="B563" s="1" t="s">
        <v>1386</v>
      </c>
      <c r="C563" s="1" t="s">
        <v>1479</v>
      </c>
      <c r="D563" t="str">
        <f>IFERROR(VLOOKUP(A563,depara!A:B,2,0),A563)</f>
        <v>9997740</v>
      </c>
      <c r="E563">
        <f>VLOOKUP(B563,'inumos depara'!$A:$B,2,0)</f>
        <v>16298769</v>
      </c>
      <c r="F563" s="1" t="str">
        <f t="shared" si="16"/>
        <v>9.43875698831046E-05</v>
      </c>
      <c r="G563" t="str">
        <f t="shared" si="17"/>
        <v>9997740,16298769,9.43875698831046E-05</v>
      </c>
    </row>
    <row r="564" spans="1:7" x14ac:dyDescent="0.25">
      <c r="A564" s="1" t="s">
        <v>1478</v>
      </c>
      <c r="B564" s="1" t="s">
        <v>1481</v>
      </c>
      <c r="C564" s="1" t="s">
        <v>280</v>
      </c>
      <c r="D564" t="str">
        <f>IFERROR(VLOOKUP(A564,depara!A:B,2,0),A564)</f>
        <v>9997740</v>
      </c>
      <c r="E564">
        <f>VLOOKUP(B564,'inumos depara'!$A:$B,2,0)</f>
        <v>16298830</v>
      </c>
      <c r="F564" s="1" t="str">
        <f t="shared" si="16"/>
        <v>0.000508240760909025</v>
      </c>
      <c r="G564" t="str">
        <f t="shared" si="17"/>
        <v>9997740,16298830,0.000508240760909025</v>
      </c>
    </row>
    <row r="565" spans="1:7" x14ac:dyDescent="0.25">
      <c r="A565" s="1" t="s">
        <v>1478</v>
      </c>
      <c r="B565" s="1" t="s">
        <v>1301</v>
      </c>
      <c r="C565" s="1" t="s">
        <v>281</v>
      </c>
      <c r="D565" t="str">
        <f>IFERROR(VLOOKUP(A565,depara!A:B,2,0),A565)</f>
        <v>9997740</v>
      </c>
      <c r="E565">
        <f>VLOOKUP(B565,'inumos depara'!$A:$B,2,0)</f>
        <v>16298703</v>
      </c>
      <c r="F565" s="1" t="str">
        <f t="shared" si="16"/>
        <v>0.010201118129674</v>
      </c>
      <c r="G565" t="str">
        <f t="shared" si="17"/>
        <v>9997740,16298703,0.010201118129674</v>
      </c>
    </row>
    <row r="566" spans="1:7" x14ac:dyDescent="0.25">
      <c r="A566" s="1" t="s">
        <v>1482</v>
      </c>
      <c r="B566" s="1" t="s">
        <v>1171</v>
      </c>
      <c r="C566" s="1" t="s">
        <v>282</v>
      </c>
      <c r="D566" t="str">
        <f>IFERROR(VLOOKUP(A566,depara!A:B,2,0),A566)</f>
        <v>9997762</v>
      </c>
      <c r="E566">
        <f>VLOOKUP(B566,'inumos depara'!$A:$B,2,0)</f>
        <v>16298580</v>
      </c>
      <c r="F566" s="1" t="str">
        <f t="shared" si="16"/>
        <v>0.000018673561520151</v>
      </c>
      <c r="G566" t="str">
        <f t="shared" si="17"/>
        <v>9997762,16298580,0.000018673561520151</v>
      </c>
    </row>
    <row r="567" spans="1:7" x14ac:dyDescent="0.25">
      <c r="A567" s="1" t="s">
        <v>1482</v>
      </c>
      <c r="B567" s="1" t="s">
        <v>1239</v>
      </c>
      <c r="C567" s="1" t="s">
        <v>282</v>
      </c>
      <c r="D567" t="str">
        <f>IFERROR(VLOOKUP(A567,depara!A:B,2,0),A567)</f>
        <v>9997762</v>
      </c>
      <c r="E567">
        <f>VLOOKUP(B567,'inumos depara'!$A:$B,2,0)</f>
        <v>16298641</v>
      </c>
      <c r="F567" s="1" t="str">
        <f t="shared" si="16"/>
        <v>0.000018673561520151</v>
      </c>
      <c r="G567" t="str">
        <f t="shared" si="17"/>
        <v>9997762,16298641,0.000018673561520151</v>
      </c>
    </row>
    <row r="568" spans="1:7" x14ac:dyDescent="0.25">
      <c r="A568" s="1" t="s">
        <v>1482</v>
      </c>
      <c r="B568" s="1" t="s">
        <v>1315</v>
      </c>
      <c r="C568" s="1" t="s">
        <v>1483</v>
      </c>
      <c r="D568" t="str">
        <f>IFERROR(VLOOKUP(A568,depara!A:B,2,0),A568)</f>
        <v>9997762</v>
      </c>
      <c r="E568">
        <f>VLOOKUP(B568,'inumos depara'!$A:$B,2,0)</f>
        <v>16298713</v>
      </c>
      <c r="F568" s="1" t="str">
        <f t="shared" si="16"/>
        <v>9.33678076007552E-05</v>
      </c>
      <c r="G568" t="str">
        <f t="shared" si="17"/>
        <v>9997762,16298713,9.33678076007552E-05</v>
      </c>
    </row>
    <row r="569" spans="1:7" x14ac:dyDescent="0.25">
      <c r="A569" s="1" t="s">
        <v>1482</v>
      </c>
      <c r="B569" s="1" t="s">
        <v>1316</v>
      </c>
      <c r="C569" s="1" t="s">
        <v>1484</v>
      </c>
      <c r="D569" t="str">
        <f>IFERROR(VLOOKUP(A569,depara!A:B,2,0),A569)</f>
        <v>9997762</v>
      </c>
      <c r="E569">
        <f>VLOOKUP(B569,'inumos depara'!$A:$B,2,0)</f>
        <v>16298714</v>
      </c>
      <c r="F569" s="1" t="str">
        <f t="shared" si="16"/>
        <v>4.66839038003776E-05</v>
      </c>
      <c r="G569" t="str">
        <f t="shared" si="17"/>
        <v>9997762,16298714,4.66839038003776E-05</v>
      </c>
    </row>
    <row r="570" spans="1:7" x14ac:dyDescent="0.25">
      <c r="A570" s="1" t="s">
        <v>1482</v>
      </c>
      <c r="B570" s="1" t="s">
        <v>1317</v>
      </c>
      <c r="C570" s="1" t="s">
        <v>283</v>
      </c>
      <c r="D570" t="str">
        <f>IFERROR(VLOOKUP(A570,depara!A:B,2,0),A570)</f>
        <v>9997762</v>
      </c>
      <c r="E570">
        <f>VLOOKUP(B570,'inumos depara'!$A:$B,2,0)</f>
        <v>16298715</v>
      </c>
      <c r="F570" s="1" t="str">
        <f t="shared" si="16"/>
        <v>0.00018673561520151</v>
      </c>
      <c r="G570" t="str">
        <f t="shared" si="17"/>
        <v>9997762,16298715,0.00018673561520151</v>
      </c>
    </row>
    <row r="571" spans="1:7" x14ac:dyDescent="0.25">
      <c r="A571" s="1" t="s">
        <v>1482</v>
      </c>
      <c r="B571" s="1" t="s">
        <v>1304</v>
      </c>
      <c r="C571" s="1" t="s">
        <v>284</v>
      </c>
      <c r="D571" t="str">
        <f>IFERROR(VLOOKUP(A571,depara!A:B,2,0),A571)</f>
        <v>9997762</v>
      </c>
      <c r="E571">
        <f>VLOOKUP(B571,'inumos depara'!$A:$B,2,0)</f>
        <v>16298705</v>
      </c>
      <c r="F571" s="1" t="str">
        <f t="shared" si="16"/>
        <v>0.00112041369120906</v>
      </c>
      <c r="G571" t="str">
        <f t="shared" si="17"/>
        <v>9997762,16298705,0.00112041369120906</v>
      </c>
    </row>
    <row r="572" spans="1:7" x14ac:dyDescent="0.25">
      <c r="A572" s="1" t="s">
        <v>1482</v>
      </c>
      <c r="B572" s="1" t="s">
        <v>1303</v>
      </c>
      <c r="C572" s="1" t="s">
        <v>285</v>
      </c>
      <c r="D572" t="str">
        <f>IFERROR(VLOOKUP(A572,depara!A:B,2,0),A572)</f>
        <v>9997762</v>
      </c>
      <c r="E572">
        <f>VLOOKUP(B572,'inumos depara'!$A:$B,2,0)</f>
        <v>16298704</v>
      </c>
      <c r="F572" s="1" t="str">
        <f t="shared" si="16"/>
        <v>0.017189013379299</v>
      </c>
      <c r="G572" t="str">
        <f t="shared" si="17"/>
        <v>9997762,16298704,0.017189013379299</v>
      </c>
    </row>
    <row r="573" spans="1:7" x14ac:dyDescent="0.25">
      <c r="A573" s="1" t="s">
        <v>1482</v>
      </c>
      <c r="B573" s="1" t="s">
        <v>286</v>
      </c>
      <c r="C573" s="1" t="s">
        <v>287</v>
      </c>
      <c r="D573" t="str">
        <f>IFERROR(VLOOKUP(A573,depara!A:B,2,0),A573)</f>
        <v>9997762</v>
      </c>
      <c r="E573">
        <f>VLOOKUP(B573,'inumos depara'!$A:$B,2,0)</f>
        <v>16298831</v>
      </c>
      <c r="F573" s="1" t="str">
        <f t="shared" si="16"/>
        <v>0.000513009931872281</v>
      </c>
      <c r="G573" t="str">
        <f t="shared" si="17"/>
        <v>9997762,16298831,0.000513009931872281</v>
      </c>
    </row>
    <row r="574" spans="1:7" x14ac:dyDescent="0.25">
      <c r="A574" s="1" t="s">
        <v>1482</v>
      </c>
      <c r="B574" s="1" t="s">
        <v>1301</v>
      </c>
      <c r="C574" s="1" t="s">
        <v>288</v>
      </c>
      <c r="D574" t="str">
        <f>IFERROR(VLOOKUP(A574,depara!A:B,2,0),A574)</f>
        <v>9997762</v>
      </c>
      <c r="E574">
        <f>VLOOKUP(B574,'inumos depara'!$A:$B,2,0)</f>
        <v>16298703</v>
      </c>
      <c r="F574" s="1" t="str">
        <f t="shared" si="16"/>
        <v>0.0101986374456209</v>
      </c>
      <c r="G574" t="str">
        <f t="shared" si="17"/>
        <v>9997762,16298703,0.0101986374456209</v>
      </c>
    </row>
    <row r="575" spans="1:7" x14ac:dyDescent="0.25">
      <c r="A575" s="1" t="s">
        <v>1485</v>
      </c>
      <c r="B575" s="1" t="s">
        <v>193</v>
      </c>
      <c r="C575" s="1" t="s">
        <v>238</v>
      </c>
      <c r="D575" t="str">
        <f>IFERROR(VLOOKUP(A575,depara!A:B,2,0),A575)</f>
        <v>9997765</v>
      </c>
      <c r="E575">
        <f>VLOOKUP(B575,'inumos depara'!$A:$B,2,0)</f>
        <v>16298784</v>
      </c>
      <c r="F575" s="1" t="str">
        <f t="shared" si="16"/>
        <v>0.00584894391675376</v>
      </c>
      <c r="G575" t="str">
        <f t="shared" si="17"/>
        <v>9997765,16298784,0.00584894391675376</v>
      </c>
    </row>
    <row r="576" spans="1:7" x14ac:dyDescent="0.25">
      <c r="A576" s="1" t="s">
        <v>1485</v>
      </c>
      <c r="B576" s="1" t="s">
        <v>289</v>
      </c>
      <c r="C576" s="1" t="s">
        <v>239</v>
      </c>
      <c r="D576" t="str">
        <f>IFERROR(VLOOKUP(A576,depara!A:B,2,0),A576)</f>
        <v>9997765</v>
      </c>
      <c r="E576">
        <f>VLOOKUP(B576,'inumos depara'!$A:$B,2,0)</f>
        <v>16298832</v>
      </c>
      <c r="F576" s="1" t="str">
        <f t="shared" si="16"/>
        <v>0.00136676352693902</v>
      </c>
      <c r="G576" t="str">
        <f t="shared" si="17"/>
        <v>9997765,16298832,0.00136676352693902</v>
      </c>
    </row>
    <row r="577" spans="1:7" x14ac:dyDescent="0.25">
      <c r="A577" s="1" t="s">
        <v>1485</v>
      </c>
      <c r="B577" s="1" t="s">
        <v>1443</v>
      </c>
      <c r="C577" s="1" t="s">
        <v>240</v>
      </c>
      <c r="D577" t="str">
        <f>IFERROR(VLOOKUP(A577,depara!A:B,2,0),A577)</f>
        <v>9997765</v>
      </c>
      <c r="E577">
        <f>VLOOKUP(B577,'inumos depara'!$A:$B,2,0)</f>
        <v>16298809</v>
      </c>
      <c r="F577" s="1" t="str">
        <f t="shared" si="16"/>
        <v>0.0105206335350937</v>
      </c>
      <c r="G577" t="str">
        <f t="shared" si="17"/>
        <v>9997765,16298809,0.0105206335350937</v>
      </c>
    </row>
    <row r="578" spans="1:7" x14ac:dyDescent="0.25">
      <c r="A578" s="1" t="s">
        <v>1486</v>
      </c>
      <c r="B578" s="1" t="s">
        <v>1487</v>
      </c>
      <c r="C578" s="1" t="s">
        <v>1488</v>
      </c>
      <c r="D578" t="str">
        <f>IFERROR(VLOOKUP(A578,depara!A:B,2,0),A578)</f>
        <v>9997884</v>
      </c>
      <c r="E578">
        <f>VLOOKUP(B578,'inumos depara'!$A:$B,2,0)</f>
        <v>16298833</v>
      </c>
      <c r="F578" s="1" t="str">
        <f t="shared" ref="F578:F641" si="18">C578</f>
        <v>1.02040173916465</v>
      </c>
      <c r="G578" t="str">
        <f t="shared" ref="G578:G641" si="19">D578&amp;","&amp;E578&amp;","&amp;F578</f>
        <v>9997884,16298833,1.02040173916465</v>
      </c>
    </row>
    <row r="579" spans="1:7" x14ac:dyDescent="0.25">
      <c r="A579" s="1" t="s">
        <v>1486</v>
      </c>
      <c r="B579" s="1" t="s">
        <v>1489</v>
      </c>
      <c r="C579" s="1" t="s">
        <v>1488</v>
      </c>
      <c r="D579" t="str">
        <f>IFERROR(VLOOKUP(A579,depara!A:B,2,0),A579)</f>
        <v>9997884</v>
      </c>
      <c r="E579">
        <f>VLOOKUP(B579,'inumos depara'!$A:$B,2,0)</f>
        <v>16298834</v>
      </c>
      <c r="F579" s="1" t="str">
        <f t="shared" si="18"/>
        <v>1.02040173916465</v>
      </c>
      <c r="G579" t="str">
        <f t="shared" si="19"/>
        <v>9997884,16298834,1.02040173916465</v>
      </c>
    </row>
    <row r="580" spans="1:7" x14ac:dyDescent="0.25">
      <c r="A580" s="1" t="s">
        <v>1486</v>
      </c>
      <c r="B580" s="1" t="s">
        <v>1443</v>
      </c>
      <c r="C580" s="1" t="s">
        <v>290</v>
      </c>
      <c r="D580" t="str">
        <f>IFERROR(VLOOKUP(A580,depara!A:B,2,0),A580)</f>
        <v>9997884</v>
      </c>
      <c r="E580">
        <f>VLOOKUP(B580,'inumos depara'!$A:$B,2,0)</f>
        <v>16298809</v>
      </c>
      <c r="F580" s="1" t="str">
        <f t="shared" si="18"/>
        <v>0.0102008695823251</v>
      </c>
      <c r="G580" t="str">
        <f t="shared" si="19"/>
        <v>9997884,16298809,0.0102008695823251</v>
      </c>
    </row>
    <row r="581" spans="1:7" x14ac:dyDescent="0.25">
      <c r="A581" s="1" t="s">
        <v>1486</v>
      </c>
      <c r="B581" s="1" t="s">
        <v>1490</v>
      </c>
      <c r="C581" s="1" t="s">
        <v>1150</v>
      </c>
      <c r="D581" t="str">
        <f>IFERROR(VLOOKUP(A581,depara!A:B,2,0),A581)</f>
        <v>9997884</v>
      </c>
      <c r="E581">
        <f>VLOOKUP(B581,'inumos depara'!$A:$B,2,0)</f>
        <v>16298835</v>
      </c>
      <c r="F581" s="1" t="str">
        <f t="shared" si="18"/>
        <v>1</v>
      </c>
      <c r="G581" t="str">
        <f t="shared" si="19"/>
        <v>9997884,16298835,1</v>
      </c>
    </row>
    <row r="582" spans="1:7" x14ac:dyDescent="0.25">
      <c r="A582" s="1" t="s">
        <v>1486</v>
      </c>
      <c r="B582" s="1" t="s">
        <v>129</v>
      </c>
      <c r="C582" s="1" t="s">
        <v>291</v>
      </c>
      <c r="D582" t="str">
        <f>IFERROR(VLOOKUP(A582,depara!A:B,2,0),A582)</f>
        <v>9997884</v>
      </c>
      <c r="E582">
        <f>VLOOKUP(B582,'inumos depara'!$A:$B,2,0)</f>
        <v>16298717</v>
      </c>
      <c r="F582" s="1" t="str">
        <f t="shared" si="18"/>
        <v>0.0100188868559287</v>
      </c>
      <c r="G582" t="str">
        <f t="shared" si="19"/>
        <v>9997884,16298717,0.0100188868559287</v>
      </c>
    </row>
    <row r="583" spans="1:7" x14ac:dyDescent="0.25">
      <c r="A583" s="1" t="s">
        <v>1491</v>
      </c>
      <c r="B583" s="1" t="s">
        <v>1257</v>
      </c>
      <c r="C583" s="1" t="s">
        <v>292</v>
      </c>
      <c r="D583" t="str">
        <f>IFERROR(VLOOKUP(A583,depara!A:B,2,0),A583)</f>
        <v>9998001</v>
      </c>
      <c r="E583">
        <f>VLOOKUP(B583,'inumos depara'!$A:$B,2,0)</f>
        <v>16298836</v>
      </c>
      <c r="F583" s="1" t="str">
        <f t="shared" si="18"/>
        <v>0.00600225084406653</v>
      </c>
      <c r="G583" t="str">
        <f t="shared" si="19"/>
        <v>9998001,16298836,0.00600225084406653</v>
      </c>
    </row>
    <row r="584" spans="1:7" x14ac:dyDescent="0.25">
      <c r="A584" s="1" t="s">
        <v>1491</v>
      </c>
      <c r="B584" s="1" t="s">
        <v>1492</v>
      </c>
      <c r="C584" s="1" t="s">
        <v>293</v>
      </c>
      <c r="D584" t="str">
        <f>IFERROR(VLOOKUP(A584,depara!A:B,2,0),A584)</f>
        <v>9998001</v>
      </c>
      <c r="E584">
        <f>VLOOKUP(B584,'inumos depara'!$A:$B,2,0)</f>
        <v>16298837</v>
      </c>
      <c r="F584" s="1" t="str">
        <f t="shared" si="18"/>
        <v>0.00138147043236452</v>
      </c>
      <c r="G584" t="str">
        <f t="shared" si="19"/>
        <v>9998001,16298837,0.00138147043236452</v>
      </c>
    </row>
    <row r="585" spans="1:7" x14ac:dyDescent="0.25">
      <c r="A585" s="1" t="s">
        <v>1491</v>
      </c>
      <c r="B585" s="1" t="s">
        <v>1443</v>
      </c>
      <c r="C585" s="1" t="s">
        <v>294</v>
      </c>
      <c r="D585" t="str">
        <f>IFERROR(VLOOKUP(A585,depara!A:B,2,0),A585)</f>
        <v>9998001</v>
      </c>
      <c r="E585">
        <f>VLOOKUP(B585,'inumos depara'!$A:$B,2,0)</f>
        <v>16298809</v>
      </c>
      <c r="F585" s="1" t="str">
        <f t="shared" si="18"/>
        <v>0.0106289858697011</v>
      </c>
      <c r="G585" t="str">
        <f t="shared" si="19"/>
        <v>9998001,16298809,0.0106289858697011</v>
      </c>
    </row>
    <row r="586" spans="1:7" x14ac:dyDescent="0.25">
      <c r="A586" s="1" t="s">
        <v>1493</v>
      </c>
      <c r="B586" s="1" t="s">
        <v>1259</v>
      </c>
      <c r="C586" s="1" t="s">
        <v>292</v>
      </c>
      <c r="D586" t="str">
        <f>IFERROR(VLOOKUP(A586,depara!A:B,2,0),A586)</f>
        <v>9998002</v>
      </c>
      <c r="E586">
        <f>VLOOKUP(B586,'inumos depara'!$A:$B,2,0)</f>
        <v>16298793</v>
      </c>
      <c r="F586" s="1" t="str">
        <f t="shared" si="18"/>
        <v>0.00600225084406653</v>
      </c>
      <c r="G586" t="str">
        <f t="shared" si="19"/>
        <v>9998002,16298793,0.00600225084406653</v>
      </c>
    </row>
    <row r="587" spans="1:7" x14ac:dyDescent="0.25">
      <c r="A587" s="1" t="s">
        <v>1493</v>
      </c>
      <c r="B587" s="1" t="s">
        <v>1494</v>
      </c>
      <c r="C587" s="1" t="s">
        <v>293</v>
      </c>
      <c r="D587" t="str">
        <f>IFERROR(VLOOKUP(A587,depara!A:B,2,0),A587)</f>
        <v>9998002</v>
      </c>
      <c r="E587">
        <f>VLOOKUP(B587,'inumos depara'!$A:$B,2,0)</f>
        <v>16298838</v>
      </c>
      <c r="F587" s="1" t="str">
        <f t="shared" si="18"/>
        <v>0.00138147043236452</v>
      </c>
      <c r="G587" t="str">
        <f t="shared" si="19"/>
        <v>9998002,16298838,0.00138147043236452</v>
      </c>
    </row>
    <row r="588" spans="1:7" x14ac:dyDescent="0.25">
      <c r="A588" s="1" t="s">
        <v>1493</v>
      </c>
      <c r="B588" s="1" t="s">
        <v>1443</v>
      </c>
      <c r="C588" s="1" t="s">
        <v>294</v>
      </c>
      <c r="D588" t="str">
        <f>IFERROR(VLOOKUP(A588,depara!A:B,2,0),A588)</f>
        <v>9998002</v>
      </c>
      <c r="E588">
        <f>VLOOKUP(B588,'inumos depara'!$A:$B,2,0)</f>
        <v>16298809</v>
      </c>
      <c r="F588" s="1" t="str">
        <f t="shared" si="18"/>
        <v>0.0106289858697011</v>
      </c>
      <c r="G588" t="str">
        <f t="shared" si="19"/>
        <v>9998002,16298809,0.0106289858697011</v>
      </c>
    </row>
    <row r="589" spans="1:7" x14ac:dyDescent="0.25">
      <c r="A589" s="1" t="s">
        <v>1495</v>
      </c>
      <c r="B589" s="1" t="s">
        <v>1258</v>
      </c>
      <c r="C589" s="1" t="s">
        <v>292</v>
      </c>
      <c r="D589" t="str">
        <f>IFERROR(VLOOKUP(A589,depara!A:B,2,0),A589)</f>
        <v>9998003</v>
      </c>
      <c r="E589">
        <f>VLOOKUP(B589,'inumos depara'!$A:$B,2,0)</f>
        <v>16298799</v>
      </c>
      <c r="F589" s="1" t="str">
        <f t="shared" si="18"/>
        <v>0.00600225084406653</v>
      </c>
      <c r="G589" t="str">
        <f t="shared" si="19"/>
        <v>9998003,16298799,0.00600225084406653</v>
      </c>
    </row>
    <row r="590" spans="1:7" x14ac:dyDescent="0.25">
      <c r="A590" s="1" t="s">
        <v>1495</v>
      </c>
      <c r="B590" s="1" t="s">
        <v>1496</v>
      </c>
      <c r="C590" s="1" t="s">
        <v>293</v>
      </c>
      <c r="D590" t="str">
        <f>IFERROR(VLOOKUP(A590,depara!A:B,2,0),A590)</f>
        <v>9998003</v>
      </c>
      <c r="E590">
        <f>VLOOKUP(B590,'inumos depara'!$A:$B,2,0)</f>
        <v>16298839</v>
      </c>
      <c r="F590" s="1" t="str">
        <f t="shared" si="18"/>
        <v>0.00138147043236452</v>
      </c>
      <c r="G590" t="str">
        <f t="shared" si="19"/>
        <v>9998003,16298839,0.00138147043236452</v>
      </c>
    </row>
    <row r="591" spans="1:7" x14ac:dyDescent="0.25">
      <c r="A591" s="1" t="s">
        <v>1495</v>
      </c>
      <c r="B591" s="1" t="s">
        <v>1443</v>
      </c>
      <c r="C591" s="1" t="s">
        <v>294</v>
      </c>
      <c r="D591" t="str">
        <f>IFERROR(VLOOKUP(A591,depara!A:B,2,0),A591)</f>
        <v>9998003</v>
      </c>
      <c r="E591">
        <f>VLOOKUP(B591,'inumos depara'!$A:$B,2,0)</f>
        <v>16298809</v>
      </c>
      <c r="F591" s="1" t="str">
        <f t="shared" si="18"/>
        <v>0.0106289858697011</v>
      </c>
      <c r="G591" t="str">
        <f t="shared" si="19"/>
        <v>9998003,16298809,0.0106289858697011</v>
      </c>
    </row>
    <row r="592" spans="1:7" x14ac:dyDescent="0.25">
      <c r="A592" s="1" t="s">
        <v>1497</v>
      </c>
      <c r="B592" s="1" t="s">
        <v>1241</v>
      </c>
      <c r="C592" s="1" t="s">
        <v>292</v>
      </c>
      <c r="D592" t="str">
        <f>IFERROR(VLOOKUP(A592,depara!A:B,2,0),A592)</f>
        <v>9998004</v>
      </c>
      <c r="E592">
        <f>VLOOKUP(B592,'inumos depara'!$A:$B,2,0)</f>
        <v>16298796</v>
      </c>
      <c r="F592" s="1" t="str">
        <f t="shared" si="18"/>
        <v>0.00600225084406653</v>
      </c>
      <c r="G592" t="str">
        <f t="shared" si="19"/>
        <v>9998004,16298796,0.00600225084406653</v>
      </c>
    </row>
    <row r="593" spans="1:7" x14ac:dyDescent="0.25">
      <c r="A593" s="1" t="s">
        <v>1497</v>
      </c>
      <c r="B593" s="1" t="s">
        <v>1498</v>
      </c>
      <c r="C593" s="1" t="s">
        <v>293</v>
      </c>
      <c r="D593" t="str">
        <f>IFERROR(VLOOKUP(A593,depara!A:B,2,0),A593)</f>
        <v>9998004</v>
      </c>
      <c r="E593">
        <f>VLOOKUP(B593,'inumos depara'!$A:$B,2,0)</f>
        <v>16298840</v>
      </c>
      <c r="F593" s="1" t="str">
        <f t="shared" si="18"/>
        <v>0.00138147043236452</v>
      </c>
      <c r="G593" t="str">
        <f t="shared" si="19"/>
        <v>9998004,16298840,0.00138147043236452</v>
      </c>
    </row>
    <row r="594" spans="1:7" x14ac:dyDescent="0.25">
      <c r="A594" s="1" t="s">
        <v>1497</v>
      </c>
      <c r="B594" s="1" t="s">
        <v>1443</v>
      </c>
      <c r="C594" s="1" t="s">
        <v>294</v>
      </c>
      <c r="D594" t="str">
        <f>IFERROR(VLOOKUP(A594,depara!A:B,2,0),A594)</f>
        <v>9998004</v>
      </c>
      <c r="E594">
        <f>VLOOKUP(B594,'inumos depara'!$A:$B,2,0)</f>
        <v>16298809</v>
      </c>
      <c r="F594" s="1" t="str">
        <f t="shared" si="18"/>
        <v>0.0106289858697011</v>
      </c>
      <c r="G594" t="str">
        <f t="shared" si="19"/>
        <v>9998004,16298809,0.0106289858697011</v>
      </c>
    </row>
    <row r="595" spans="1:7" x14ac:dyDescent="0.25">
      <c r="A595" s="1" t="s">
        <v>1499</v>
      </c>
      <c r="B595" s="1" t="s">
        <v>1438</v>
      </c>
      <c r="C595" s="1" t="s">
        <v>295</v>
      </c>
      <c r="D595" t="str">
        <f>IFERROR(VLOOKUP(A595,depara!A:B,2,0),A595)</f>
        <v>9998005</v>
      </c>
      <c r="E595">
        <f>VLOOKUP(B595,'inumos depara'!$A:$B,2,0)</f>
        <v>16298805</v>
      </c>
      <c r="F595" s="1" t="str">
        <f t="shared" si="18"/>
        <v>0.00389298373103561</v>
      </c>
      <c r="G595" t="str">
        <f t="shared" si="19"/>
        <v>9998005,16298805,0.00389298373103561</v>
      </c>
    </row>
    <row r="596" spans="1:7" x14ac:dyDescent="0.25">
      <c r="A596" s="1" t="s">
        <v>1499</v>
      </c>
      <c r="B596" s="1" t="s">
        <v>1500</v>
      </c>
      <c r="C596" s="1" t="s">
        <v>296</v>
      </c>
      <c r="D596" t="str">
        <f>IFERROR(VLOOKUP(A596,depara!A:B,2,0),A596)</f>
        <v>9998005</v>
      </c>
      <c r="E596">
        <f>VLOOKUP(B596,'inumos depara'!$A:$B,2,0)</f>
        <v>16298841</v>
      </c>
      <c r="F596" s="1" t="str">
        <f t="shared" si="18"/>
        <v>0.00129766124367854</v>
      </c>
      <c r="G596" t="str">
        <f t="shared" si="19"/>
        <v>9998005,16298841,0.00129766124367854</v>
      </c>
    </row>
    <row r="597" spans="1:7" x14ac:dyDescent="0.25">
      <c r="A597" s="1" t="s">
        <v>1499</v>
      </c>
      <c r="B597" s="1" t="s">
        <v>297</v>
      </c>
      <c r="C597" s="1" t="s">
        <v>298</v>
      </c>
      <c r="D597" t="str">
        <f>IFERROR(VLOOKUP(A597,depara!A:B,2,0),A597)</f>
        <v>9998005</v>
      </c>
      <c r="E597">
        <f>VLOOKUP(B597,'inumos depara'!$A:$B,2,0)</f>
        <v>16298842</v>
      </c>
      <c r="F597" s="1" t="str">
        <f t="shared" si="18"/>
        <v>0.0100031143869848</v>
      </c>
      <c r="G597" t="str">
        <f t="shared" si="19"/>
        <v>9998005,16298842,0.0100031143869848</v>
      </c>
    </row>
    <row r="598" spans="1:7" x14ac:dyDescent="0.25">
      <c r="A598" s="1" t="s">
        <v>1501</v>
      </c>
      <c r="B598" s="1" t="s">
        <v>1431</v>
      </c>
      <c r="C598" s="1" t="s">
        <v>295</v>
      </c>
      <c r="D598" t="str">
        <f>IFERROR(VLOOKUP(A598,depara!A:B,2,0),A598)</f>
        <v>9998006</v>
      </c>
      <c r="E598">
        <f>VLOOKUP(B598,'inumos depara'!$A:$B,2,0)</f>
        <v>16298800</v>
      </c>
      <c r="F598" s="1" t="str">
        <f t="shared" si="18"/>
        <v>0.00389298373103561</v>
      </c>
      <c r="G598" t="str">
        <f t="shared" si="19"/>
        <v>9998006,16298800,0.00389298373103561</v>
      </c>
    </row>
    <row r="599" spans="1:7" x14ac:dyDescent="0.25">
      <c r="A599" s="1" t="s">
        <v>1501</v>
      </c>
      <c r="B599" s="1" t="s">
        <v>297</v>
      </c>
      <c r="C599" s="1" t="s">
        <v>298</v>
      </c>
      <c r="D599" t="str">
        <f>IFERROR(VLOOKUP(A599,depara!A:B,2,0),A599)</f>
        <v>9998006</v>
      </c>
      <c r="E599">
        <f>VLOOKUP(B599,'inumos depara'!$A:$B,2,0)</f>
        <v>16298842</v>
      </c>
      <c r="F599" s="1" t="str">
        <f t="shared" si="18"/>
        <v>0.0100031143869848</v>
      </c>
      <c r="G599" t="str">
        <f t="shared" si="19"/>
        <v>9998006,16298842,0.0100031143869848</v>
      </c>
    </row>
    <row r="600" spans="1:7" x14ac:dyDescent="0.25">
      <c r="A600" s="1" t="s">
        <v>1501</v>
      </c>
      <c r="B600" s="1" t="s">
        <v>1502</v>
      </c>
      <c r="C600" s="1" t="s">
        <v>296</v>
      </c>
      <c r="D600" t="str">
        <f>IFERROR(VLOOKUP(A600,depara!A:B,2,0),A600)</f>
        <v>9998006</v>
      </c>
      <c r="E600">
        <f>VLOOKUP(B600,'inumos depara'!$A:$B,2,0)</f>
        <v>16298843</v>
      </c>
      <c r="F600" s="1" t="str">
        <f t="shared" si="18"/>
        <v>0.00129766124367854</v>
      </c>
      <c r="G600" t="str">
        <f t="shared" si="19"/>
        <v>9998006,16298843,0.00129766124367854</v>
      </c>
    </row>
    <row r="601" spans="1:7" x14ac:dyDescent="0.25">
      <c r="A601" s="1" t="s">
        <v>1503</v>
      </c>
      <c r="B601" s="1" t="s">
        <v>1504</v>
      </c>
      <c r="C601" s="1" t="s">
        <v>299</v>
      </c>
      <c r="D601" t="str">
        <f>IFERROR(VLOOKUP(A601,depara!A:B,2,0),A601)</f>
        <v>9998007</v>
      </c>
      <c r="E601">
        <f>VLOOKUP(B601,'inumos depara'!$A:$B,2,0)</f>
        <v>16298844</v>
      </c>
      <c r="F601" s="1" t="str">
        <f t="shared" si="18"/>
        <v>0.00336</v>
      </c>
      <c r="G601" t="str">
        <f t="shared" si="19"/>
        <v>9998007,16298844,0.00336</v>
      </c>
    </row>
    <row r="602" spans="1:7" x14ac:dyDescent="0.25">
      <c r="A602" s="1" t="s">
        <v>1503</v>
      </c>
      <c r="B602" s="1" t="s">
        <v>1505</v>
      </c>
      <c r="C602" s="1" t="s">
        <v>300</v>
      </c>
      <c r="D602" t="str">
        <f>IFERROR(VLOOKUP(A602,depara!A:B,2,0),A602)</f>
        <v>9998007</v>
      </c>
      <c r="E602">
        <f>VLOOKUP(B602,'inumos depara'!$A:$B,2,0)</f>
        <v>16298845</v>
      </c>
      <c r="F602" s="1" t="str">
        <f t="shared" si="18"/>
        <v>0.0013632</v>
      </c>
      <c r="G602" t="str">
        <f t="shared" si="19"/>
        <v>9998007,16298845,0.0013632</v>
      </c>
    </row>
    <row r="603" spans="1:7" x14ac:dyDescent="0.25">
      <c r="A603" s="1" t="s">
        <v>1503</v>
      </c>
      <c r="B603" s="1" t="s">
        <v>297</v>
      </c>
      <c r="C603" s="1" t="s">
        <v>64</v>
      </c>
      <c r="D603" t="str">
        <f>IFERROR(VLOOKUP(A603,depara!A:B,2,0),A603)</f>
        <v>9998007</v>
      </c>
      <c r="E603">
        <f>VLOOKUP(B603,'inumos depara'!$A:$B,2,0)</f>
        <v>16298842</v>
      </c>
      <c r="F603" s="1" t="str">
        <f t="shared" si="18"/>
        <v>0.02</v>
      </c>
      <c r="G603" t="str">
        <f t="shared" si="19"/>
        <v>9998007,16298842,0.02</v>
      </c>
    </row>
    <row r="604" spans="1:7" x14ac:dyDescent="0.25">
      <c r="A604" s="1" t="s">
        <v>1506</v>
      </c>
      <c r="B604" s="1" t="s">
        <v>1507</v>
      </c>
      <c r="C604" s="1" t="s">
        <v>299</v>
      </c>
      <c r="D604" t="str">
        <f>IFERROR(VLOOKUP(A604,depara!A:B,2,0),A604)</f>
        <v>9998008</v>
      </c>
      <c r="E604">
        <f>VLOOKUP(B604,'inumos depara'!$A:$B,2,0)</f>
        <v>16298846</v>
      </c>
      <c r="F604" s="1" t="str">
        <f t="shared" si="18"/>
        <v>0.00336</v>
      </c>
      <c r="G604" t="str">
        <f t="shared" si="19"/>
        <v>9998008,16298846,0.00336</v>
      </c>
    </row>
    <row r="605" spans="1:7" x14ac:dyDescent="0.25">
      <c r="A605" s="1" t="s">
        <v>1506</v>
      </c>
      <c r="B605" s="1" t="s">
        <v>1508</v>
      </c>
      <c r="C605" s="1" t="s">
        <v>300</v>
      </c>
      <c r="D605" t="str">
        <f>IFERROR(VLOOKUP(A605,depara!A:B,2,0),A605)</f>
        <v>9998008</v>
      </c>
      <c r="E605">
        <f>VLOOKUP(B605,'inumos depara'!$A:$B,2,0)</f>
        <v>16298847</v>
      </c>
      <c r="F605" s="1" t="str">
        <f t="shared" si="18"/>
        <v>0.0013632</v>
      </c>
      <c r="G605" t="str">
        <f t="shared" si="19"/>
        <v>9998008,16298847,0.0013632</v>
      </c>
    </row>
    <row r="606" spans="1:7" x14ac:dyDescent="0.25">
      <c r="A606" s="1" t="s">
        <v>1506</v>
      </c>
      <c r="B606" s="1" t="s">
        <v>297</v>
      </c>
      <c r="C606" s="1" t="s">
        <v>64</v>
      </c>
      <c r="D606" t="str">
        <f>IFERROR(VLOOKUP(A606,depara!A:B,2,0),A606)</f>
        <v>9998008</v>
      </c>
      <c r="E606">
        <f>VLOOKUP(B606,'inumos depara'!$A:$B,2,0)</f>
        <v>16298842</v>
      </c>
      <c r="F606" s="1" t="str">
        <f t="shared" si="18"/>
        <v>0.02</v>
      </c>
      <c r="G606" t="str">
        <f t="shared" si="19"/>
        <v>9998008,16298842,0.02</v>
      </c>
    </row>
    <row r="607" spans="1:7" x14ac:dyDescent="0.25">
      <c r="A607" s="1" t="s">
        <v>301</v>
      </c>
      <c r="B607" s="1" t="s">
        <v>107</v>
      </c>
      <c r="C607" s="1" t="s">
        <v>302</v>
      </c>
      <c r="D607" t="str">
        <f>IFERROR(VLOOKUP(A607,depara!A:B,2,0),A607)</f>
        <v>P0000211</v>
      </c>
      <c r="E607">
        <f>VLOOKUP(B607,'inumos depara'!$A:$B,2,0)</f>
        <v>16298700</v>
      </c>
      <c r="F607" s="1" t="str">
        <f t="shared" si="18"/>
        <v>0.132231404958678</v>
      </c>
      <c r="G607" t="str">
        <f t="shared" si="19"/>
        <v>P0000211,16298700,0.132231404958678</v>
      </c>
    </row>
    <row r="608" spans="1:7" x14ac:dyDescent="0.25">
      <c r="A608" s="1" t="s">
        <v>301</v>
      </c>
      <c r="B608" s="1" t="s">
        <v>303</v>
      </c>
      <c r="C608" s="1" t="s">
        <v>1509</v>
      </c>
      <c r="D608" t="str">
        <f>IFERROR(VLOOKUP(A608,depara!A:B,2,0),A608)</f>
        <v>P0000211</v>
      </c>
      <c r="E608">
        <f>VLOOKUP(B608,'inumos depara'!$A:$B,2,0)</f>
        <v>16298848</v>
      </c>
      <c r="F608" s="1" t="str">
        <f t="shared" si="18"/>
        <v>1.06283615374524</v>
      </c>
      <c r="G608" t="str">
        <f t="shared" si="19"/>
        <v>P0000211,16298848,1.06283615374524</v>
      </c>
    </row>
    <row r="609" spans="1:7" x14ac:dyDescent="0.25">
      <c r="A609" s="1" t="s">
        <v>301</v>
      </c>
      <c r="B609" s="1" t="s">
        <v>304</v>
      </c>
      <c r="C609" s="1" t="s">
        <v>305</v>
      </c>
      <c r="D609" t="str">
        <f>IFERROR(VLOOKUP(A609,depara!A:B,2,0),A609)</f>
        <v>P0000211</v>
      </c>
      <c r="E609">
        <f>VLOOKUP(B609,'inumos depara'!$A:$B,2,0)</f>
        <v>16298849</v>
      </c>
      <c r="F609" s="1" t="str">
        <f t="shared" si="18"/>
        <v>0.0663780663780664</v>
      </c>
      <c r="G609" t="str">
        <f t="shared" si="19"/>
        <v>P0000211,16298849,0.0663780663780664</v>
      </c>
    </row>
    <row r="610" spans="1:7" x14ac:dyDescent="0.25">
      <c r="A610" s="1" t="s">
        <v>306</v>
      </c>
      <c r="B610" s="1" t="s">
        <v>1510</v>
      </c>
      <c r="C610" s="1" t="s">
        <v>67</v>
      </c>
      <c r="D610" t="str">
        <f>IFERROR(VLOOKUP(A610,depara!A:B,2,0),A610)</f>
        <v>P0000517</v>
      </c>
      <c r="E610">
        <f>VLOOKUP(B610,'inumos depara'!$A:$B,2,0)</f>
        <v>16298850</v>
      </c>
      <c r="F610" s="1" t="str">
        <f t="shared" si="18"/>
        <v>0.1</v>
      </c>
      <c r="G610" t="str">
        <f t="shared" si="19"/>
        <v>P0000517,16298850,0.1</v>
      </c>
    </row>
    <row r="611" spans="1:7" x14ac:dyDescent="0.25">
      <c r="A611" s="1" t="s">
        <v>306</v>
      </c>
      <c r="B611" s="1" t="s">
        <v>1511</v>
      </c>
      <c r="C611" s="1" t="s">
        <v>67</v>
      </c>
      <c r="D611" t="str">
        <f>IFERROR(VLOOKUP(A611,depara!A:B,2,0),A611)</f>
        <v>P0000517</v>
      </c>
      <c r="E611">
        <f>VLOOKUP(B611,'inumos depara'!$A:$B,2,0)</f>
        <v>16298851</v>
      </c>
      <c r="F611" s="1" t="str">
        <f t="shared" si="18"/>
        <v>0.1</v>
      </c>
      <c r="G611" t="str">
        <f t="shared" si="19"/>
        <v>P0000517,16298851,0.1</v>
      </c>
    </row>
    <row r="612" spans="1:7" x14ac:dyDescent="0.25">
      <c r="A612" s="1" t="s">
        <v>306</v>
      </c>
      <c r="B612" s="1" t="s">
        <v>1512</v>
      </c>
      <c r="C612" s="1" t="s">
        <v>81</v>
      </c>
      <c r="D612" t="str">
        <f>IFERROR(VLOOKUP(A612,depara!A:B,2,0),A612)</f>
        <v>P0000517</v>
      </c>
      <c r="E612">
        <f>VLOOKUP(B612,'inumos depara'!$A:$B,2,0)</f>
        <v>16298852</v>
      </c>
      <c r="F612" s="1" t="str">
        <f t="shared" si="18"/>
        <v>0.035</v>
      </c>
      <c r="G612" t="str">
        <f t="shared" si="19"/>
        <v>P0000517,16298852,0.035</v>
      </c>
    </row>
    <row r="613" spans="1:7" x14ac:dyDescent="0.25">
      <c r="A613" s="1" t="s">
        <v>306</v>
      </c>
      <c r="B613" s="1" t="s">
        <v>1251</v>
      </c>
      <c r="C613" s="1" t="s">
        <v>12</v>
      </c>
      <c r="D613" t="str">
        <f>IFERROR(VLOOKUP(A613,depara!A:B,2,0),A613)</f>
        <v>P0000517</v>
      </c>
      <c r="E613">
        <f>VLOOKUP(B613,'inumos depara'!$A:$B,2,0)</f>
        <v>16298653</v>
      </c>
      <c r="F613" s="1" t="str">
        <f t="shared" si="18"/>
        <v>0.0015</v>
      </c>
      <c r="G613" t="str">
        <f t="shared" si="19"/>
        <v>P0000517,16298653,0.0015</v>
      </c>
    </row>
    <row r="614" spans="1:7" x14ac:dyDescent="0.25">
      <c r="A614" s="1" t="s">
        <v>306</v>
      </c>
      <c r="B614" s="1" t="s">
        <v>1274</v>
      </c>
      <c r="C614" s="1" t="s">
        <v>10</v>
      </c>
      <c r="D614" t="str">
        <f>IFERROR(VLOOKUP(A614,depara!A:B,2,0),A614)</f>
        <v>P0000517</v>
      </c>
      <c r="E614">
        <f>VLOOKUP(B614,'inumos depara'!$A:$B,2,0)</f>
        <v>16298676</v>
      </c>
      <c r="F614" s="1" t="str">
        <f t="shared" si="18"/>
        <v>0.001</v>
      </c>
      <c r="G614" t="str">
        <f t="shared" si="19"/>
        <v>P0000517,16298676,0.001</v>
      </c>
    </row>
    <row r="615" spans="1:7" x14ac:dyDescent="0.25">
      <c r="A615" s="1" t="s">
        <v>306</v>
      </c>
      <c r="B615" s="1" t="s">
        <v>1275</v>
      </c>
      <c r="C615" s="1" t="s">
        <v>6</v>
      </c>
      <c r="D615" t="str">
        <f>IFERROR(VLOOKUP(A615,depara!A:B,2,0),A615)</f>
        <v>P0000517</v>
      </c>
      <c r="E615">
        <f>VLOOKUP(B615,'inumos depara'!$A:$B,2,0)</f>
        <v>16298677</v>
      </c>
      <c r="F615" s="1" t="str">
        <f t="shared" si="18"/>
        <v>0.01</v>
      </c>
      <c r="G615" t="str">
        <f t="shared" si="19"/>
        <v>P0000517,16298677,0.01</v>
      </c>
    </row>
    <row r="616" spans="1:7" x14ac:dyDescent="0.25">
      <c r="A616" s="1" t="s">
        <v>306</v>
      </c>
      <c r="B616" s="1" t="s">
        <v>1147</v>
      </c>
      <c r="C616" s="1" t="s">
        <v>76</v>
      </c>
      <c r="D616" t="str">
        <f>IFERROR(VLOOKUP(A616,depara!A:B,2,0),A616)</f>
        <v>P0000517</v>
      </c>
      <c r="E616">
        <f>VLOOKUP(B616,'inumos depara'!$A:$B,2,0)</f>
        <v>16298559</v>
      </c>
      <c r="F616" s="1" t="str">
        <f t="shared" si="18"/>
        <v>0.03</v>
      </c>
      <c r="G616" t="str">
        <f t="shared" si="19"/>
        <v>P0000517,16298559,0.03</v>
      </c>
    </row>
    <row r="617" spans="1:7" x14ac:dyDescent="0.25">
      <c r="A617" s="1" t="s">
        <v>306</v>
      </c>
      <c r="B617" s="1" t="s">
        <v>1513</v>
      </c>
      <c r="C617" s="1" t="s">
        <v>0</v>
      </c>
      <c r="D617" t="str">
        <f>IFERROR(VLOOKUP(A617,depara!A:B,2,0),A617)</f>
        <v>P0000517</v>
      </c>
      <c r="E617">
        <f>VLOOKUP(B617,'inumos depara'!$A:$B,2,0)</f>
        <v>16298853</v>
      </c>
      <c r="F617" s="1" t="str">
        <f t="shared" si="18"/>
        <v>0.05</v>
      </c>
      <c r="G617" t="str">
        <f t="shared" si="19"/>
        <v>P0000517,16298853,0.05</v>
      </c>
    </row>
    <row r="618" spans="1:7" x14ac:dyDescent="0.25">
      <c r="A618" s="1" t="s">
        <v>306</v>
      </c>
      <c r="B618" s="1" t="s">
        <v>1514</v>
      </c>
      <c r="C618" s="1" t="s">
        <v>67</v>
      </c>
      <c r="D618" t="str">
        <f>IFERROR(VLOOKUP(A618,depara!A:B,2,0),A618)</f>
        <v>P0000517</v>
      </c>
      <c r="E618">
        <f>VLOOKUP(B618,'inumos depara'!$A:$B,2,0)</f>
        <v>16298854</v>
      </c>
      <c r="F618" s="1" t="str">
        <f t="shared" si="18"/>
        <v>0.1</v>
      </c>
      <c r="G618" t="str">
        <f t="shared" si="19"/>
        <v>P0000517,16298854,0.1</v>
      </c>
    </row>
    <row r="619" spans="1:7" x14ac:dyDescent="0.25">
      <c r="A619" s="1" t="s">
        <v>306</v>
      </c>
      <c r="B619" s="1" t="s">
        <v>1237</v>
      </c>
      <c r="C619" s="1" t="s">
        <v>4</v>
      </c>
      <c r="D619" t="str">
        <f>IFERROR(VLOOKUP(A619,depara!A:B,2,0),A619)</f>
        <v>P0000517</v>
      </c>
      <c r="E619">
        <f>VLOOKUP(B619,'inumos depara'!$A:$B,2,0)</f>
        <v>16298639</v>
      </c>
      <c r="F619" s="1" t="str">
        <f t="shared" si="18"/>
        <v>0.005</v>
      </c>
      <c r="G619" t="str">
        <f t="shared" si="19"/>
        <v>P0000517,16298639,0.005</v>
      </c>
    </row>
    <row r="620" spans="1:7" x14ac:dyDescent="0.25">
      <c r="A620" s="1" t="s">
        <v>306</v>
      </c>
      <c r="B620" s="1" t="s">
        <v>1170</v>
      </c>
      <c r="C620" s="1" t="s">
        <v>82</v>
      </c>
      <c r="D620" t="str">
        <f>IFERROR(VLOOKUP(A620,depara!A:B,2,0),A620)</f>
        <v>P0000517</v>
      </c>
      <c r="E620">
        <f>VLOOKUP(B620,'inumos depara'!$A:$B,2,0)</f>
        <v>16298579</v>
      </c>
      <c r="F620" s="1" t="str">
        <f t="shared" si="18"/>
        <v>0.0005</v>
      </c>
      <c r="G620" t="str">
        <f t="shared" si="19"/>
        <v>P0000517,16298579,0.0005</v>
      </c>
    </row>
    <row r="621" spans="1:7" x14ac:dyDescent="0.25">
      <c r="A621" s="1" t="s">
        <v>306</v>
      </c>
      <c r="B621" s="1" t="s">
        <v>1171</v>
      </c>
      <c r="C621" s="1" t="s">
        <v>1</v>
      </c>
      <c r="D621" t="str">
        <f>IFERROR(VLOOKUP(A621,depara!A:B,2,0),A621)</f>
        <v>P0000517</v>
      </c>
      <c r="E621">
        <f>VLOOKUP(B621,'inumos depara'!$A:$B,2,0)</f>
        <v>16298580</v>
      </c>
      <c r="F621" s="1" t="str">
        <f t="shared" si="18"/>
        <v>0.003</v>
      </c>
      <c r="G621" t="str">
        <f t="shared" si="19"/>
        <v>P0000517,16298580,0.003</v>
      </c>
    </row>
    <row r="622" spans="1:7" x14ac:dyDescent="0.25">
      <c r="A622" s="1" t="s">
        <v>306</v>
      </c>
      <c r="B622" s="1" t="s">
        <v>1176</v>
      </c>
      <c r="C622" s="1" t="s">
        <v>5</v>
      </c>
      <c r="D622" t="str">
        <f>IFERROR(VLOOKUP(A622,depara!A:B,2,0),A622)</f>
        <v>P0000517</v>
      </c>
      <c r="E622">
        <f>VLOOKUP(B622,'inumos depara'!$A:$B,2,0)</f>
        <v>16298585</v>
      </c>
      <c r="F622" s="1" t="str">
        <f t="shared" si="18"/>
        <v>0.002</v>
      </c>
      <c r="G622" t="str">
        <f t="shared" si="19"/>
        <v>P0000517,16298585,0.002</v>
      </c>
    </row>
    <row r="623" spans="1:7" x14ac:dyDescent="0.25">
      <c r="A623" s="1" t="s">
        <v>306</v>
      </c>
      <c r="B623" s="1" t="s">
        <v>1151</v>
      </c>
      <c r="C623" s="1" t="s">
        <v>87</v>
      </c>
      <c r="D623" t="str">
        <f>IFERROR(VLOOKUP(A623,depara!A:B,2,0),A623)</f>
        <v>P0000517</v>
      </c>
      <c r="E623">
        <f>VLOOKUP(B623,'inumos depara'!$A:$B,2,0)</f>
        <v>16298562</v>
      </c>
      <c r="F623" s="1" t="str">
        <f t="shared" si="18"/>
        <v>0.0035</v>
      </c>
      <c r="G623" t="str">
        <f t="shared" si="19"/>
        <v>P0000517,16298562,0.0035</v>
      </c>
    </row>
    <row r="624" spans="1:7" x14ac:dyDescent="0.25">
      <c r="A624" s="1" t="s">
        <v>306</v>
      </c>
      <c r="B624" s="1" t="s">
        <v>1187</v>
      </c>
      <c r="C624" s="1" t="s">
        <v>6</v>
      </c>
      <c r="D624" t="str">
        <f>IFERROR(VLOOKUP(A624,depara!A:B,2,0),A624)</f>
        <v>P0000517</v>
      </c>
      <c r="E624">
        <f>VLOOKUP(B624,'inumos depara'!$A:$B,2,0)</f>
        <v>16298593</v>
      </c>
      <c r="F624" s="1" t="str">
        <f t="shared" si="18"/>
        <v>0.01</v>
      </c>
      <c r="G624" t="str">
        <f t="shared" si="19"/>
        <v>P0000517,16298593,0.01</v>
      </c>
    </row>
    <row r="625" spans="1:7" x14ac:dyDescent="0.25">
      <c r="A625" s="1" t="s">
        <v>306</v>
      </c>
      <c r="B625" s="1" t="s">
        <v>1212</v>
      </c>
      <c r="C625" s="1" t="s">
        <v>5</v>
      </c>
      <c r="D625" t="str">
        <f>IFERROR(VLOOKUP(A625,depara!A:B,2,0),A625)</f>
        <v>P0000517</v>
      </c>
      <c r="E625">
        <f>VLOOKUP(B625,'inumos depara'!$A:$B,2,0)</f>
        <v>16298617</v>
      </c>
      <c r="F625" s="1" t="str">
        <f t="shared" si="18"/>
        <v>0.002</v>
      </c>
      <c r="G625" t="str">
        <f t="shared" si="19"/>
        <v>P0000517,16298617,0.002</v>
      </c>
    </row>
    <row r="626" spans="1:7" x14ac:dyDescent="0.25">
      <c r="A626" s="1" t="s">
        <v>306</v>
      </c>
      <c r="B626" s="1" t="s">
        <v>1168</v>
      </c>
      <c r="C626" s="1" t="s">
        <v>4</v>
      </c>
      <c r="D626" t="str">
        <f>IFERROR(VLOOKUP(A626,depara!A:B,2,0),A626)</f>
        <v>P0000517</v>
      </c>
      <c r="E626">
        <f>VLOOKUP(B626,'inumos depara'!$A:$B,2,0)</f>
        <v>16298577</v>
      </c>
      <c r="F626" s="1" t="str">
        <f t="shared" si="18"/>
        <v>0.005</v>
      </c>
      <c r="G626" t="str">
        <f t="shared" si="19"/>
        <v>P0000517,16298577,0.005</v>
      </c>
    </row>
    <row r="627" spans="1:7" x14ac:dyDescent="0.25">
      <c r="A627" s="1" t="s">
        <v>307</v>
      </c>
      <c r="B627" s="1" t="s">
        <v>306</v>
      </c>
      <c r="C627" s="1" t="s">
        <v>308</v>
      </c>
      <c r="D627" t="str">
        <f>IFERROR(VLOOKUP(A627,depara!A:B,2,0),A627)</f>
        <v>P0000519</v>
      </c>
      <c r="E627">
        <f>VLOOKUP(B627,'inumos depara'!$A:$B,2,0)</f>
        <v>16298855</v>
      </c>
      <c r="F627" s="1" t="str">
        <f t="shared" si="18"/>
        <v>0.159531143946118</v>
      </c>
      <c r="G627" t="str">
        <f t="shared" si="19"/>
        <v>P0000519,16298855,0.159531143946118</v>
      </c>
    </row>
    <row r="628" spans="1:7" x14ac:dyDescent="0.25">
      <c r="A628" s="1" t="s">
        <v>307</v>
      </c>
      <c r="B628" s="1" t="s">
        <v>1328</v>
      </c>
      <c r="C628" s="1" t="s">
        <v>1515</v>
      </c>
      <c r="D628" t="str">
        <f>IFERROR(VLOOKUP(A628,depara!A:B,2,0),A628)</f>
        <v>P0000519</v>
      </c>
      <c r="E628">
        <f>VLOOKUP(B628,'inumos depara'!$A:$B,2,0)</f>
        <v>16298723</v>
      </c>
      <c r="F628" s="1" t="str">
        <f t="shared" si="18"/>
        <v>1.05195008614838</v>
      </c>
      <c r="G628" t="str">
        <f t="shared" si="19"/>
        <v>P0000519,16298723,1.05195008614838</v>
      </c>
    </row>
    <row r="629" spans="1:7" x14ac:dyDescent="0.25">
      <c r="A629" s="1" t="s">
        <v>307</v>
      </c>
      <c r="B629" s="1" t="s">
        <v>309</v>
      </c>
      <c r="C629" s="1" t="s">
        <v>1516</v>
      </c>
      <c r="D629" t="str">
        <f>IFERROR(VLOOKUP(A629,depara!A:B,2,0),A629)</f>
        <v>P0000519</v>
      </c>
      <c r="E629">
        <f>VLOOKUP(B629,'inumos depara'!$A:$B,2,0)</f>
        <v>16298856</v>
      </c>
      <c r="F629" s="1" t="str">
        <f t="shared" si="18"/>
        <v>1.11507335665431</v>
      </c>
      <c r="G629" t="str">
        <f t="shared" si="19"/>
        <v>P0000519,16298856,1.11507335665431</v>
      </c>
    </row>
    <row r="630" spans="1:7" x14ac:dyDescent="0.25">
      <c r="A630" s="1" t="s">
        <v>307</v>
      </c>
      <c r="B630" s="1" t="s">
        <v>310</v>
      </c>
      <c r="C630" s="1" t="s">
        <v>1516</v>
      </c>
      <c r="D630" t="str">
        <f>IFERROR(VLOOKUP(A630,depara!A:B,2,0),A630)</f>
        <v>P0000519</v>
      </c>
      <c r="E630">
        <f>VLOOKUP(B630,'inumos depara'!$A:$B,2,0)</f>
        <v>16298857</v>
      </c>
      <c r="F630" s="1" t="str">
        <f t="shared" si="18"/>
        <v>1.11507335665431</v>
      </c>
      <c r="G630" t="str">
        <f t="shared" si="19"/>
        <v>P0000519,16298857,1.11507335665431</v>
      </c>
    </row>
    <row r="631" spans="1:7" x14ac:dyDescent="0.25">
      <c r="A631" s="1" t="s">
        <v>307</v>
      </c>
      <c r="B631" s="1" t="s">
        <v>98</v>
      </c>
      <c r="C631" s="1" t="s">
        <v>1515</v>
      </c>
      <c r="D631" t="str">
        <f>IFERROR(VLOOKUP(A631,depara!A:B,2,0),A631)</f>
        <v>P0000519</v>
      </c>
      <c r="E631">
        <f>VLOOKUP(B631,'inumos depara'!$A:$B,2,0)</f>
        <v>16298690</v>
      </c>
      <c r="F631" s="1" t="str">
        <f t="shared" si="18"/>
        <v>1.05195008614838</v>
      </c>
      <c r="G631" t="str">
        <f t="shared" si="19"/>
        <v>P0000519,16298690,1.05195008614838</v>
      </c>
    </row>
    <row r="632" spans="1:7" x14ac:dyDescent="0.25">
      <c r="A632" s="1" t="s">
        <v>307</v>
      </c>
      <c r="B632" s="1" t="s">
        <v>1287</v>
      </c>
      <c r="C632" s="1" t="s">
        <v>1516</v>
      </c>
      <c r="D632" t="str">
        <f>IFERROR(VLOOKUP(A632,depara!A:B,2,0),A632)</f>
        <v>P0000519</v>
      </c>
      <c r="E632">
        <f>VLOOKUP(B632,'inumos depara'!$A:$B,2,0)</f>
        <v>16298691</v>
      </c>
      <c r="F632" s="1" t="str">
        <f t="shared" si="18"/>
        <v>1.11507335665431</v>
      </c>
      <c r="G632" t="str">
        <f t="shared" si="19"/>
        <v>P0000519,16298691,1.11507335665431</v>
      </c>
    </row>
    <row r="633" spans="1:7" x14ac:dyDescent="0.25">
      <c r="A633" s="1" t="s">
        <v>307</v>
      </c>
      <c r="B633" s="1" t="s">
        <v>1288</v>
      </c>
      <c r="C633" s="1" t="s">
        <v>311</v>
      </c>
      <c r="D633" t="str">
        <f>IFERROR(VLOOKUP(A633,depara!A:B,2,0),A633)</f>
        <v>P0000519</v>
      </c>
      <c r="E633">
        <f>VLOOKUP(B633,'inumos depara'!$A:$B,2,0)</f>
        <v>16298692</v>
      </c>
      <c r="F633" s="1" t="str">
        <f t="shared" si="18"/>
        <v>0.0657338275988096</v>
      </c>
      <c r="G633" t="str">
        <f t="shared" si="19"/>
        <v>P0000519,16298692,0.0657338275988096</v>
      </c>
    </row>
    <row r="634" spans="1:7" x14ac:dyDescent="0.25">
      <c r="A634" s="1" t="s">
        <v>312</v>
      </c>
      <c r="B634" s="1" t="s">
        <v>306</v>
      </c>
      <c r="C634" s="1" t="s">
        <v>313</v>
      </c>
      <c r="D634" t="str">
        <f>IFERROR(VLOOKUP(A634,depara!A:B,2,0),A634)</f>
        <v>P0000520</v>
      </c>
      <c r="E634">
        <f>VLOOKUP(B634,'inumos depara'!$A:$B,2,0)</f>
        <v>16298855</v>
      </c>
      <c r="F634" s="1" t="str">
        <f t="shared" si="18"/>
        <v>0.00599657338663621</v>
      </c>
      <c r="G634" t="str">
        <f t="shared" si="19"/>
        <v>P0000520,16298855,0.00599657338663621</v>
      </c>
    </row>
    <row r="635" spans="1:7" x14ac:dyDescent="0.25">
      <c r="A635" s="1" t="s">
        <v>312</v>
      </c>
      <c r="B635" s="1" t="s">
        <v>314</v>
      </c>
      <c r="C635" s="1" t="s">
        <v>315</v>
      </c>
      <c r="D635" t="str">
        <f>IFERROR(VLOOKUP(A635,depara!A:B,2,0),A635)</f>
        <v>P0000520</v>
      </c>
      <c r="E635">
        <f>VLOOKUP(B635,'inumos depara'!$A:$B,2,0)</f>
        <v>16298858</v>
      </c>
      <c r="F635" s="1" t="str">
        <f t="shared" si="18"/>
        <v>0.00136593522405459</v>
      </c>
      <c r="G635" t="str">
        <f t="shared" si="19"/>
        <v>P0000520,16298858,0.00136593522405459</v>
      </c>
    </row>
    <row r="636" spans="1:7" x14ac:dyDescent="0.25">
      <c r="A636" s="1" t="s">
        <v>312</v>
      </c>
      <c r="B636" s="1" t="s">
        <v>1443</v>
      </c>
      <c r="C636" s="1" t="s">
        <v>316</v>
      </c>
      <c r="D636" t="str">
        <f>IFERROR(VLOOKUP(A636,depara!A:B,2,0),A636)</f>
        <v>P0000520</v>
      </c>
      <c r="E636">
        <f>VLOOKUP(B636,'inumos depara'!$A:$B,2,0)</f>
        <v>16298809</v>
      </c>
      <c r="F636" s="1" t="str">
        <f t="shared" si="18"/>
        <v>0.010521233816317</v>
      </c>
      <c r="G636" t="str">
        <f t="shared" si="19"/>
        <v>P0000520,16298809,0.010521233816317</v>
      </c>
    </row>
    <row r="637" spans="1:7" x14ac:dyDescent="0.25">
      <c r="A637" s="1" t="s">
        <v>317</v>
      </c>
      <c r="B637" s="1" t="s">
        <v>1303</v>
      </c>
      <c r="C637" s="1" t="s">
        <v>318</v>
      </c>
      <c r="D637" t="str">
        <f>IFERROR(VLOOKUP(A637,depara!A:B,2,0),A637)</f>
        <v>P0000521</v>
      </c>
      <c r="E637">
        <f>VLOOKUP(B637,'inumos depara'!$A:$B,2,0)</f>
        <v>16298704</v>
      </c>
      <c r="F637" s="1" t="str">
        <f t="shared" si="18"/>
        <v>0.078543</v>
      </c>
      <c r="G637" t="str">
        <f t="shared" si="19"/>
        <v>P0000521,16298704,0.078543</v>
      </c>
    </row>
    <row r="638" spans="1:7" x14ac:dyDescent="0.25">
      <c r="A638" s="1" t="s">
        <v>317</v>
      </c>
      <c r="B638" s="1" t="s">
        <v>1304</v>
      </c>
      <c r="C638" s="1" t="s">
        <v>319</v>
      </c>
      <c r="D638" t="str">
        <f>IFERROR(VLOOKUP(A638,depara!A:B,2,0),A638)</f>
        <v>P0000521</v>
      </c>
      <c r="E638">
        <f>VLOOKUP(B638,'inumos depara'!$A:$B,2,0)</f>
        <v>16298705</v>
      </c>
      <c r="F638" s="1" t="str">
        <f t="shared" si="18"/>
        <v>0.0054</v>
      </c>
      <c r="G638" t="str">
        <f t="shared" si="19"/>
        <v>P0000521,16298705,0.0054</v>
      </c>
    </row>
    <row r="639" spans="1:7" x14ac:dyDescent="0.25">
      <c r="A639" s="1" t="s">
        <v>317</v>
      </c>
      <c r="B639" s="1" t="s">
        <v>1305</v>
      </c>
      <c r="C639" s="1" t="s">
        <v>320</v>
      </c>
      <c r="D639" t="str">
        <f>IFERROR(VLOOKUP(A639,depara!A:B,2,0),A639)</f>
        <v>P0000521</v>
      </c>
      <c r="E639">
        <f>VLOOKUP(B639,'inumos depara'!$A:$B,2,0)</f>
        <v>16298706</v>
      </c>
      <c r="F639" s="1" t="str">
        <f t="shared" si="18"/>
        <v>0.0009</v>
      </c>
      <c r="G639" t="str">
        <f t="shared" si="19"/>
        <v>P0000521,16298706,0.0009</v>
      </c>
    </row>
    <row r="640" spans="1:7" x14ac:dyDescent="0.25">
      <c r="A640" s="1" t="s">
        <v>317</v>
      </c>
      <c r="B640" s="1" t="s">
        <v>1220</v>
      </c>
      <c r="C640" s="1" t="s">
        <v>321</v>
      </c>
      <c r="D640" t="str">
        <f>IFERROR(VLOOKUP(A640,depara!A:B,2,0),A640)</f>
        <v>P0000521</v>
      </c>
      <c r="E640">
        <f>VLOOKUP(B640,'inumos depara'!$A:$B,2,0)</f>
        <v>16298625</v>
      </c>
      <c r="F640" s="1" t="str">
        <f t="shared" si="18"/>
        <v>0.00009</v>
      </c>
      <c r="G640" t="str">
        <f t="shared" si="19"/>
        <v>P0000521,16298625,0.00009</v>
      </c>
    </row>
    <row r="641" spans="1:7" x14ac:dyDescent="0.25">
      <c r="A641" s="1" t="s">
        <v>317</v>
      </c>
      <c r="B641" s="1" t="s">
        <v>1307</v>
      </c>
      <c r="C641" s="1" t="s">
        <v>322</v>
      </c>
      <c r="D641" t="str">
        <f>IFERROR(VLOOKUP(A641,depara!A:B,2,0),A641)</f>
        <v>P0000521</v>
      </c>
      <c r="E641">
        <f>VLOOKUP(B641,'inumos depara'!$A:$B,2,0)</f>
        <v>16298707</v>
      </c>
      <c r="F641" s="1" t="str">
        <f t="shared" si="18"/>
        <v>0.000117</v>
      </c>
      <c r="G641" t="str">
        <f t="shared" si="19"/>
        <v>P0000521,16298707,0.000117</v>
      </c>
    </row>
    <row r="642" spans="1:7" x14ac:dyDescent="0.25">
      <c r="A642" s="1" t="s">
        <v>317</v>
      </c>
      <c r="B642" s="1" t="s">
        <v>1219</v>
      </c>
      <c r="C642" s="1" t="s">
        <v>323</v>
      </c>
      <c r="D642" t="str">
        <f>IFERROR(VLOOKUP(A642,depara!A:B,2,0),A642)</f>
        <v>P0000521</v>
      </c>
      <c r="E642">
        <f>VLOOKUP(B642,'inumos depara'!$A:$B,2,0)</f>
        <v>16298624</v>
      </c>
      <c r="F642" s="1" t="str">
        <f t="shared" ref="F642:F705" si="20">C642</f>
        <v>0.0018</v>
      </c>
      <c r="G642" t="str">
        <f t="shared" ref="G642:G705" si="21">D642&amp;","&amp;E642&amp;","&amp;F642</f>
        <v>P0000521,16298624,0.0018</v>
      </c>
    </row>
    <row r="643" spans="1:7" x14ac:dyDescent="0.25">
      <c r="A643" s="1" t="s">
        <v>317</v>
      </c>
      <c r="B643" s="1" t="s">
        <v>1334</v>
      </c>
      <c r="C643" s="1" t="s">
        <v>320</v>
      </c>
      <c r="D643" t="str">
        <f>IFERROR(VLOOKUP(A643,depara!A:B,2,0),A643)</f>
        <v>P0000521</v>
      </c>
      <c r="E643">
        <f>VLOOKUP(B643,'inumos depara'!$A:$B,2,0)</f>
        <v>16298726</v>
      </c>
      <c r="F643" s="1" t="str">
        <f t="shared" si="20"/>
        <v>0.0009</v>
      </c>
      <c r="G643" t="str">
        <f t="shared" si="21"/>
        <v>P0000521,16298726,0.0009</v>
      </c>
    </row>
    <row r="644" spans="1:7" x14ac:dyDescent="0.25">
      <c r="A644" s="1" t="s">
        <v>317</v>
      </c>
      <c r="B644" s="1" t="s">
        <v>1168</v>
      </c>
      <c r="C644" s="1" t="s">
        <v>324</v>
      </c>
      <c r="D644" t="str">
        <f>IFERROR(VLOOKUP(A644,depara!A:B,2,0),A644)</f>
        <v>P0000521</v>
      </c>
      <c r="E644">
        <f>VLOOKUP(B644,'inumos depara'!$A:$B,2,0)</f>
        <v>16298577</v>
      </c>
      <c r="F644" s="1" t="str">
        <f t="shared" si="20"/>
        <v>0.00135</v>
      </c>
      <c r="G644" t="str">
        <f t="shared" si="21"/>
        <v>P0000521,16298577,0.00135</v>
      </c>
    </row>
    <row r="645" spans="1:7" x14ac:dyDescent="0.25">
      <c r="A645" s="1" t="s">
        <v>317</v>
      </c>
      <c r="B645" s="1" t="s">
        <v>1187</v>
      </c>
      <c r="C645" s="1" t="s">
        <v>320</v>
      </c>
      <c r="D645" t="str">
        <f>IFERROR(VLOOKUP(A645,depara!A:B,2,0),A645)</f>
        <v>P0000521</v>
      </c>
      <c r="E645">
        <f>VLOOKUP(B645,'inumos depara'!$A:$B,2,0)</f>
        <v>16298593</v>
      </c>
      <c r="F645" s="1" t="str">
        <f t="shared" si="20"/>
        <v>0.0009</v>
      </c>
      <c r="G645" t="str">
        <f t="shared" si="21"/>
        <v>P0000521,16298593,0.0009</v>
      </c>
    </row>
    <row r="646" spans="1:7" x14ac:dyDescent="0.25">
      <c r="A646" s="1" t="s">
        <v>317</v>
      </c>
      <c r="B646" s="1" t="s">
        <v>1310</v>
      </c>
      <c r="C646" s="1" t="s">
        <v>325</v>
      </c>
      <c r="D646" t="str">
        <f>IFERROR(VLOOKUP(A646,depara!A:B,2,0),A646)</f>
        <v>P0000521</v>
      </c>
      <c r="E646">
        <f>VLOOKUP(B646,'inumos depara'!$A:$B,2,0)</f>
        <v>16298710</v>
      </c>
      <c r="F646" s="1" t="str">
        <f t="shared" si="20"/>
        <v>0.00055</v>
      </c>
      <c r="G646" t="str">
        <f t="shared" si="21"/>
        <v>P0000521,16298710,0.00055</v>
      </c>
    </row>
    <row r="647" spans="1:7" x14ac:dyDescent="0.25">
      <c r="A647" s="1" t="s">
        <v>317</v>
      </c>
      <c r="B647" s="1" t="s">
        <v>1312</v>
      </c>
      <c r="C647" s="1" t="s">
        <v>326</v>
      </c>
      <c r="D647" t="str">
        <f>IFERROR(VLOOKUP(A647,depara!A:B,2,0),A647)</f>
        <v>P0000521</v>
      </c>
      <c r="E647">
        <f>VLOOKUP(B647,'inumos depara'!$A:$B,2,0)</f>
        <v>16298712</v>
      </c>
      <c r="F647" s="1" t="str">
        <f t="shared" si="20"/>
        <v>0.02835</v>
      </c>
      <c r="G647" t="str">
        <f t="shared" si="21"/>
        <v>P0000521,16298712,0.02835</v>
      </c>
    </row>
    <row r="648" spans="1:7" x14ac:dyDescent="0.25">
      <c r="A648" s="1" t="s">
        <v>317</v>
      </c>
      <c r="B648" s="1" t="s">
        <v>327</v>
      </c>
      <c r="C648" s="1" t="s">
        <v>1517</v>
      </c>
      <c r="D648" t="str">
        <f>IFERROR(VLOOKUP(A648,depara!A:B,2,0),A648)</f>
        <v>P0000521</v>
      </c>
      <c r="E648">
        <f>VLOOKUP(B648,'inumos depara'!$A:$B,2,0)</f>
        <v>16298859</v>
      </c>
      <c r="F648" s="1" t="str">
        <f t="shared" si="20"/>
        <v>1.0204</v>
      </c>
      <c r="G648" t="str">
        <f t="shared" si="21"/>
        <v>P0000521,16298859,1.0204</v>
      </c>
    </row>
    <row r="649" spans="1:7" x14ac:dyDescent="0.25">
      <c r="A649" s="1" t="s">
        <v>328</v>
      </c>
      <c r="B649" s="1" t="s">
        <v>1303</v>
      </c>
      <c r="C649" s="1" t="s">
        <v>329</v>
      </c>
      <c r="D649" t="str">
        <f>IFERROR(VLOOKUP(A649,depara!A:B,2,0),A649)</f>
        <v>P0000528</v>
      </c>
      <c r="E649">
        <f>VLOOKUP(B649,'inumos depara'!$A:$B,2,0)</f>
        <v>16298704</v>
      </c>
      <c r="F649" s="1" t="str">
        <f t="shared" si="20"/>
        <v>0.0162964115651551</v>
      </c>
      <c r="G649" t="str">
        <f t="shared" si="21"/>
        <v>P0000528,16298704,0.0162964115651551</v>
      </c>
    </row>
    <row r="650" spans="1:7" x14ac:dyDescent="0.25">
      <c r="A650" s="1" t="s">
        <v>328</v>
      </c>
      <c r="B650" s="1" t="s">
        <v>1304</v>
      </c>
      <c r="C650" s="1" t="s">
        <v>330</v>
      </c>
      <c r="D650" t="str">
        <f>IFERROR(VLOOKUP(A650,depara!A:B,2,0),A650)</f>
        <v>P0000528</v>
      </c>
      <c r="E650">
        <f>VLOOKUP(B650,'inumos depara'!$A:$B,2,0)</f>
        <v>16298705</v>
      </c>
      <c r="F650" s="1" t="str">
        <f t="shared" si="20"/>
        <v>0.00112041330802029</v>
      </c>
      <c r="G650" t="str">
        <f t="shared" si="21"/>
        <v>P0000528,16298705,0.00112041330802029</v>
      </c>
    </row>
    <row r="651" spans="1:7" x14ac:dyDescent="0.25">
      <c r="A651" s="1" t="s">
        <v>328</v>
      </c>
      <c r="B651" s="1" t="s">
        <v>1305</v>
      </c>
      <c r="C651" s="1" t="s">
        <v>331</v>
      </c>
      <c r="D651" t="str">
        <f>IFERROR(VLOOKUP(A651,depara!A:B,2,0),A651)</f>
        <v>P0000528</v>
      </c>
      <c r="E651">
        <f>VLOOKUP(B651,'inumos depara'!$A:$B,2,0)</f>
        <v>16298706</v>
      </c>
      <c r="F651" s="1" t="str">
        <f t="shared" si="20"/>
        <v>0.000186735551336715</v>
      </c>
      <c r="G651" t="str">
        <f t="shared" si="21"/>
        <v>P0000528,16298706,0.000186735551336715</v>
      </c>
    </row>
    <row r="652" spans="1:7" x14ac:dyDescent="0.25">
      <c r="A652" s="1" t="s">
        <v>328</v>
      </c>
      <c r="B652" s="1" t="s">
        <v>1220</v>
      </c>
      <c r="C652" s="1" t="s">
        <v>1518</v>
      </c>
      <c r="D652" t="str">
        <f>IFERROR(VLOOKUP(A652,depara!A:B,2,0),A652)</f>
        <v>P0000528</v>
      </c>
      <c r="E652">
        <f>VLOOKUP(B652,'inumos depara'!$A:$B,2,0)</f>
        <v>16298625</v>
      </c>
      <c r="F652" s="1" t="str">
        <f t="shared" si="20"/>
        <v>1.86735551336715E-05</v>
      </c>
      <c r="G652" t="str">
        <f t="shared" si="21"/>
        <v>P0000528,16298625,1.86735551336715E-05</v>
      </c>
    </row>
    <row r="653" spans="1:7" x14ac:dyDescent="0.25">
      <c r="A653" s="1" t="s">
        <v>328</v>
      </c>
      <c r="B653" s="1" t="s">
        <v>1307</v>
      </c>
      <c r="C653" s="1" t="s">
        <v>332</v>
      </c>
      <c r="D653" t="str">
        <f>IFERROR(VLOOKUP(A653,depara!A:B,2,0),A653)</f>
        <v>P0000528</v>
      </c>
      <c r="E653">
        <f>VLOOKUP(B653,'inumos depara'!$A:$B,2,0)</f>
        <v>16298707</v>
      </c>
      <c r="F653" s="1" t="str">
        <f t="shared" si="20"/>
        <v>0.000024275621673773</v>
      </c>
      <c r="G653" t="str">
        <f t="shared" si="21"/>
        <v>P0000528,16298707,0.000024275621673773</v>
      </c>
    </row>
    <row r="654" spans="1:7" x14ac:dyDescent="0.25">
      <c r="A654" s="1" t="s">
        <v>328</v>
      </c>
      <c r="B654" s="1" t="s">
        <v>1219</v>
      </c>
      <c r="C654" s="1" t="s">
        <v>333</v>
      </c>
      <c r="D654" t="str">
        <f>IFERROR(VLOOKUP(A654,depara!A:B,2,0),A654)</f>
        <v>P0000528</v>
      </c>
      <c r="E654">
        <f>VLOOKUP(B654,'inumos depara'!$A:$B,2,0)</f>
        <v>16298624</v>
      </c>
      <c r="F654" s="1" t="str">
        <f t="shared" si="20"/>
        <v>0.000373471102673431</v>
      </c>
      <c r="G654" t="str">
        <f t="shared" si="21"/>
        <v>P0000528,16298624,0.000373471102673431</v>
      </c>
    </row>
    <row r="655" spans="1:7" x14ac:dyDescent="0.25">
      <c r="A655" s="1" t="s">
        <v>328</v>
      </c>
      <c r="B655" s="1" t="s">
        <v>1334</v>
      </c>
      <c r="C655" s="1" t="s">
        <v>331</v>
      </c>
      <c r="D655" t="str">
        <f>IFERROR(VLOOKUP(A655,depara!A:B,2,0),A655)</f>
        <v>P0000528</v>
      </c>
      <c r="E655">
        <f>VLOOKUP(B655,'inumos depara'!$A:$B,2,0)</f>
        <v>16298726</v>
      </c>
      <c r="F655" s="1" t="str">
        <f t="shared" si="20"/>
        <v>0.000186735551336715</v>
      </c>
      <c r="G655" t="str">
        <f t="shared" si="21"/>
        <v>P0000528,16298726,0.000186735551336715</v>
      </c>
    </row>
    <row r="656" spans="1:7" x14ac:dyDescent="0.25">
      <c r="A656" s="1" t="s">
        <v>328</v>
      </c>
      <c r="B656" s="1" t="s">
        <v>1168</v>
      </c>
      <c r="C656" s="1" t="s">
        <v>334</v>
      </c>
      <c r="D656" t="str">
        <f>IFERROR(VLOOKUP(A656,depara!A:B,2,0),A656)</f>
        <v>P0000528</v>
      </c>
      <c r="E656">
        <f>VLOOKUP(B656,'inumos depara'!$A:$B,2,0)</f>
        <v>16298577</v>
      </c>
      <c r="F656" s="1" t="str">
        <f t="shared" si="20"/>
        <v>0.000280103327005073</v>
      </c>
      <c r="G656" t="str">
        <f t="shared" si="21"/>
        <v>P0000528,16298577,0.000280103327005073</v>
      </c>
    </row>
    <row r="657" spans="1:7" x14ac:dyDescent="0.25">
      <c r="A657" s="1" t="s">
        <v>328</v>
      </c>
      <c r="B657" s="1" t="s">
        <v>1187</v>
      </c>
      <c r="C657" s="1" t="s">
        <v>331</v>
      </c>
      <c r="D657" t="str">
        <f>IFERROR(VLOOKUP(A657,depara!A:B,2,0),A657)</f>
        <v>P0000528</v>
      </c>
      <c r="E657">
        <f>VLOOKUP(B657,'inumos depara'!$A:$B,2,0)</f>
        <v>16298593</v>
      </c>
      <c r="F657" s="1" t="str">
        <f t="shared" si="20"/>
        <v>0.000186735551336715</v>
      </c>
      <c r="G657" t="str">
        <f t="shared" si="21"/>
        <v>P0000528,16298593,0.000186735551336715</v>
      </c>
    </row>
    <row r="658" spans="1:7" x14ac:dyDescent="0.25">
      <c r="A658" s="1" t="s">
        <v>328</v>
      </c>
      <c r="B658" s="1" t="s">
        <v>335</v>
      </c>
      <c r="C658" s="1" t="s">
        <v>336</v>
      </c>
      <c r="D658" t="str">
        <f>IFERROR(VLOOKUP(A658,depara!A:B,2,0),A658)</f>
        <v>P0000528</v>
      </c>
      <c r="E658">
        <f>VLOOKUP(B658,'inumos depara'!$A:$B,2,0)</f>
        <v>16298860</v>
      </c>
      <c r="F658" s="1" t="str">
        <f t="shared" si="20"/>
        <v>0.000497961470231241</v>
      </c>
      <c r="G658" t="str">
        <f t="shared" si="21"/>
        <v>P0000528,16298860,0.000497961470231241</v>
      </c>
    </row>
    <row r="659" spans="1:7" x14ac:dyDescent="0.25">
      <c r="A659" s="1" t="s">
        <v>328</v>
      </c>
      <c r="B659" s="1" t="s">
        <v>1301</v>
      </c>
      <c r="C659" s="1" t="s">
        <v>337</v>
      </c>
      <c r="D659" t="str">
        <f>IFERROR(VLOOKUP(A659,depara!A:B,2,0),A659)</f>
        <v>P0000528</v>
      </c>
      <c r="E659">
        <f>VLOOKUP(B659,'inumos depara'!$A:$B,2,0)</f>
        <v>16298703</v>
      </c>
      <c r="F659" s="1" t="str">
        <f t="shared" si="20"/>
        <v>0.0102082101397404</v>
      </c>
      <c r="G659" t="str">
        <f t="shared" si="21"/>
        <v>P0000528,16298703,0.0102082101397404</v>
      </c>
    </row>
    <row r="660" spans="1:7" x14ac:dyDescent="0.25">
      <c r="A660" s="1" t="s">
        <v>338</v>
      </c>
      <c r="B660" s="1" t="s">
        <v>1519</v>
      </c>
      <c r="C660" s="1" t="s">
        <v>339</v>
      </c>
      <c r="D660" t="str">
        <f>IFERROR(VLOOKUP(A660,depara!A:B,2,0),A660)</f>
        <v>P0000554</v>
      </c>
      <c r="E660">
        <f>VLOOKUP(B660,'inumos depara'!$A:$B,2,0)</f>
        <v>16298861</v>
      </c>
      <c r="F660" s="1" t="str">
        <f t="shared" si="20"/>
        <v>0.0577022153529109</v>
      </c>
      <c r="G660" t="str">
        <f t="shared" si="21"/>
        <v>P0000554,16298861,0.0577022153529109</v>
      </c>
    </row>
    <row r="661" spans="1:7" x14ac:dyDescent="0.25">
      <c r="A661" s="1" t="s">
        <v>338</v>
      </c>
      <c r="B661" s="1" t="s">
        <v>340</v>
      </c>
      <c r="C661" s="1" t="s">
        <v>1520</v>
      </c>
      <c r="D661" t="str">
        <f>IFERROR(VLOOKUP(A661,depara!A:B,2,0),A661)</f>
        <v>P0000554</v>
      </c>
      <c r="E661">
        <f>VLOOKUP(B661,'inumos depara'!$A:$B,2,0)</f>
        <v>16298862</v>
      </c>
      <c r="F661" s="1" t="str">
        <f t="shared" si="20"/>
        <v>1.06291144312783</v>
      </c>
      <c r="G661" t="str">
        <f t="shared" si="21"/>
        <v>P0000554,16298862,1.06291144312783</v>
      </c>
    </row>
    <row r="662" spans="1:7" x14ac:dyDescent="0.25">
      <c r="A662" s="1" t="s">
        <v>338</v>
      </c>
      <c r="B662" s="1" t="s">
        <v>1436</v>
      </c>
      <c r="C662" s="1" t="s">
        <v>1520</v>
      </c>
      <c r="D662" t="str">
        <f>IFERROR(VLOOKUP(A662,depara!A:B,2,0),A662)</f>
        <v>P0000554</v>
      </c>
      <c r="E662">
        <f>VLOOKUP(B662,'inumos depara'!$A:$B,2,0)</f>
        <v>16298804</v>
      </c>
      <c r="F662" s="1" t="str">
        <f t="shared" si="20"/>
        <v>1.06291144312783</v>
      </c>
      <c r="G662" t="str">
        <f t="shared" si="21"/>
        <v>P0000554,16298804,1.06291144312783</v>
      </c>
    </row>
    <row r="663" spans="1:7" x14ac:dyDescent="0.25">
      <c r="A663" s="1" t="s">
        <v>338</v>
      </c>
      <c r="B663" s="1" t="s">
        <v>341</v>
      </c>
      <c r="C663" s="1" t="s">
        <v>1520</v>
      </c>
      <c r="D663" t="str">
        <f>IFERROR(VLOOKUP(A663,depara!A:B,2,0),A663)</f>
        <v>P0000554</v>
      </c>
      <c r="E663">
        <f>VLOOKUP(B663,'inumos depara'!$A:$B,2,0)</f>
        <v>16298863</v>
      </c>
      <c r="F663" s="1" t="str">
        <f t="shared" si="20"/>
        <v>1.06291144312783</v>
      </c>
      <c r="G663" t="str">
        <f t="shared" si="21"/>
        <v>P0000554,16298863,1.06291144312783</v>
      </c>
    </row>
    <row r="664" spans="1:7" x14ac:dyDescent="0.25">
      <c r="A664" s="1" t="s">
        <v>338</v>
      </c>
      <c r="B664" s="1" t="s">
        <v>206</v>
      </c>
      <c r="C664" s="1" t="s">
        <v>342</v>
      </c>
      <c r="D664" t="str">
        <f>IFERROR(VLOOKUP(A664,depara!A:B,2,0),A664)</f>
        <v>P0000554</v>
      </c>
      <c r="E664">
        <f>VLOOKUP(B664,'inumos depara'!$A:$B,2,0)</f>
        <v>16298803</v>
      </c>
      <c r="F664" s="1" t="str">
        <f t="shared" si="20"/>
        <v>0.0885568721735646</v>
      </c>
      <c r="G664" t="str">
        <f t="shared" si="21"/>
        <v>P0000554,16298803,0.0885568721735646</v>
      </c>
    </row>
    <row r="665" spans="1:7" x14ac:dyDescent="0.25">
      <c r="A665" s="1" t="s">
        <v>343</v>
      </c>
      <c r="B665" s="1" t="s">
        <v>1519</v>
      </c>
      <c r="C665" s="1" t="s">
        <v>295</v>
      </c>
      <c r="D665" t="str">
        <f>IFERROR(VLOOKUP(A665,depara!A:B,2,0),A665)</f>
        <v>P0000555</v>
      </c>
      <c r="E665">
        <f>VLOOKUP(B665,'inumos depara'!$A:$B,2,0)</f>
        <v>16298861</v>
      </c>
      <c r="F665" s="1" t="str">
        <f t="shared" si="20"/>
        <v>0.00389298373103561</v>
      </c>
      <c r="G665" t="str">
        <f t="shared" si="21"/>
        <v>P0000555,16298861,0.00389298373103561</v>
      </c>
    </row>
    <row r="666" spans="1:7" x14ac:dyDescent="0.25">
      <c r="A666" s="1" t="s">
        <v>343</v>
      </c>
      <c r="B666" s="1" t="s">
        <v>344</v>
      </c>
      <c r="C666" s="1" t="s">
        <v>296</v>
      </c>
      <c r="D666" t="str">
        <f>IFERROR(VLOOKUP(A666,depara!A:B,2,0),A666)</f>
        <v>P0000555</v>
      </c>
      <c r="E666">
        <f>VLOOKUP(B666,'inumos depara'!$A:$B,2,0)</f>
        <v>16298864</v>
      </c>
      <c r="F666" s="1" t="str">
        <f t="shared" si="20"/>
        <v>0.00129766124367854</v>
      </c>
      <c r="G666" t="str">
        <f t="shared" si="21"/>
        <v>P0000555,16298864,0.00129766124367854</v>
      </c>
    </row>
    <row r="667" spans="1:7" x14ac:dyDescent="0.25">
      <c r="A667" s="1" t="s">
        <v>343</v>
      </c>
      <c r="B667" s="1" t="s">
        <v>1443</v>
      </c>
      <c r="C667" s="1" t="s">
        <v>298</v>
      </c>
      <c r="D667" t="str">
        <f>IFERROR(VLOOKUP(A667,depara!A:B,2,0),A667)</f>
        <v>P0000555</v>
      </c>
      <c r="E667">
        <f>VLOOKUP(B667,'inumos depara'!$A:$B,2,0)</f>
        <v>16298809</v>
      </c>
      <c r="F667" s="1" t="str">
        <f t="shared" si="20"/>
        <v>0.0100031143869848</v>
      </c>
      <c r="G667" t="str">
        <f t="shared" si="21"/>
        <v>P0000555,16298809,0.0100031143869848</v>
      </c>
    </row>
    <row r="668" spans="1:7" x14ac:dyDescent="0.25">
      <c r="A668" s="1" t="s">
        <v>345</v>
      </c>
      <c r="B668" s="1" t="s">
        <v>1521</v>
      </c>
      <c r="C668" s="1" t="s">
        <v>346</v>
      </c>
      <c r="D668">
        <f>IFERROR(VLOOKUP(A668,depara!A:B,2,0),A668)</f>
        <v>16598556</v>
      </c>
      <c r="E668">
        <f>VLOOKUP(B668,'inumos depara'!$A:$B,2,0)</f>
        <v>16298865</v>
      </c>
      <c r="F668" s="1" t="str">
        <f t="shared" si="20"/>
        <v>0.00373275182789394</v>
      </c>
      <c r="G668" t="str">
        <f t="shared" si="21"/>
        <v>16598556,16298865,0.00373275182789394</v>
      </c>
    </row>
    <row r="669" spans="1:7" x14ac:dyDescent="0.25">
      <c r="A669" s="1" t="s">
        <v>345</v>
      </c>
      <c r="B669" s="1" t="s">
        <v>347</v>
      </c>
      <c r="C669" s="1" t="s">
        <v>348</v>
      </c>
      <c r="D669">
        <f>IFERROR(VLOOKUP(A669,depara!A:B,2,0),A669)</f>
        <v>16598556</v>
      </c>
      <c r="E669">
        <f>VLOOKUP(B669,'inumos depara'!$A:$B,2,0)</f>
        <v>16298866</v>
      </c>
      <c r="F669" s="1" t="str">
        <f t="shared" si="20"/>
        <v>0.00135969654211944</v>
      </c>
      <c r="G669" t="str">
        <f t="shared" si="21"/>
        <v>16598556,16298866,0.00135969654211944</v>
      </c>
    </row>
    <row r="670" spans="1:7" x14ac:dyDescent="0.25">
      <c r="A670" s="1" t="s">
        <v>345</v>
      </c>
      <c r="B670" s="1" t="s">
        <v>1443</v>
      </c>
      <c r="C670" s="1" t="s">
        <v>349</v>
      </c>
      <c r="D670">
        <f>IFERROR(VLOOKUP(A670,depara!A:B,2,0),A670)</f>
        <v>16598556</v>
      </c>
      <c r="E670">
        <f>VLOOKUP(B670,'inumos depara'!$A:$B,2,0)</f>
        <v>16298809</v>
      </c>
      <c r="F670" s="1" t="str">
        <f t="shared" si="20"/>
        <v>0.0100016492276117</v>
      </c>
      <c r="G670" t="str">
        <f t="shared" si="21"/>
        <v>16598556,16298809,0.0100016492276117</v>
      </c>
    </row>
    <row r="671" spans="1:7" x14ac:dyDescent="0.25">
      <c r="A671" s="1" t="s">
        <v>350</v>
      </c>
      <c r="B671" s="1" t="s">
        <v>1521</v>
      </c>
      <c r="C671" s="1" t="s">
        <v>351</v>
      </c>
      <c r="D671">
        <f>IFERROR(VLOOKUP(A671,depara!A:B,2,0),A671)</f>
        <v>16598557</v>
      </c>
      <c r="E671">
        <f>VLOOKUP(B671,'inumos depara'!$A:$B,2,0)</f>
        <v>16298865</v>
      </c>
      <c r="F671" s="1" t="str">
        <f t="shared" si="20"/>
        <v>0.0544186792049583</v>
      </c>
      <c r="G671" t="str">
        <f t="shared" si="21"/>
        <v>16598557,16298865,0.0544186792049583</v>
      </c>
    </row>
    <row r="672" spans="1:7" x14ac:dyDescent="0.25">
      <c r="A672" s="1" t="s">
        <v>350</v>
      </c>
      <c r="B672" s="1" t="s">
        <v>352</v>
      </c>
      <c r="C672" s="1" t="s">
        <v>1522</v>
      </c>
      <c r="D672">
        <f>IFERROR(VLOOKUP(A672,depara!A:B,2,0),A672)</f>
        <v>16598557</v>
      </c>
      <c r="E672">
        <f>VLOOKUP(B672,'inumos depara'!$A:$B,2,0)</f>
        <v>16298867</v>
      </c>
      <c r="F672" s="1" t="str">
        <f t="shared" si="20"/>
        <v>1.00502244069246</v>
      </c>
      <c r="G672" t="str">
        <f t="shared" si="21"/>
        <v>16598557,16298867,1.00502244069246</v>
      </c>
    </row>
    <row r="673" spans="1:7" x14ac:dyDescent="0.25">
      <c r="A673" s="1" t="s">
        <v>350</v>
      </c>
      <c r="B673" s="1" t="s">
        <v>1436</v>
      </c>
      <c r="C673" s="1" t="s">
        <v>1150</v>
      </c>
      <c r="D673">
        <f>IFERROR(VLOOKUP(A673,depara!A:B,2,0),A673)</f>
        <v>16598557</v>
      </c>
      <c r="E673">
        <f>VLOOKUP(B673,'inumos depara'!$A:$B,2,0)</f>
        <v>16298804</v>
      </c>
      <c r="F673" s="1" t="str">
        <f t="shared" si="20"/>
        <v>1</v>
      </c>
      <c r="G673" t="str">
        <f t="shared" si="21"/>
        <v>16598557,16298804,1</v>
      </c>
    </row>
    <row r="674" spans="1:7" x14ac:dyDescent="0.25">
      <c r="A674" s="1" t="s">
        <v>350</v>
      </c>
      <c r="B674" s="1" t="s">
        <v>206</v>
      </c>
      <c r="C674" s="1" t="s">
        <v>353</v>
      </c>
      <c r="D674">
        <f>IFERROR(VLOOKUP(A674,depara!A:B,2,0),A674)</f>
        <v>16598557</v>
      </c>
      <c r="E674">
        <f>VLOOKUP(B674,'inumos depara'!$A:$B,2,0)</f>
        <v>16298803</v>
      </c>
      <c r="F674" s="1" t="str">
        <f t="shared" si="20"/>
        <v>0.0833511434067108</v>
      </c>
      <c r="G674" t="str">
        <f t="shared" si="21"/>
        <v>16598557,16298803,0.0833511434067108</v>
      </c>
    </row>
    <row r="675" spans="1:7" x14ac:dyDescent="0.25">
      <c r="A675" s="1" t="s">
        <v>350</v>
      </c>
      <c r="B675" s="1" t="s">
        <v>354</v>
      </c>
      <c r="C675" s="1" t="s">
        <v>1523</v>
      </c>
      <c r="D675">
        <f>IFERROR(VLOOKUP(A675,depara!A:B,2,0),A675)</f>
        <v>16598557</v>
      </c>
      <c r="E675">
        <f>VLOOKUP(B675,'inumos depara'!$A:$B,2,0)</f>
        <v>16298868</v>
      </c>
      <c r="F675" s="1" t="str">
        <f t="shared" si="20"/>
        <v>1.05001068604403</v>
      </c>
      <c r="G675" t="str">
        <f t="shared" si="21"/>
        <v>16598557,16298868,1.05001068604403</v>
      </c>
    </row>
    <row r="676" spans="1:7" x14ac:dyDescent="0.25">
      <c r="A676" s="1" t="s">
        <v>355</v>
      </c>
      <c r="B676" s="1" t="s">
        <v>356</v>
      </c>
      <c r="C676" s="1" t="s">
        <v>357</v>
      </c>
      <c r="D676">
        <f>IFERROR(VLOOKUP(A676,depara!A:B,2,0),A676)</f>
        <v>16598558</v>
      </c>
      <c r="E676">
        <f>VLOOKUP(B676,'inumos depara'!$A:$B,2,0)</f>
        <v>16298869</v>
      </c>
      <c r="F676" s="1" t="str">
        <f t="shared" si="20"/>
        <v>0.00602699537321567</v>
      </c>
      <c r="G676" t="str">
        <f t="shared" si="21"/>
        <v>16598558,16298869,0.00602699537321567</v>
      </c>
    </row>
    <row r="677" spans="1:7" x14ac:dyDescent="0.25">
      <c r="A677" s="1" t="s">
        <v>355</v>
      </c>
      <c r="B677" s="1" t="s">
        <v>358</v>
      </c>
      <c r="C677" s="1" t="s">
        <v>359</v>
      </c>
      <c r="D677">
        <f>IFERROR(VLOOKUP(A677,depara!A:B,2,0),A677)</f>
        <v>16598558</v>
      </c>
      <c r="E677">
        <f>VLOOKUP(B677,'inumos depara'!$A:$B,2,0)</f>
        <v>16298870</v>
      </c>
      <c r="F677" s="1" t="str">
        <f t="shared" si="20"/>
        <v>0.00135672623120006</v>
      </c>
      <c r="G677" t="str">
        <f t="shared" si="21"/>
        <v>16598558,16298870,0.00135672623120006</v>
      </c>
    </row>
    <row r="678" spans="1:7" x14ac:dyDescent="0.25">
      <c r="A678" s="1" t="s">
        <v>355</v>
      </c>
      <c r="B678" s="1" t="s">
        <v>1443</v>
      </c>
      <c r="C678" s="1" t="s">
        <v>360</v>
      </c>
      <c r="D678">
        <f>IFERROR(VLOOKUP(A678,depara!A:B,2,0),A678)</f>
        <v>16598558</v>
      </c>
      <c r="E678">
        <f>VLOOKUP(B678,'inumos depara'!$A:$B,2,0)</f>
        <v>16298809</v>
      </c>
      <c r="F678" s="1" t="str">
        <f t="shared" si="20"/>
        <v>0.0100015074735902</v>
      </c>
      <c r="G678" t="str">
        <f t="shared" si="21"/>
        <v>16598558,16298809,0.0100015074735902</v>
      </c>
    </row>
    <row r="679" spans="1:7" x14ac:dyDescent="0.25">
      <c r="A679" s="1" t="s">
        <v>361</v>
      </c>
      <c r="B679" s="1" t="s">
        <v>362</v>
      </c>
      <c r="C679" s="1" t="s">
        <v>363</v>
      </c>
      <c r="D679">
        <f>IFERROR(VLOOKUP(A679,depara!A:B,2,0),A679)</f>
        <v>16598559</v>
      </c>
      <c r="E679">
        <f>VLOOKUP(B679,'inumos depara'!$A:$B,2,0)</f>
        <v>16298871</v>
      </c>
      <c r="F679" s="1" t="str">
        <f t="shared" si="20"/>
        <v>0.0678288672350792</v>
      </c>
      <c r="G679" t="str">
        <f t="shared" si="21"/>
        <v>16598559,16298871,0.0678288672350792</v>
      </c>
    </row>
    <row r="680" spans="1:7" x14ac:dyDescent="0.25">
      <c r="A680" s="1" t="s">
        <v>361</v>
      </c>
      <c r="B680" s="1" t="s">
        <v>364</v>
      </c>
      <c r="C680" s="1" t="s">
        <v>1524</v>
      </c>
      <c r="D680">
        <f>IFERROR(VLOOKUP(A680,depara!A:B,2,0),A680)</f>
        <v>16598559</v>
      </c>
      <c r="E680">
        <f>VLOOKUP(B680,'inumos depara'!$A:$B,2,0)</f>
        <v>16298872</v>
      </c>
      <c r="F680" s="1" t="str">
        <f t="shared" si="20"/>
        <v>1.0500043500957</v>
      </c>
      <c r="G680" t="str">
        <f t="shared" si="21"/>
        <v>16598559,16298872,1.0500043500957</v>
      </c>
    </row>
    <row r="681" spans="1:7" x14ac:dyDescent="0.25">
      <c r="A681" s="1" t="s">
        <v>361</v>
      </c>
      <c r="B681" s="1" t="s">
        <v>154</v>
      </c>
      <c r="C681" s="1" t="s">
        <v>365</v>
      </c>
      <c r="D681">
        <f>IFERROR(VLOOKUP(A681,depara!A:B,2,0),A681)</f>
        <v>16598559</v>
      </c>
      <c r="E681">
        <f>VLOOKUP(B681,'inumos depara'!$A:$B,2,0)</f>
        <v>16298742</v>
      </c>
      <c r="F681" s="1" t="str">
        <f t="shared" si="20"/>
        <v>0.0875021750478511</v>
      </c>
      <c r="G681" t="str">
        <f t="shared" si="21"/>
        <v>16598559,16298742,0.0875021750478511</v>
      </c>
    </row>
    <row r="682" spans="1:7" x14ac:dyDescent="0.25">
      <c r="A682" s="1" t="s">
        <v>366</v>
      </c>
      <c r="B682" s="1" t="s">
        <v>367</v>
      </c>
      <c r="C682" s="1" t="s">
        <v>1525</v>
      </c>
      <c r="D682">
        <f>IFERROR(VLOOKUP(A682,depara!A:B,2,0),A682)</f>
        <v>16598560</v>
      </c>
      <c r="E682">
        <f>VLOOKUP(B682,'inumos depara'!$A:$B,2,0)</f>
        <v>16298873</v>
      </c>
      <c r="F682" s="1" t="str">
        <f t="shared" si="20"/>
        <v>1.05001078981442</v>
      </c>
      <c r="G682" t="str">
        <f t="shared" si="21"/>
        <v>16598560,16298873,1.05001078981442</v>
      </c>
    </row>
    <row r="683" spans="1:7" x14ac:dyDescent="0.25">
      <c r="A683" s="1" t="s">
        <v>366</v>
      </c>
      <c r="B683" s="1" t="s">
        <v>368</v>
      </c>
      <c r="C683" s="1" t="s">
        <v>369</v>
      </c>
      <c r="D683">
        <f>IFERROR(VLOOKUP(A683,depara!A:B,2,0),A683)</f>
        <v>16598560</v>
      </c>
      <c r="E683">
        <f>VLOOKUP(B683,'inumos depara'!$A:$B,2,0)</f>
        <v>16298874</v>
      </c>
      <c r="F683" s="1" t="str">
        <f t="shared" si="20"/>
        <v>0.0875053949072076</v>
      </c>
      <c r="G683" t="str">
        <f t="shared" si="21"/>
        <v>16598560,16298874,0.0875053949072076</v>
      </c>
    </row>
    <row r="684" spans="1:7" x14ac:dyDescent="0.25">
      <c r="A684" s="1" t="s">
        <v>366</v>
      </c>
      <c r="B684" s="1" t="s">
        <v>362</v>
      </c>
      <c r="C684" s="1" t="s">
        <v>370</v>
      </c>
      <c r="D684">
        <f>IFERROR(VLOOKUP(A684,depara!A:B,2,0),A684)</f>
        <v>16598560</v>
      </c>
      <c r="E684">
        <f>VLOOKUP(B684,'inumos depara'!$A:$B,2,0)</f>
        <v>16298871</v>
      </c>
      <c r="F684" s="1" t="str">
        <f t="shared" si="20"/>
        <v>0.168240181268882</v>
      </c>
      <c r="G684" t="str">
        <f t="shared" si="21"/>
        <v>16598560,16298871,0.168240181268882</v>
      </c>
    </row>
    <row r="685" spans="1:7" x14ac:dyDescent="0.25">
      <c r="A685" s="1" t="s">
        <v>371</v>
      </c>
      <c r="B685" s="1" t="s">
        <v>362</v>
      </c>
      <c r="C685" s="1" t="s">
        <v>372</v>
      </c>
      <c r="D685">
        <f>IFERROR(VLOOKUP(A685,depara!A:B,2,0),A685)</f>
        <v>16598561</v>
      </c>
      <c r="E685">
        <f>VLOOKUP(B685,'inumos depara'!$A:$B,2,0)</f>
        <v>16298871</v>
      </c>
      <c r="F685" s="1" t="str">
        <f t="shared" si="20"/>
        <v>0.337208044982699</v>
      </c>
      <c r="G685" t="str">
        <f t="shared" si="21"/>
        <v>16598561,16298871,0.337208044982699</v>
      </c>
    </row>
    <row r="686" spans="1:7" x14ac:dyDescent="0.25">
      <c r="A686" s="1" t="s">
        <v>371</v>
      </c>
      <c r="B686" s="1" t="s">
        <v>373</v>
      </c>
      <c r="C686" s="1" t="s">
        <v>1526</v>
      </c>
      <c r="D686">
        <f>IFERROR(VLOOKUP(A686,depara!A:B,2,0),A686)</f>
        <v>16598561</v>
      </c>
      <c r="E686">
        <f>VLOOKUP(B686,'inumos depara'!$A:$B,2,0)</f>
        <v>16298875</v>
      </c>
      <c r="F686" s="1" t="str">
        <f t="shared" si="20"/>
        <v>1.00497404844291</v>
      </c>
      <c r="G686" t="str">
        <f t="shared" si="21"/>
        <v>16598561,16298875,1.00497404844291</v>
      </c>
    </row>
    <row r="687" spans="1:7" x14ac:dyDescent="0.25">
      <c r="A687" s="1" t="s">
        <v>371</v>
      </c>
      <c r="B687" s="1" t="s">
        <v>1527</v>
      </c>
      <c r="C687" s="1" t="s">
        <v>1526</v>
      </c>
      <c r="D687">
        <f>IFERROR(VLOOKUP(A687,depara!A:B,2,0),A687)</f>
        <v>16598561</v>
      </c>
      <c r="E687">
        <f>VLOOKUP(B687,'inumos depara'!$A:$B,2,0)</f>
        <v>16298876</v>
      </c>
      <c r="F687" s="1" t="str">
        <f t="shared" si="20"/>
        <v>1.00497404844291</v>
      </c>
      <c r="G687" t="str">
        <f t="shared" si="21"/>
        <v>16598561,16298876,1.00497404844291</v>
      </c>
    </row>
    <row r="688" spans="1:7" x14ac:dyDescent="0.25">
      <c r="A688" s="1" t="s">
        <v>371</v>
      </c>
      <c r="B688" s="1" t="s">
        <v>374</v>
      </c>
      <c r="C688" s="1" t="s">
        <v>375</v>
      </c>
      <c r="D688">
        <f>IFERROR(VLOOKUP(A688,depara!A:B,2,0),A688)</f>
        <v>16598561</v>
      </c>
      <c r="E688">
        <f>VLOOKUP(B688,'inumos depara'!$A:$B,2,0)</f>
        <v>16298877</v>
      </c>
      <c r="F688" s="1" t="str">
        <f t="shared" si="20"/>
        <v>0.0833693771626298</v>
      </c>
      <c r="G688" t="str">
        <f t="shared" si="21"/>
        <v>16598561,16298877,0.0833693771626298</v>
      </c>
    </row>
    <row r="689" spans="1:7" x14ac:dyDescent="0.25">
      <c r="A689" s="1" t="s">
        <v>376</v>
      </c>
      <c r="B689" s="1" t="s">
        <v>1316</v>
      </c>
      <c r="C689" s="1" t="s">
        <v>377</v>
      </c>
      <c r="D689">
        <f>IFERROR(VLOOKUP(A689,depara!A:B,2,0),A689)</f>
        <v>16598562</v>
      </c>
      <c r="E689">
        <f>VLOOKUP(B689,'inumos depara'!$A:$B,2,0)</f>
        <v>16298714</v>
      </c>
      <c r="F689" s="1" t="str">
        <f t="shared" si="20"/>
        <v>0.000430465476668771</v>
      </c>
      <c r="G689" t="str">
        <f t="shared" si="21"/>
        <v>16598562,16298714,0.000430465476668771</v>
      </c>
    </row>
    <row r="690" spans="1:7" x14ac:dyDescent="0.25">
      <c r="A690" s="1" t="s">
        <v>376</v>
      </c>
      <c r="B690" s="1" t="s">
        <v>378</v>
      </c>
      <c r="C690" s="1" t="s">
        <v>379</v>
      </c>
      <c r="D690">
        <f>IFERROR(VLOOKUP(A690,depara!A:B,2,0),A690)</f>
        <v>16598562</v>
      </c>
      <c r="E690">
        <f>VLOOKUP(B690,'inumos depara'!$A:$B,2,0)</f>
        <v>16298878</v>
      </c>
      <c r="F690" s="1" t="str">
        <f t="shared" si="20"/>
        <v>0.000215232738334386</v>
      </c>
      <c r="G690" t="str">
        <f t="shared" si="21"/>
        <v>16598562,16298878,0.000215232738334386</v>
      </c>
    </row>
    <row r="691" spans="1:7" x14ac:dyDescent="0.25">
      <c r="A691" s="1" t="s">
        <v>376</v>
      </c>
      <c r="B691" s="1" t="s">
        <v>1528</v>
      </c>
      <c r="C691" s="1" t="s">
        <v>1529</v>
      </c>
      <c r="D691">
        <f>IFERROR(VLOOKUP(A691,depara!A:B,2,0),A691)</f>
        <v>16598562</v>
      </c>
      <c r="E691">
        <f>VLOOKUP(B691,'inumos depara'!$A:$B,2,0)</f>
        <v>16298879</v>
      </c>
      <c r="F691" s="1" t="str">
        <f t="shared" si="20"/>
        <v>2.15232738334386E-05</v>
      </c>
      <c r="G691" t="str">
        <f t="shared" si="21"/>
        <v>16598562,16298879,2.15232738334386E-05</v>
      </c>
    </row>
    <row r="692" spans="1:7" x14ac:dyDescent="0.25">
      <c r="A692" s="1" t="s">
        <v>376</v>
      </c>
      <c r="B692" s="1" t="s">
        <v>380</v>
      </c>
      <c r="C692" s="1" t="s">
        <v>381</v>
      </c>
      <c r="D692">
        <f>IFERROR(VLOOKUP(A692,depara!A:B,2,0),A692)</f>
        <v>16598562</v>
      </c>
      <c r="E692">
        <f>VLOOKUP(B692,'inumos depara'!$A:$B,2,0)</f>
        <v>16298880</v>
      </c>
      <c r="F692" s="1" t="str">
        <f t="shared" si="20"/>
        <v>0.0206408196062676</v>
      </c>
      <c r="G692" t="str">
        <f t="shared" si="21"/>
        <v>16598562,16298880,0.0206408196062676</v>
      </c>
    </row>
    <row r="693" spans="1:7" x14ac:dyDescent="0.25">
      <c r="A693" s="1" t="s">
        <v>376</v>
      </c>
      <c r="B693" s="1" t="s">
        <v>382</v>
      </c>
      <c r="C693" s="1" t="s">
        <v>379</v>
      </c>
      <c r="D693">
        <f>IFERROR(VLOOKUP(A693,depara!A:B,2,0),A693)</f>
        <v>16598562</v>
      </c>
      <c r="E693">
        <f>VLOOKUP(B693,'inumos depara'!$A:$B,2,0)</f>
        <v>16298881</v>
      </c>
      <c r="F693" s="1" t="str">
        <f t="shared" si="20"/>
        <v>0.000215232738334386</v>
      </c>
      <c r="G693" t="str">
        <f t="shared" si="21"/>
        <v>16598562,16298881,0.000215232738334386</v>
      </c>
    </row>
    <row r="694" spans="1:7" x14ac:dyDescent="0.25">
      <c r="A694" s="1" t="s">
        <v>376</v>
      </c>
      <c r="B694" s="1" t="s">
        <v>383</v>
      </c>
      <c r="C694" s="1" t="s">
        <v>384</v>
      </c>
      <c r="D694">
        <f>IFERROR(VLOOKUP(A694,depara!A:B,2,0),A694)</f>
        <v>16598562</v>
      </c>
      <c r="E694">
        <f>VLOOKUP(B694,'inumos depara'!$A:$B,2,0)</f>
        <v>16298882</v>
      </c>
      <c r="F694" s="1" t="str">
        <f t="shared" si="20"/>
        <v>0.000516558572002525</v>
      </c>
      <c r="G694" t="str">
        <f t="shared" si="21"/>
        <v>16598562,16298882,0.000516558572002525</v>
      </c>
    </row>
    <row r="695" spans="1:7" x14ac:dyDescent="0.25">
      <c r="A695" s="1" t="s">
        <v>376</v>
      </c>
      <c r="B695" s="1" t="s">
        <v>236</v>
      </c>
      <c r="C695" s="1" t="s">
        <v>385</v>
      </c>
      <c r="D695">
        <f>IFERROR(VLOOKUP(A695,depara!A:B,2,0),A695)</f>
        <v>16598562</v>
      </c>
      <c r="E695">
        <f>VLOOKUP(B695,'inumos depara'!$A:$B,2,0)</f>
        <v>16298815</v>
      </c>
      <c r="F695" s="1" t="str">
        <f t="shared" si="20"/>
        <v>0.00998679905871549</v>
      </c>
      <c r="G695" t="str">
        <f t="shared" si="21"/>
        <v>16598562,16298815,0.00998679905871549</v>
      </c>
    </row>
    <row r="696" spans="1:7" x14ac:dyDescent="0.25">
      <c r="A696" s="1" t="s">
        <v>362</v>
      </c>
      <c r="B696" s="1" t="s">
        <v>1171</v>
      </c>
      <c r="C696" s="1" t="s">
        <v>10</v>
      </c>
      <c r="D696" t="str">
        <f>IFERROR(VLOOKUP(A696,depara!A:B,2,0),A696)</f>
        <v>P0000593</v>
      </c>
      <c r="E696">
        <f>VLOOKUP(B696,'inumos depara'!$A:$B,2,0)</f>
        <v>16298580</v>
      </c>
      <c r="F696" s="1" t="str">
        <f t="shared" si="20"/>
        <v>0.001</v>
      </c>
      <c r="G696" t="str">
        <f t="shared" si="21"/>
        <v>P0000593,16298580,0.001</v>
      </c>
    </row>
    <row r="697" spans="1:7" x14ac:dyDescent="0.25">
      <c r="A697" s="1" t="s">
        <v>362</v>
      </c>
      <c r="B697" s="1" t="s">
        <v>1356</v>
      </c>
      <c r="C697" s="1" t="s">
        <v>1</v>
      </c>
      <c r="D697" t="str">
        <f>IFERROR(VLOOKUP(A697,depara!A:B,2,0),A697)</f>
        <v>P0000593</v>
      </c>
      <c r="E697">
        <f>VLOOKUP(B697,'inumos depara'!$A:$B,2,0)</f>
        <v>16298743</v>
      </c>
      <c r="F697" s="1" t="str">
        <f t="shared" si="20"/>
        <v>0.003</v>
      </c>
      <c r="G697" t="str">
        <f t="shared" si="21"/>
        <v>P0000593,16298743,0.003</v>
      </c>
    </row>
    <row r="698" spans="1:7" x14ac:dyDescent="0.25">
      <c r="A698" s="1" t="s">
        <v>362</v>
      </c>
      <c r="B698" s="1" t="s">
        <v>386</v>
      </c>
      <c r="C698" s="1" t="s">
        <v>387</v>
      </c>
      <c r="D698" t="str">
        <f>IFERROR(VLOOKUP(A698,depara!A:B,2,0),A698)</f>
        <v>P0000593</v>
      </c>
      <c r="E698">
        <f>VLOOKUP(B698,'inumos depara'!$A:$B,2,0)</f>
        <v>16298883</v>
      </c>
      <c r="F698" s="1" t="str">
        <f t="shared" si="20"/>
        <v>0.2</v>
      </c>
      <c r="G698" t="str">
        <f t="shared" si="21"/>
        <v>P0000593,16298883,0.2</v>
      </c>
    </row>
    <row r="699" spans="1:7" x14ac:dyDescent="0.25">
      <c r="A699" s="1" t="s">
        <v>362</v>
      </c>
      <c r="B699" s="1" t="s">
        <v>1530</v>
      </c>
      <c r="C699" s="1" t="s">
        <v>73</v>
      </c>
      <c r="D699" t="str">
        <f>IFERROR(VLOOKUP(A699,depara!A:B,2,0),A699)</f>
        <v>P0000593</v>
      </c>
      <c r="E699">
        <f>VLOOKUP(B699,'inumos depara'!$A:$B,2,0)</f>
        <v>16298884</v>
      </c>
      <c r="F699" s="1" t="str">
        <f t="shared" si="20"/>
        <v>0.08</v>
      </c>
      <c r="G699" t="str">
        <f t="shared" si="21"/>
        <v>P0000593,16298884,0.08</v>
      </c>
    </row>
    <row r="700" spans="1:7" x14ac:dyDescent="0.25">
      <c r="A700" s="1" t="s">
        <v>362</v>
      </c>
      <c r="B700" s="1" t="s">
        <v>1531</v>
      </c>
      <c r="C700" s="1" t="s">
        <v>0</v>
      </c>
      <c r="D700" t="str">
        <f>IFERROR(VLOOKUP(A700,depara!A:B,2,0),A700)</f>
        <v>P0000593</v>
      </c>
      <c r="E700">
        <f>VLOOKUP(B700,'inumos depara'!$A:$B,2,0)</f>
        <v>16298885</v>
      </c>
      <c r="F700" s="1" t="str">
        <f t="shared" si="20"/>
        <v>0.05</v>
      </c>
      <c r="G700" t="str">
        <f t="shared" si="21"/>
        <v>P0000593,16298885,0.05</v>
      </c>
    </row>
    <row r="701" spans="1:7" x14ac:dyDescent="0.25">
      <c r="A701" s="1" t="s">
        <v>362</v>
      </c>
      <c r="B701" s="1" t="s">
        <v>1513</v>
      </c>
      <c r="C701" s="1" t="s">
        <v>64</v>
      </c>
      <c r="D701" t="str">
        <f>IFERROR(VLOOKUP(A701,depara!A:B,2,0),A701)</f>
        <v>P0000593</v>
      </c>
      <c r="E701">
        <f>VLOOKUP(B701,'inumos depara'!$A:$B,2,0)</f>
        <v>16298853</v>
      </c>
      <c r="F701" s="1" t="str">
        <f t="shared" si="20"/>
        <v>0.02</v>
      </c>
      <c r="G701" t="str">
        <f t="shared" si="21"/>
        <v>P0000593,16298853,0.02</v>
      </c>
    </row>
    <row r="702" spans="1:7" x14ac:dyDescent="0.25">
      <c r="A702" s="1" t="s">
        <v>362</v>
      </c>
      <c r="B702" s="1" t="s">
        <v>1512</v>
      </c>
      <c r="C702" s="1" t="s">
        <v>6</v>
      </c>
      <c r="D702" t="str">
        <f>IFERROR(VLOOKUP(A702,depara!A:B,2,0),A702)</f>
        <v>P0000593</v>
      </c>
      <c r="E702">
        <f>VLOOKUP(B702,'inumos depara'!$A:$B,2,0)</f>
        <v>16298852</v>
      </c>
      <c r="F702" s="1" t="str">
        <f t="shared" si="20"/>
        <v>0.01</v>
      </c>
      <c r="G702" t="str">
        <f t="shared" si="21"/>
        <v>P0000593,16298852,0.01</v>
      </c>
    </row>
    <row r="703" spans="1:7" x14ac:dyDescent="0.25">
      <c r="A703" s="1" t="s">
        <v>362</v>
      </c>
      <c r="B703" s="1" t="s">
        <v>1176</v>
      </c>
      <c r="C703" s="1" t="s">
        <v>388</v>
      </c>
      <c r="D703" t="str">
        <f>IFERROR(VLOOKUP(A703,depara!A:B,2,0),A703)</f>
        <v>P0000593</v>
      </c>
      <c r="E703">
        <f>VLOOKUP(B703,'inumos depara'!$A:$B,2,0)</f>
        <v>16298585</v>
      </c>
      <c r="F703" s="1" t="str">
        <f t="shared" si="20"/>
        <v>0.009</v>
      </c>
      <c r="G703" t="str">
        <f t="shared" si="21"/>
        <v>P0000593,16298585,0.009</v>
      </c>
    </row>
    <row r="704" spans="1:7" x14ac:dyDescent="0.25">
      <c r="A704" s="1" t="s">
        <v>362</v>
      </c>
      <c r="B704" s="1" t="s">
        <v>389</v>
      </c>
      <c r="C704" s="1" t="s">
        <v>68</v>
      </c>
      <c r="D704" t="str">
        <f>IFERROR(VLOOKUP(A704,depara!A:B,2,0),A704)</f>
        <v>P0000593</v>
      </c>
      <c r="E704">
        <f>VLOOKUP(B704,'inumos depara'!$A:$B,2,0)</f>
        <v>16298886</v>
      </c>
      <c r="F704" s="1" t="str">
        <f t="shared" si="20"/>
        <v>0.004</v>
      </c>
      <c r="G704" t="str">
        <f t="shared" si="21"/>
        <v>P0000593,16298886,0.004</v>
      </c>
    </row>
    <row r="705" spans="1:7" x14ac:dyDescent="0.25">
      <c r="A705" s="1" t="s">
        <v>362</v>
      </c>
      <c r="B705" s="1" t="s">
        <v>1216</v>
      </c>
      <c r="C705" s="1" t="s">
        <v>6</v>
      </c>
      <c r="D705" t="str">
        <f>IFERROR(VLOOKUP(A705,depara!A:B,2,0),A705)</f>
        <v>P0000593</v>
      </c>
      <c r="E705">
        <f>VLOOKUP(B705,'inumos depara'!$A:$B,2,0)</f>
        <v>16298621</v>
      </c>
      <c r="F705" s="1" t="str">
        <f t="shared" si="20"/>
        <v>0.01</v>
      </c>
      <c r="G705" t="str">
        <f t="shared" si="21"/>
        <v>P0000593,16298621,0.01</v>
      </c>
    </row>
    <row r="706" spans="1:7" x14ac:dyDescent="0.25">
      <c r="A706" s="1" t="s">
        <v>362</v>
      </c>
      <c r="B706" s="1" t="s">
        <v>390</v>
      </c>
      <c r="C706" s="1" t="s">
        <v>68</v>
      </c>
      <c r="D706" t="str">
        <f>IFERROR(VLOOKUP(A706,depara!A:B,2,0),A706)</f>
        <v>P0000593</v>
      </c>
      <c r="E706">
        <f>VLOOKUP(B706,'inumos depara'!$A:$B,2,0)</f>
        <v>16298887</v>
      </c>
      <c r="F706" s="1" t="str">
        <f t="shared" ref="F706:F769" si="22">C706</f>
        <v>0.004</v>
      </c>
      <c r="G706" t="str">
        <f t="shared" ref="G706:G769" si="23">D706&amp;","&amp;E706&amp;","&amp;F706</f>
        <v>P0000593,16298887,0.004</v>
      </c>
    </row>
    <row r="707" spans="1:7" x14ac:dyDescent="0.25">
      <c r="A707" s="1" t="s">
        <v>362</v>
      </c>
      <c r="B707" s="1" t="s">
        <v>391</v>
      </c>
      <c r="C707" s="1" t="s">
        <v>392</v>
      </c>
      <c r="D707" t="str">
        <f>IFERROR(VLOOKUP(A707,depara!A:B,2,0),A707)</f>
        <v>P0000593</v>
      </c>
      <c r="E707">
        <f>VLOOKUP(B707,'inumos depara'!$A:$B,2,0)</f>
        <v>16298888</v>
      </c>
      <c r="F707" s="1" t="str">
        <f t="shared" si="22"/>
        <v>0.0000005</v>
      </c>
      <c r="G707" t="str">
        <f t="shared" si="23"/>
        <v>P0000593,16298888,0.0000005</v>
      </c>
    </row>
    <row r="708" spans="1:7" x14ac:dyDescent="0.25">
      <c r="A708" s="1" t="s">
        <v>362</v>
      </c>
      <c r="B708" s="1" t="s">
        <v>393</v>
      </c>
      <c r="C708" s="1" t="s">
        <v>394</v>
      </c>
      <c r="D708" t="str">
        <f>IFERROR(VLOOKUP(A708,depara!A:B,2,0),A708)</f>
        <v>P0000593</v>
      </c>
      <c r="E708">
        <f>VLOOKUP(B708,'inumos depara'!$A:$B,2,0)</f>
        <v>16298889</v>
      </c>
      <c r="F708" s="1" t="str">
        <f t="shared" si="22"/>
        <v>0.007</v>
      </c>
      <c r="G708" t="str">
        <f t="shared" si="23"/>
        <v>P0000593,16298889,0.007</v>
      </c>
    </row>
    <row r="709" spans="1:7" x14ac:dyDescent="0.25">
      <c r="A709" s="1" t="s">
        <v>362</v>
      </c>
      <c r="B709" s="1" t="s">
        <v>1146</v>
      </c>
      <c r="C709" s="1" t="s">
        <v>1</v>
      </c>
      <c r="D709" t="str">
        <f>IFERROR(VLOOKUP(A709,depara!A:B,2,0),A709)</f>
        <v>P0000593</v>
      </c>
      <c r="E709">
        <f>VLOOKUP(B709,'inumos depara'!$A:$B,2,0)</f>
        <v>16298558</v>
      </c>
      <c r="F709" s="1" t="str">
        <f t="shared" si="22"/>
        <v>0.003</v>
      </c>
      <c r="G709" t="str">
        <f t="shared" si="23"/>
        <v>P0000593,16298558,0.003</v>
      </c>
    </row>
    <row r="710" spans="1:7" x14ac:dyDescent="0.25">
      <c r="A710" s="1" t="s">
        <v>362</v>
      </c>
      <c r="B710" s="1" t="s">
        <v>382</v>
      </c>
      <c r="C710" s="1" t="s">
        <v>64</v>
      </c>
      <c r="D710" t="str">
        <f>IFERROR(VLOOKUP(A710,depara!A:B,2,0),A710)</f>
        <v>P0000593</v>
      </c>
      <c r="E710">
        <f>VLOOKUP(B710,'inumos depara'!$A:$B,2,0)</f>
        <v>16298881</v>
      </c>
      <c r="F710" s="1" t="str">
        <f t="shared" si="22"/>
        <v>0.02</v>
      </c>
      <c r="G710" t="str">
        <f t="shared" si="23"/>
        <v>P0000593,16298881,0.02</v>
      </c>
    </row>
    <row r="711" spans="1:7" x14ac:dyDescent="0.25">
      <c r="A711" s="1" t="s">
        <v>362</v>
      </c>
      <c r="B711" s="1" t="s">
        <v>395</v>
      </c>
      <c r="C711" s="1" t="s">
        <v>396</v>
      </c>
      <c r="D711" t="str">
        <f>IFERROR(VLOOKUP(A711,depara!A:B,2,0),A711)</f>
        <v>P0000593</v>
      </c>
      <c r="E711">
        <f>VLOOKUP(B711,'inumos depara'!$A:$B,2,0)</f>
        <v>16298890</v>
      </c>
      <c r="F711" s="1" t="str">
        <f t="shared" si="22"/>
        <v>0.000012</v>
      </c>
      <c r="G711" t="str">
        <f t="shared" si="23"/>
        <v>P0000593,16298890,0.000012</v>
      </c>
    </row>
    <row r="712" spans="1:7" x14ac:dyDescent="0.25">
      <c r="A712" s="1" t="s">
        <v>362</v>
      </c>
      <c r="B712" s="1" t="s">
        <v>1215</v>
      </c>
      <c r="C712" s="1" t="s">
        <v>68</v>
      </c>
      <c r="D712" t="str">
        <f>IFERROR(VLOOKUP(A712,depara!A:B,2,0),A712)</f>
        <v>P0000593</v>
      </c>
      <c r="E712">
        <f>VLOOKUP(B712,'inumos depara'!$A:$B,2,0)</f>
        <v>16298620</v>
      </c>
      <c r="F712" s="1" t="str">
        <f t="shared" si="22"/>
        <v>0.004</v>
      </c>
      <c r="G712" t="str">
        <f t="shared" si="23"/>
        <v>P0000593,16298620,0.004</v>
      </c>
    </row>
    <row r="713" spans="1:7" x14ac:dyDescent="0.25">
      <c r="A713" s="1" t="s">
        <v>356</v>
      </c>
      <c r="B713" s="1" t="s">
        <v>1171</v>
      </c>
      <c r="C713" s="1" t="s">
        <v>10</v>
      </c>
      <c r="D713" t="str">
        <f>IFERROR(VLOOKUP(A713,depara!A:B,2,0),A713)</f>
        <v>P0000596</v>
      </c>
      <c r="E713">
        <f>VLOOKUP(B713,'inumos depara'!$A:$B,2,0)</f>
        <v>16298580</v>
      </c>
      <c r="F713" s="1" t="str">
        <f t="shared" si="22"/>
        <v>0.001</v>
      </c>
      <c r="G713" t="str">
        <f t="shared" si="23"/>
        <v>P0000596,16298580,0.001</v>
      </c>
    </row>
    <row r="714" spans="1:7" x14ac:dyDescent="0.25">
      <c r="A714" s="1" t="s">
        <v>356</v>
      </c>
      <c r="B714" s="1" t="s">
        <v>1356</v>
      </c>
      <c r="C714" s="1" t="s">
        <v>1</v>
      </c>
      <c r="D714" t="str">
        <f>IFERROR(VLOOKUP(A714,depara!A:B,2,0),A714)</f>
        <v>P0000596</v>
      </c>
      <c r="E714">
        <f>VLOOKUP(B714,'inumos depara'!$A:$B,2,0)</f>
        <v>16298743</v>
      </c>
      <c r="F714" s="1" t="str">
        <f t="shared" si="22"/>
        <v>0.003</v>
      </c>
      <c r="G714" t="str">
        <f t="shared" si="23"/>
        <v>P0000596,16298743,0.003</v>
      </c>
    </row>
    <row r="715" spans="1:7" x14ac:dyDescent="0.25">
      <c r="A715" s="1" t="s">
        <v>356</v>
      </c>
      <c r="B715" s="1" t="s">
        <v>386</v>
      </c>
      <c r="C715" s="1" t="s">
        <v>387</v>
      </c>
      <c r="D715" t="str">
        <f>IFERROR(VLOOKUP(A715,depara!A:B,2,0),A715)</f>
        <v>P0000596</v>
      </c>
      <c r="E715">
        <f>VLOOKUP(B715,'inumos depara'!$A:$B,2,0)</f>
        <v>16298883</v>
      </c>
      <c r="F715" s="1" t="str">
        <f t="shared" si="22"/>
        <v>0.2</v>
      </c>
      <c r="G715" t="str">
        <f t="shared" si="23"/>
        <v>P0000596,16298883,0.2</v>
      </c>
    </row>
    <row r="716" spans="1:7" x14ac:dyDescent="0.25">
      <c r="A716" s="1" t="s">
        <v>356</v>
      </c>
      <c r="B716" s="1" t="s">
        <v>1530</v>
      </c>
      <c r="C716" s="1" t="s">
        <v>73</v>
      </c>
      <c r="D716" t="str">
        <f>IFERROR(VLOOKUP(A716,depara!A:B,2,0),A716)</f>
        <v>P0000596</v>
      </c>
      <c r="E716">
        <f>VLOOKUP(B716,'inumos depara'!$A:$B,2,0)</f>
        <v>16298884</v>
      </c>
      <c r="F716" s="1" t="str">
        <f t="shared" si="22"/>
        <v>0.08</v>
      </c>
      <c r="G716" t="str">
        <f t="shared" si="23"/>
        <v>P0000596,16298884,0.08</v>
      </c>
    </row>
    <row r="717" spans="1:7" x14ac:dyDescent="0.25">
      <c r="A717" s="1" t="s">
        <v>356</v>
      </c>
      <c r="B717" s="1" t="s">
        <v>1531</v>
      </c>
      <c r="C717" s="1" t="s">
        <v>0</v>
      </c>
      <c r="D717" t="str">
        <f>IFERROR(VLOOKUP(A717,depara!A:B,2,0),A717)</f>
        <v>P0000596</v>
      </c>
      <c r="E717">
        <f>VLOOKUP(B717,'inumos depara'!$A:$B,2,0)</f>
        <v>16298885</v>
      </c>
      <c r="F717" s="1" t="str">
        <f t="shared" si="22"/>
        <v>0.05</v>
      </c>
      <c r="G717" t="str">
        <f t="shared" si="23"/>
        <v>P0000596,16298885,0.05</v>
      </c>
    </row>
    <row r="718" spans="1:7" x14ac:dyDescent="0.25">
      <c r="A718" s="1" t="s">
        <v>356</v>
      </c>
      <c r="B718" s="1" t="s">
        <v>1513</v>
      </c>
      <c r="C718" s="1" t="s">
        <v>64</v>
      </c>
      <c r="D718" t="str">
        <f>IFERROR(VLOOKUP(A718,depara!A:B,2,0),A718)</f>
        <v>P0000596</v>
      </c>
      <c r="E718">
        <f>VLOOKUP(B718,'inumos depara'!$A:$B,2,0)</f>
        <v>16298853</v>
      </c>
      <c r="F718" s="1" t="str">
        <f t="shared" si="22"/>
        <v>0.02</v>
      </c>
      <c r="G718" t="str">
        <f t="shared" si="23"/>
        <v>P0000596,16298853,0.02</v>
      </c>
    </row>
    <row r="719" spans="1:7" x14ac:dyDescent="0.25">
      <c r="A719" s="1" t="s">
        <v>356</v>
      </c>
      <c r="B719" s="1" t="s">
        <v>1512</v>
      </c>
      <c r="C719" s="1" t="s">
        <v>6</v>
      </c>
      <c r="D719" t="str">
        <f>IFERROR(VLOOKUP(A719,depara!A:B,2,0),A719)</f>
        <v>P0000596</v>
      </c>
      <c r="E719">
        <f>VLOOKUP(B719,'inumos depara'!$A:$B,2,0)</f>
        <v>16298852</v>
      </c>
      <c r="F719" s="1" t="str">
        <f t="shared" si="22"/>
        <v>0.01</v>
      </c>
      <c r="G719" t="str">
        <f t="shared" si="23"/>
        <v>P0000596,16298852,0.01</v>
      </c>
    </row>
    <row r="720" spans="1:7" x14ac:dyDescent="0.25">
      <c r="A720" s="1" t="s">
        <v>356</v>
      </c>
      <c r="B720" s="1" t="s">
        <v>1176</v>
      </c>
      <c r="C720" s="1" t="s">
        <v>388</v>
      </c>
      <c r="D720" t="str">
        <f>IFERROR(VLOOKUP(A720,depara!A:B,2,0),A720)</f>
        <v>P0000596</v>
      </c>
      <c r="E720">
        <f>VLOOKUP(B720,'inumos depara'!$A:$B,2,0)</f>
        <v>16298585</v>
      </c>
      <c r="F720" s="1" t="str">
        <f t="shared" si="22"/>
        <v>0.009</v>
      </c>
      <c r="G720" t="str">
        <f t="shared" si="23"/>
        <v>P0000596,16298585,0.009</v>
      </c>
    </row>
    <row r="721" spans="1:7" x14ac:dyDescent="0.25">
      <c r="A721" s="1" t="s">
        <v>356</v>
      </c>
      <c r="B721" s="1" t="s">
        <v>389</v>
      </c>
      <c r="C721" s="1" t="s">
        <v>68</v>
      </c>
      <c r="D721" t="str">
        <f>IFERROR(VLOOKUP(A721,depara!A:B,2,0),A721)</f>
        <v>P0000596</v>
      </c>
      <c r="E721">
        <f>VLOOKUP(B721,'inumos depara'!$A:$B,2,0)</f>
        <v>16298886</v>
      </c>
      <c r="F721" s="1" t="str">
        <f t="shared" si="22"/>
        <v>0.004</v>
      </c>
      <c r="G721" t="str">
        <f t="shared" si="23"/>
        <v>P0000596,16298886,0.004</v>
      </c>
    </row>
    <row r="722" spans="1:7" x14ac:dyDescent="0.25">
      <c r="A722" s="1" t="s">
        <v>356</v>
      </c>
      <c r="B722" s="1" t="s">
        <v>1216</v>
      </c>
      <c r="C722" s="1" t="s">
        <v>6</v>
      </c>
      <c r="D722" t="str">
        <f>IFERROR(VLOOKUP(A722,depara!A:B,2,0),A722)</f>
        <v>P0000596</v>
      </c>
      <c r="E722">
        <f>VLOOKUP(B722,'inumos depara'!$A:$B,2,0)</f>
        <v>16298621</v>
      </c>
      <c r="F722" s="1" t="str">
        <f t="shared" si="22"/>
        <v>0.01</v>
      </c>
      <c r="G722" t="str">
        <f t="shared" si="23"/>
        <v>P0000596,16298621,0.01</v>
      </c>
    </row>
    <row r="723" spans="1:7" x14ac:dyDescent="0.25">
      <c r="A723" s="1" t="s">
        <v>356</v>
      </c>
      <c r="B723" s="1" t="s">
        <v>390</v>
      </c>
      <c r="C723" s="1" t="s">
        <v>68</v>
      </c>
      <c r="D723" t="str">
        <f>IFERROR(VLOOKUP(A723,depara!A:B,2,0),A723)</f>
        <v>P0000596</v>
      </c>
      <c r="E723">
        <f>VLOOKUP(B723,'inumos depara'!$A:$B,2,0)</f>
        <v>16298887</v>
      </c>
      <c r="F723" s="1" t="str">
        <f t="shared" si="22"/>
        <v>0.004</v>
      </c>
      <c r="G723" t="str">
        <f t="shared" si="23"/>
        <v>P0000596,16298887,0.004</v>
      </c>
    </row>
    <row r="724" spans="1:7" x14ac:dyDescent="0.25">
      <c r="A724" s="1" t="s">
        <v>356</v>
      </c>
      <c r="B724" s="1" t="s">
        <v>391</v>
      </c>
      <c r="C724" s="1" t="s">
        <v>392</v>
      </c>
      <c r="D724" t="str">
        <f>IFERROR(VLOOKUP(A724,depara!A:B,2,0),A724)</f>
        <v>P0000596</v>
      </c>
      <c r="E724">
        <f>VLOOKUP(B724,'inumos depara'!$A:$B,2,0)</f>
        <v>16298888</v>
      </c>
      <c r="F724" s="1" t="str">
        <f t="shared" si="22"/>
        <v>0.0000005</v>
      </c>
      <c r="G724" t="str">
        <f t="shared" si="23"/>
        <v>P0000596,16298888,0.0000005</v>
      </c>
    </row>
    <row r="725" spans="1:7" x14ac:dyDescent="0.25">
      <c r="A725" s="1" t="s">
        <v>356</v>
      </c>
      <c r="B725" s="1" t="s">
        <v>393</v>
      </c>
      <c r="C725" s="1" t="s">
        <v>394</v>
      </c>
      <c r="D725" t="str">
        <f>IFERROR(VLOOKUP(A725,depara!A:B,2,0),A725)</f>
        <v>P0000596</v>
      </c>
      <c r="E725">
        <f>VLOOKUP(B725,'inumos depara'!$A:$B,2,0)</f>
        <v>16298889</v>
      </c>
      <c r="F725" s="1" t="str">
        <f t="shared" si="22"/>
        <v>0.007</v>
      </c>
      <c r="G725" t="str">
        <f t="shared" si="23"/>
        <v>P0000596,16298889,0.007</v>
      </c>
    </row>
    <row r="726" spans="1:7" x14ac:dyDescent="0.25">
      <c r="A726" s="1" t="s">
        <v>356</v>
      </c>
      <c r="B726" s="1" t="s">
        <v>1146</v>
      </c>
      <c r="C726" s="1" t="s">
        <v>1</v>
      </c>
      <c r="D726" t="str">
        <f>IFERROR(VLOOKUP(A726,depara!A:B,2,0),A726)</f>
        <v>P0000596</v>
      </c>
      <c r="E726">
        <f>VLOOKUP(B726,'inumos depara'!$A:$B,2,0)</f>
        <v>16298558</v>
      </c>
      <c r="F726" s="1" t="str">
        <f t="shared" si="22"/>
        <v>0.003</v>
      </c>
      <c r="G726" t="str">
        <f t="shared" si="23"/>
        <v>P0000596,16298558,0.003</v>
      </c>
    </row>
    <row r="727" spans="1:7" x14ac:dyDescent="0.25">
      <c r="A727" s="1" t="s">
        <v>356</v>
      </c>
      <c r="B727" s="1" t="s">
        <v>382</v>
      </c>
      <c r="C727" s="1" t="s">
        <v>64</v>
      </c>
      <c r="D727" t="str">
        <f>IFERROR(VLOOKUP(A727,depara!A:B,2,0),A727)</f>
        <v>P0000596</v>
      </c>
      <c r="E727">
        <f>VLOOKUP(B727,'inumos depara'!$A:$B,2,0)</f>
        <v>16298881</v>
      </c>
      <c r="F727" s="1" t="str">
        <f t="shared" si="22"/>
        <v>0.02</v>
      </c>
      <c r="G727" t="str">
        <f t="shared" si="23"/>
        <v>P0000596,16298881,0.02</v>
      </c>
    </row>
    <row r="728" spans="1:7" x14ac:dyDescent="0.25">
      <c r="A728" s="1" t="s">
        <v>356</v>
      </c>
      <c r="B728" s="1" t="s">
        <v>395</v>
      </c>
      <c r="C728" s="1" t="s">
        <v>396</v>
      </c>
      <c r="D728" t="str">
        <f>IFERROR(VLOOKUP(A728,depara!A:B,2,0),A728)</f>
        <v>P0000596</v>
      </c>
      <c r="E728">
        <f>VLOOKUP(B728,'inumos depara'!$A:$B,2,0)</f>
        <v>16298890</v>
      </c>
      <c r="F728" s="1" t="str">
        <f t="shared" si="22"/>
        <v>0.000012</v>
      </c>
      <c r="G728" t="str">
        <f t="shared" si="23"/>
        <v>P0000596,16298890,0.000012</v>
      </c>
    </row>
    <row r="729" spans="1:7" x14ac:dyDescent="0.25">
      <c r="A729" s="1" t="s">
        <v>356</v>
      </c>
      <c r="B729" s="1" t="s">
        <v>1215</v>
      </c>
      <c r="C729" s="1" t="s">
        <v>68</v>
      </c>
      <c r="D729" t="str">
        <f>IFERROR(VLOOKUP(A729,depara!A:B,2,0),A729)</f>
        <v>P0000596</v>
      </c>
      <c r="E729">
        <f>VLOOKUP(B729,'inumos depara'!$A:$B,2,0)</f>
        <v>16298620</v>
      </c>
      <c r="F729" s="1" t="str">
        <f t="shared" si="22"/>
        <v>0.004</v>
      </c>
      <c r="G729" t="str">
        <f t="shared" si="23"/>
        <v>P0000596,16298620,0.004</v>
      </c>
    </row>
    <row r="730" spans="1:7" x14ac:dyDescent="0.25">
      <c r="A730" s="1" t="s">
        <v>397</v>
      </c>
      <c r="B730" s="1" t="s">
        <v>1280</v>
      </c>
      <c r="C730" s="1" t="s">
        <v>398</v>
      </c>
      <c r="D730" t="str">
        <f>IFERROR(VLOOKUP(A730,depara!A:B,2,0),A730)</f>
        <v>P0000615</v>
      </c>
      <c r="E730">
        <f>VLOOKUP(B730,'inumos depara'!$A:$B,2,0)</f>
        <v>16298685</v>
      </c>
      <c r="F730" s="1" t="str">
        <f t="shared" si="22"/>
        <v>0.065752620166245</v>
      </c>
      <c r="G730" t="str">
        <f t="shared" si="23"/>
        <v>P0000615,16298685,0.065752620166245</v>
      </c>
    </row>
    <row r="731" spans="1:7" x14ac:dyDescent="0.25">
      <c r="A731" s="1" t="s">
        <v>397</v>
      </c>
      <c r="B731" s="1" t="s">
        <v>306</v>
      </c>
      <c r="C731" s="1" t="s">
        <v>399</v>
      </c>
      <c r="D731" t="str">
        <f>IFERROR(VLOOKUP(A731,depara!A:B,2,0),A731)</f>
        <v>P0000615</v>
      </c>
      <c r="E731">
        <f>VLOOKUP(B731,'inumos depara'!$A:$B,2,0)</f>
        <v>16298855</v>
      </c>
      <c r="F731" s="1" t="str">
        <f t="shared" si="22"/>
        <v>0.0690165341525117</v>
      </c>
      <c r="G731" t="str">
        <f t="shared" si="23"/>
        <v>P0000615,16298855,0.0690165341525117</v>
      </c>
    </row>
    <row r="732" spans="1:7" x14ac:dyDescent="0.25">
      <c r="A732" s="1" t="s">
        <v>397</v>
      </c>
      <c r="B732" s="1" t="s">
        <v>400</v>
      </c>
      <c r="C732" s="1" t="s">
        <v>1532</v>
      </c>
      <c r="D732" t="str">
        <f>IFERROR(VLOOKUP(A732,depara!A:B,2,0),A732)</f>
        <v>P0000615</v>
      </c>
      <c r="E732">
        <f>VLOOKUP(B732,'inumos depara'!$A:$B,2,0)</f>
        <v>16298891</v>
      </c>
      <c r="F732" s="1" t="str">
        <f t="shared" si="22"/>
        <v>1.05195157209975</v>
      </c>
      <c r="G732" t="str">
        <f t="shared" si="23"/>
        <v>P0000615,16298891,1.05195157209975</v>
      </c>
    </row>
    <row r="733" spans="1:7" x14ac:dyDescent="0.25">
      <c r="A733" s="1" t="s">
        <v>401</v>
      </c>
      <c r="B733" s="1" t="s">
        <v>258</v>
      </c>
      <c r="C733" s="1" t="s">
        <v>402</v>
      </c>
      <c r="D733" t="str">
        <f>IFERROR(VLOOKUP(A733,depara!A:B,2,0),A733)</f>
        <v>P0000616</v>
      </c>
      <c r="E733">
        <f>VLOOKUP(B733,'inumos depara'!$A:$B,2,0)</f>
        <v>16298822</v>
      </c>
      <c r="F733" s="1" t="str">
        <f t="shared" si="22"/>
        <v>0.212017107200449</v>
      </c>
      <c r="G733" t="str">
        <f t="shared" si="23"/>
        <v>P0000616,16298822,0.212017107200449</v>
      </c>
    </row>
    <row r="734" spans="1:7" x14ac:dyDescent="0.25">
      <c r="A734" s="1" t="s">
        <v>401</v>
      </c>
      <c r="B734" s="1" t="s">
        <v>403</v>
      </c>
      <c r="C734" s="1" t="s">
        <v>1533</v>
      </c>
      <c r="D734" t="str">
        <f>IFERROR(VLOOKUP(A734,depara!A:B,2,0),A734)</f>
        <v>P0000616</v>
      </c>
      <c r="E734">
        <f>VLOOKUP(B734,'inumos depara'!$A:$B,2,0)</f>
        <v>16298892</v>
      </c>
      <c r="F734" s="1" t="str">
        <f t="shared" si="22"/>
        <v>1.0628899950922</v>
      </c>
      <c r="G734" t="str">
        <f t="shared" si="23"/>
        <v>P0000616,16298892,1.0628899950922</v>
      </c>
    </row>
    <row r="735" spans="1:7" x14ac:dyDescent="0.25">
      <c r="A735" s="1" t="s">
        <v>401</v>
      </c>
      <c r="B735" s="1" t="s">
        <v>404</v>
      </c>
      <c r="C735" s="1" t="s">
        <v>405</v>
      </c>
      <c r="D735" t="str">
        <f>IFERROR(VLOOKUP(A735,depara!A:B,2,0),A735)</f>
        <v>P0000616</v>
      </c>
      <c r="E735">
        <f>VLOOKUP(B735,'inumos depara'!$A:$B,2,0)</f>
        <v>16298893</v>
      </c>
      <c r="F735" s="1" t="str">
        <f t="shared" si="22"/>
        <v>0.0664656804318867</v>
      </c>
      <c r="G735" t="str">
        <f t="shared" si="23"/>
        <v>P0000616,16298893,0.0664656804318867</v>
      </c>
    </row>
    <row r="736" spans="1:7" x14ac:dyDescent="0.25">
      <c r="A736" s="1" t="s">
        <v>406</v>
      </c>
      <c r="B736" s="1" t="s">
        <v>262</v>
      </c>
      <c r="C736" s="1" t="s">
        <v>402</v>
      </c>
      <c r="D736" t="str">
        <f>IFERROR(VLOOKUP(A736,depara!A:B,2,0),A736)</f>
        <v>P0000617</v>
      </c>
      <c r="E736">
        <f>VLOOKUP(B736,'inumos depara'!$A:$B,2,0)</f>
        <v>16298824</v>
      </c>
      <c r="F736" s="1" t="str">
        <f t="shared" si="22"/>
        <v>0.212017107200449</v>
      </c>
      <c r="G736" t="str">
        <f t="shared" si="23"/>
        <v>P0000617,16298824,0.212017107200449</v>
      </c>
    </row>
    <row r="737" spans="1:7" x14ac:dyDescent="0.25">
      <c r="A737" s="1" t="s">
        <v>406</v>
      </c>
      <c r="B737" s="1" t="s">
        <v>407</v>
      </c>
      <c r="C737" s="1" t="s">
        <v>1533</v>
      </c>
      <c r="D737" t="str">
        <f>IFERROR(VLOOKUP(A737,depara!A:B,2,0),A737)</f>
        <v>P0000617</v>
      </c>
      <c r="E737">
        <f>VLOOKUP(B737,'inumos depara'!$A:$B,2,0)</f>
        <v>16298894</v>
      </c>
      <c r="F737" s="1" t="str">
        <f t="shared" si="22"/>
        <v>1.0628899950922</v>
      </c>
      <c r="G737" t="str">
        <f t="shared" si="23"/>
        <v>P0000617,16298894,1.0628899950922</v>
      </c>
    </row>
    <row r="738" spans="1:7" x14ac:dyDescent="0.25">
      <c r="A738" s="1" t="s">
        <v>406</v>
      </c>
      <c r="B738" s="1" t="s">
        <v>404</v>
      </c>
      <c r="C738" s="1" t="s">
        <v>405</v>
      </c>
      <c r="D738" t="str">
        <f>IFERROR(VLOOKUP(A738,depara!A:B,2,0),A738)</f>
        <v>P0000617</v>
      </c>
      <c r="E738">
        <f>VLOOKUP(B738,'inumos depara'!$A:$B,2,0)</f>
        <v>16298893</v>
      </c>
      <c r="F738" s="1" t="str">
        <f t="shared" si="22"/>
        <v>0.0664656804318867</v>
      </c>
      <c r="G738" t="str">
        <f t="shared" si="23"/>
        <v>P0000617,16298893,0.0664656804318867</v>
      </c>
    </row>
    <row r="739" spans="1:7" x14ac:dyDescent="0.25">
      <c r="A739" s="1" t="s">
        <v>408</v>
      </c>
      <c r="B739" s="1" t="s">
        <v>409</v>
      </c>
      <c r="C739" s="1" t="s">
        <v>1534</v>
      </c>
      <c r="D739" t="str">
        <f>IFERROR(VLOOKUP(A739,depara!A:B,2,0),A739)</f>
        <v>P0000619</v>
      </c>
      <c r="E739">
        <f>VLOOKUP(B739,'inumos depara'!$A:$B,2,0)</f>
        <v>16298895</v>
      </c>
      <c r="F739" s="1" t="str">
        <f t="shared" si="22"/>
        <v>1.06292850146915</v>
      </c>
      <c r="G739" t="str">
        <f t="shared" si="23"/>
        <v>P0000619,16298895,1.06292850146915</v>
      </c>
    </row>
    <row r="740" spans="1:7" x14ac:dyDescent="0.25">
      <c r="A740" s="1" t="s">
        <v>408</v>
      </c>
      <c r="B740" s="1" t="s">
        <v>410</v>
      </c>
      <c r="C740" s="1" t="s">
        <v>1534</v>
      </c>
      <c r="D740" t="str">
        <f>IFERROR(VLOOKUP(A740,depara!A:B,2,0),A740)</f>
        <v>P0000619</v>
      </c>
      <c r="E740">
        <f>VLOOKUP(B740,'inumos depara'!$A:$B,2,0)</f>
        <v>16298896</v>
      </c>
      <c r="F740" s="1" t="str">
        <f t="shared" si="22"/>
        <v>1.06292850146915</v>
      </c>
      <c r="G740" t="str">
        <f t="shared" si="23"/>
        <v>P0000619,16298896,1.06292850146915</v>
      </c>
    </row>
    <row r="741" spans="1:7" x14ac:dyDescent="0.25">
      <c r="A741" s="1" t="s">
        <v>408</v>
      </c>
      <c r="B741" s="1" t="s">
        <v>411</v>
      </c>
      <c r="C741" s="1" t="s">
        <v>412</v>
      </c>
      <c r="D741" t="str">
        <f>IFERROR(VLOOKUP(A741,depara!A:B,2,0),A741)</f>
        <v>P0000619</v>
      </c>
      <c r="E741">
        <f>VLOOKUP(B741,'inumos depara'!$A:$B,2,0)</f>
        <v>16298897</v>
      </c>
      <c r="F741" s="1" t="str">
        <f t="shared" si="22"/>
        <v>0.0664789422135162</v>
      </c>
      <c r="G741" t="str">
        <f t="shared" si="23"/>
        <v>P0000619,16298897,0.0664789422135162</v>
      </c>
    </row>
    <row r="742" spans="1:7" x14ac:dyDescent="0.25">
      <c r="A742" s="1" t="s">
        <v>408</v>
      </c>
      <c r="B742" s="1" t="s">
        <v>262</v>
      </c>
      <c r="C742" s="1" t="s">
        <v>413</v>
      </c>
      <c r="D742" t="str">
        <f>IFERROR(VLOOKUP(A742,depara!A:B,2,0),A742)</f>
        <v>P0000619</v>
      </c>
      <c r="E742">
        <f>VLOOKUP(B742,'inumos depara'!$A:$B,2,0)</f>
        <v>16298824</v>
      </c>
      <c r="F742" s="1" t="str">
        <f t="shared" si="22"/>
        <v>0.370225269343781</v>
      </c>
      <c r="G742" t="str">
        <f t="shared" si="23"/>
        <v>P0000619,16298824,0.370225269343781</v>
      </c>
    </row>
    <row r="743" spans="1:7" x14ac:dyDescent="0.25">
      <c r="A743" s="1" t="s">
        <v>414</v>
      </c>
      <c r="B743" s="1" t="s">
        <v>1188</v>
      </c>
      <c r="C743" s="1" t="s">
        <v>6</v>
      </c>
      <c r="D743" t="str">
        <f>IFERROR(VLOOKUP(A743,depara!A:B,2,0),A743)</f>
        <v>P0000621</v>
      </c>
      <c r="E743">
        <f>VLOOKUP(B743,'inumos depara'!$A:$B,2,0)</f>
        <v>16298594</v>
      </c>
      <c r="F743" s="1" t="str">
        <f t="shared" si="22"/>
        <v>0.01</v>
      </c>
      <c r="G743" t="str">
        <f t="shared" si="23"/>
        <v>P0000621,16298594,0.01</v>
      </c>
    </row>
    <row r="744" spans="1:7" x14ac:dyDescent="0.25">
      <c r="A744" s="1" t="s">
        <v>414</v>
      </c>
      <c r="B744" s="1" t="s">
        <v>1535</v>
      </c>
      <c r="C744" s="1" t="s">
        <v>64</v>
      </c>
      <c r="D744" t="str">
        <f>IFERROR(VLOOKUP(A744,depara!A:B,2,0),A744)</f>
        <v>P0000621</v>
      </c>
      <c r="E744">
        <f>VLOOKUP(B744,'inumos depara'!$A:$B,2,0)</f>
        <v>16298898</v>
      </c>
      <c r="F744" s="1" t="str">
        <f t="shared" si="22"/>
        <v>0.02</v>
      </c>
      <c r="G744" t="str">
        <f t="shared" si="23"/>
        <v>P0000621,16298898,0.02</v>
      </c>
    </row>
    <row r="745" spans="1:7" x14ac:dyDescent="0.25">
      <c r="A745" s="1" t="s">
        <v>414</v>
      </c>
      <c r="B745" s="1" t="s">
        <v>1189</v>
      </c>
      <c r="C745" s="1" t="s">
        <v>5</v>
      </c>
      <c r="D745" t="str">
        <f>IFERROR(VLOOKUP(A745,depara!A:B,2,0),A745)</f>
        <v>P0000621</v>
      </c>
      <c r="E745">
        <f>VLOOKUP(B745,'inumos depara'!$A:$B,2,0)</f>
        <v>16298595</v>
      </c>
      <c r="F745" s="1" t="str">
        <f t="shared" si="22"/>
        <v>0.002</v>
      </c>
      <c r="G745" t="str">
        <f t="shared" si="23"/>
        <v>P0000621,16298595,0.002</v>
      </c>
    </row>
    <row r="746" spans="1:7" x14ac:dyDescent="0.25">
      <c r="A746" s="1" t="s">
        <v>414</v>
      </c>
      <c r="B746" s="1" t="s">
        <v>1536</v>
      </c>
      <c r="C746" s="1" t="s">
        <v>76</v>
      </c>
      <c r="D746" t="str">
        <f>IFERROR(VLOOKUP(A746,depara!A:B,2,0),A746)</f>
        <v>P0000621</v>
      </c>
      <c r="E746">
        <f>VLOOKUP(B746,'inumos depara'!$A:$B,2,0)</f>
        <v>16298899</v>
      </c>
      <c r="F746" s="1" t="str">
        <f t="shared" si="22"/>
        <v>0.03</v>
      </c>
      <c r="G746" t="str">
        <f t="shared" si="23"/>
        <v>P0000621,16298899,0.03</v>
      </c>
    </row>
    <row r="747" spans="1:7" x14ac:dyDescent="0.25">
      <c r="A747" s="1" t="s">
        <v>414</v>
      </c>
      <c r="B747" s="1" t="s">
        <v>1537</v>
      </c>
      <c r="C747" s="1" t="s">
        <v>73</v>
      </c>
      <c r="D747" t="str">
        <f>IFERROR(VLOOKUP(A747,depara!A:B,2,0),A747)</f>
        <v>P0000621</v>
      </c>
      <c r="E747">
        <f>VLOOKUP(B747,'inumos depara'!$A:$B,2,0)</f>
        <v>16298900</v>
      </c>
      <c r="F747" s="1" t="str">
        <f t="shared" si="22"/>
        <v>0.08</v>
      </c>
      <c r="G747" t="str">
        <f t="shared" si="23"/>
        <v>P0000621,16298900,0.08</v>
      </c>
    </row>
    <row r="748" spans="1:7" x14ac:dyDescent="0.25">
      <c r="A748" s="1" t="s">
        <v>414</v>
      </c>
      <c r="B748" s="1" t="s">
        <v>1538</v>
      </c>
      <c r="C748" s="1" t="s">
        <v>66</v>
      </c>
      <c r="D748" t="str">
        <f>IFERROR(VLOOKUP(A748,depara!A:B,2,0),A748)</f>
        <v>P0000621</v>
      </c>
      <c r="E748">
        <f>VLOOKUP(B748,'inumos depara'!$A:$B,2,0)</f>
        <v>16298901</v>
      </c>
      <c r="F748" s="1" t="str">
        <f t="shared" si="22"/>
        <v>0.07</v>
      </c>
      <c r="G748" t="str">
        <f t="shared" si="23"/>
        <v>P0000621,16298901,0.07</v>
      </c>
    </row>
    <row r="749" spans="1:7" x14ac:dyDescent="0.25">
      <c r="A749" s="1" t="s">
        <v>414</v>
      </c>
      <c r="B749" s="1" t="s">
        <v>1539</v>
      </c>
      <c r="C749" s="1" t="s">
        <v>9</v>
      </c>
      <c r="D749" t="str">
        <f>IFERROR(VLOOKUP(A749,depara!A:B,2,0),A749)</f>
        <v>P0000621</v>
      </c>
      <c r="E749">
        <f>VLOOKUP(B749,'inumos depara'!$A:$B,2,0)</f>
        <v>16298902</v>
      </c>
      <c r="F749" s="1" t="str">
        <f t="shared" si="22"/>
        <v>0.09</v>
      </c>
      <c r="G749" t="str">
        <f t="shared" si="23"/>
        <v>P0000621,16298902,0.09</v>
      </c>
    </row>
    <row r="750" spans="1:7" x14ac:dyDescent="0.25">
      <c r="A750" s="1" t="s">
        <v>414</v>
      </c>
      <c r="B750" s="1" t="s">
        <v>1540</v>
      </c>
      <c r="C750" s="1" t="s">
        <v>0</v>
      </c>
      <c r="D750" t="str">
        <f>IFERROR(VLOOKUP(A750,depara!A:B,2,0),A750)</f>
        <v>P0000621</v>
      </c>
      <c r="E750">
        <f>VLOOKUP(B750,'inumos depara'!$A:$B,2,0)</f>
        <v>16298903</v>
      </c>
      <c r="F750" s="1" t="str">
        <f t="shared" si="22"/>
        <v>0.05</v>
      </c>
      <c r="G750" t="str">
        <f t="shared" si="23"/>
        <v>P0000621,16298903,0.05</v>
      </c>
    </row>
    <row r="751" spans="1:7" x14ac:dyDescent="0.25">
      <c r="A751" s="1" t="s">
        <v>414</v>
      </c>
      <c r="B751" s="1" t="s">
        <v>1541</v>
      </c>
      <c r="C751" s="1" t="s">
        <v>71</v>
      </c>
      <c r="D751" t="str">
        <f>IFERROR(VLOOKUP(A751,depara!A:B,2,0),A751)</f>
        <v>P0000621</v>
      </c>
      <c r="E751">
        <f>VLOOKUP(B751,'inumos depara'!$A:$B,2,0)</f>
        <v>16298904</v>
      </c>
      <c r="F751" s="1" t="str">
        <f t="shared" si="22"/>
        <v>0.04</v>
      </c>
      <c r="G751" t="str">
        <f t="shared" si="23"/>
        <v>P0000621,16298904,0.04</v>
      </c>
    </row>
    <row r="752" spans="1:7" x14ac:dyDescent="0.25">
      <c r="A752" s="1" t="s">
        <v>414</v>
      </c>
      <c r="B752" s="1" t="s">
        <v>1542</v>
      </c>
      <c r="C752" s="1" t="s">
        <v>71</v>
      </c>
      <c r="D752" t="str">
        <f>IFERROR(VLOOKUP(A752,depara!A:B,2,0),A752)</f>
        <v>P0000621</v>
      </c>
      <c r="E752">
        <f>VLOOKUP(B752,'inumos depara'!$A:$B,2,0)</f>
        <v>16298905</v>
      </c>
      <c r="F752" s="1" t="str">
        <f t="shared" si="22"/>
        <v>0.04</v>
      </c>
      <c r="G752" t="str">
        <f t="shared" si="23"/>
        <v>P0000621,16298905,0.04</v>
      </c>
    </row>
    <row r="753" spans="1:7" x14ac:dyDescent="0.25">
      <c r="A753" s="1" t="s">
        <v>414</v>
      </c>
      <c r="B753" s="1" t="s">
        <v>1543</v>
      </c>
      <c r="C753" s="1" t="s">
        <v>71</v>
      </c>
      <c r="D753" t="str">
        <f>IFERROR(VLOOKUP(A753,depara!A:B,2,0),A753)</f>
        <v>P0000621</v>
      </c>
      <c r="E753">
        <f>VLOOKUP(B753,'inumos depara'!$A:$B,2,0)</f>
        <v>16298906</v>
      </c>
      <c r="F753" s="1" t="str">
        <f t="shared" si="22"/>
        <v>0.04</v>
      </c>
      <c r="G753" t="str">
        <f t="shared" si="23"/>
        <v>P0000621,16298906,0.04</v>
      </c>
    </row>
    <row r="754" spans="1:7" x14ac:dyDescent="0.25">
      <c r="A754" s="1" t="s">
        <v>414</v>
      </c>
      <c r="B754" s="1" t="s">
        <v>1544</v>
      </c>
      <c r="C754" s="1" t="s">
        <v>10</v>
      </c>
      <c r="D754" t="str">
        <f>IFERROR(VLOOKUP(A754,depara!A:B,2,0),A754)</f>
        <v>P0000621</v>
      </c>
      <c r="E754">
        <f>VLOOKUP(B754,'inumos depara'!$A:$B,2,0)</f>
        <v>16298907</v>
      </c>
      <c r="F754" s="1" t="str">
        <f t="shared" si="22"/>
        <v>0.001</v>
      </c>
      <c r="G754" t="str">
        <f t="shared" si="23"/>
        <v>P0000621,16298907,0.001</v>
      </c>
    </row>
    <row r="755" spans="1:7" x14ac:dyDescent="0.25">
      <c r="A755" s="1" t="s">
        <v>414</v>
      </c>
      <c r="B755" s="1" t="s">
        <v>1545</v>
      </c>
      <c r="C755" s="1" t="s">
        <v>82</v>
      </c>
      <c r="D755" t="str">
        <f>IFERROR(VLOOKUP(A755,depara!A:B,2,0),A755)</f>
        <v>P0000621</v>
      </c>
      <c r="E755">
        <f>VLOOKUP(B755,'inumos depara'!$A:$B,2,0)</f>
        <v>16298908</v>
      </c>
      <c r="F755" s="1" t="str">
        <f t="shared" si="22"/>
        <v>0.0005</v>
      </c>
      <c r="G755" t="str">
        <f t="shared" si="23"/>
        <v>P0000621,16298908,0.0005</v>
      </c>
    </row>
    <row r="756" spans="1:7" x14ac:dyDescent="0.25">
      <c r="A756" s="1" t="s">
        <v>414</v>
      </c>
      <c r="B756" s="1" t="s">
        <v>1546</v>
      </c>
      <c r="C756" s="1" t="s">
        <v>1</v>
      </c>
      <c r="D756" t="str">
        <f>IFERROR(VLOOKUP(A756,depara!A:B,2,0),A756)</f>
        <v>P0000621</v>
      </c>
      <c r="E756">
        <f>VLOOKUP(B756,'inumos depara'!$A:$B,2,0)</f>
        <v>16298909</v>
      </c>
      <c r="F756" s="1" t="str">
        <f t="shared" si="22"/>
        <v>0.003</v>
      </c>
      <c r="G756" t="str">
        <f t="shared" si="23"/>
        <v>P0000621,16298909,0.003</v>
      </c>
    </row>
    <row r="757" spans="1:7" x14ac:dyDescent="0.25">
      <c r="A757" s="1" t="s">
        <v>414</v>
      </c>
      <c r="B757" s="1" t="s">
        <v>1255</v>
      </c>
      <c r="C757" s="1" t="s">
        <v>71</v>
      </c>
      <c r="D757" t="str">
        <f>IFERROR(VLOOKUP(A757,depara!A:B,2,0),A757)</f>
        <v>P0000621</v>
      </c>
      <c r="E757">
        <f>VLOOKUP(B757,'inumos depara'!$A:$B,2,0)</f>
        <v>16298660</v>
      </c>
      <c r="F757" s="1" t="str">
        <f t="shared" si="22"/>
        <v>0.04</v>
      </c>
      <c r="G757" t="str">
        <f t="shared" si="23"/>
        <v>P0000621,16298660,0.04</v>
      </c>
    </row>
    <row r="758" spans="1:7" x14ac:dyDescent="0.25">
      <c r="A758" s="1" t="s">
        <v>414</v>
      </c>
      <c r="B758" s="1" t="s">
        <v>1220</v>
      </c>
      <c r="C758" s="1" t="s">
        <v>10</v>
      </c>
      <c r="D758" t="str">
        <f>IFERROR(VLOOKUP(A758,depara!A:B,2,0),A758)</f>
        <v>P0000621</v>
      </c>
      <c r="E758">
        <f>VLOOKUP(B758,'inumos depara'!$A:$B,2,0)</f>
        <v>16298625</v>
      </c>
      <c r="F758" s="1" t="str">
        <f t="shared" si="22"/>
        <v>0.001</v>
      </c>
      <c r="G758" t="str">
        <f t="shared" si="23"/>
        <v>P0000621,16298625,0.001</v>
      </c>
    </row>
    <row r="759" spans="1:7" x14ac:dyDescent="0.25">
      <c r="A759" s="1" t="s">
        <v>414</v>
      </c>
      <c r="B759" s="1" t="s">
        <v>1261</v>
      </c>
      <c r="C759" s="1" t="s">
        <v>6</v>
      </c>
      <c r="D759" t="str">
        <f>IFERROR(VLOOKUP(A759,depara!A:B,2,0),A759)</f>
        <v>P0000621</v>
      </c>
      <c r="E759">
        <f>VLOOKUP(B759,'inumos depara'!$A:$B,2,0)</f>
        <v>16298663</v>
      </c>
      <c r="F759" s="1" t="str">
        <f t="shared" si="22"/>
        <v>0.01</v>
      </c>
      <c r="G759" t="str">
        <f t="shared" si="23"/>
        <v>P0000621,16298663,0.01</v>
      </c>
    </row>
    <row r="760" spans="1:7" x14ac:dyDescent="0.25">
      <c r="A760" s="1" t="s">
        <v>414</v>
      </c>
      <c r="B760" s="1" t="s">
        <v>1547</v>
      </c>
      <c r="C760" s="1" t="s">
        <v>8</v>
      </c>
      <c r="D760" t="str">
        <f>IFERROR(VLOOKUP(A760,depara!A:B,2,0),A760)</f>
        <v>P0000621</v>
      </c>
      <c r="E760">
        <f>VLOOKUP(B760,'inumos depara'!$A:$B,2,0)</f>
        <v>16298910</v>
      </c>
      <c r="F760" s="1" t="str">
        <f t="shared" si="22"/>
        <v>0.06</v>
      </c>
      <c r="G760" t="str">
        <f t="shared" si="23"/>
        <v>P0000621,16298910,0.06</v>
      </c>
    </row>
    <row r="761" spans="1:7" x14ac:dyDescent="0.25">
      <c r="A761" s="1" t="s">
        <v>414</v>
      </c>
      <c r="B761" s="1" t="s">
        <v>1265</v>
      </c>
      <c r="C761" s="1" t="s">
        <v>5</v>
      </c>
      <c r="D761" t="str">
        <f>IFERROR(VLOOKUP(A761,depara!A:B,2,0),A761)</f>
        <v>P0000621</v>
      </c>
      <c r="E761">
        <f>VLOOKUP(B761,'inumos depara'!$A:$B,2,0)</f>
        <v>16298667</v>
      </c>
      <c r="F761" s="1" t="str">
        <f t="shared" si="22"/>
        <v>0.002</v>
      </c>
      <c r="G761" t="str">
        <f t="shared" si="23"/>
        <v>P0000621,16298667,0.002</v>
      </c>
    </row>
    <row r="762" spans="1:7" x14ac:dyDescent="0.25">
      <c r="A762" s="1" t="s">
        <v>414</v>
      </c>
      <c r="B762" s="1" t="s">
        <v>1269</v>
      </c>
      <c r="C762" s="1" t="s">
        <v>4</v>
      </c>
      <c r="D762" t="str">
        <f>IFERROR(VLOOKUP(A762,depara!A:B,2,0),A762)</f>
        <v>P0000621</v>
      </c>
      <c r="E762">
        <f>VLOOKUP(B762,'inumos depara'!$A:$B,2,0)</f>
        <v>16298671</v>
      </c>
      <c r="F762" s="1" t="str">
        <f t="shared" si="22"/>
        <v>0.005</v>
      </c>
      <c r="G762" t="str">
        <f t="shared" si="23"/>
        <v>P0000621,16298671,0.005</v>
      </c>
    </row>
    <row r="763" spans="1:7" x14ac:dyDescent="0.25">
      <c r="A763" s="1" t="s">
        <v>414</v>
      </c>
      <c r="B763" s="1" t="s">
        <v>1548</v>
      </c>
      <c r="C763" s="1" t="s">
        <v>76</v>
      </c>
      <c r="D763" t="str">
        <f>IFERROR(VLOOKUP(A763,depara!A:B,2,0),A763)</f>
        <v>P0000621</v>
      </c>
      <c r="E763">
        <f>VLOOKUP(B763,'inumos depara'!$A:$B,2,0)</f>
        <v>16298911</v>
      </c>
      <c r="F763" s="1" t="str">
        <f t="shared" si="22"/>
        <v>0.03</v>
      </c>
      <c r="G763" t="str">
        <f t="shared" si="23"/>
        <v>P0000621,16298911,0.03</v>
      </c>
    </row>
    <row r="764" spans="1:7" x14ac:dyDescent="0.25">
      <c r="A764" s="1" t="s">
        <v>415</v>
      </c>
      <c r="B764" s="1" t="s">
        <v>1549</v>
      </c>
      <c r="C764" s="1" t="s">
        <v>5</v>
      </c>
      <c r="D764" t="str">
        <f>IFERROR(VLOOKUP(A764,depara!A:B,2,0),A764)</f>
        <v>P0000712</v>
      </c>
      <c r="E764">
        <f>VLOOKUP(B764,'inumos depara'!$A:$B,2,0)</f>
        <v>16298912</v>
      </c>
      <c r="F764" s="1" t="str">
        <f t="shared" si="22"/>
        <v>0.002</v>
      </c>
      <c r="G764" t="str">
        <f t="shared" si="23"/>
        <v>P0000712,16298912,0.002</v>
      </c>
    </row>
    <row r="765" spans="1:7" x14ac:dyDescent="0.25">
      <c r="A765" s="1" t="s">
        <v>415</v>
      </c>
      <c r="B765" s="1" t="s">
        <v>1550</v>
      </c>
      <c r="C765" s="1" t="s">
        <v>10</v>
      </c>
      <c r="D765" t="str">
        <f>IFERROR(VLOOKUP(A765,depara!A:B,2,0),A765)</f>
        <v>P0000712</v>
      </c>
      <c r="E765">
        <f>VLOOKUP(B765,'inumos depara'!$A:$B,2,0)</f>
        <v>16298913</v>
      </c>
      <c r="F765" s="1" t="str">
        <f t="shared" si="22"/>
        <v>0.001</v>
      </c>
      <c r="G765" t="str">
        <f t="shared" si="23"/>
        <v>P0000712,16298913,0.001</v>
      </c>
    </row>
    <row r="766" spans="1:7" x14ac:dyDescent="0.25">
      <c r="A766" s="1" t="s">
        <v>415</v>
      </c>
      <c r="B766" s="1" t="s">
        <v>1551</v>
      </c>
      <c r="C766" s="1" t="s">
        <v>10</v>
      </c>
      <c r="D766" t="str">
        <f>IFERROR(VLOOKUP(A766,depara!A:B,2,0),A766)</f>
        <v>P0000712</v>
      </c>
      <c r="E766">
        <f>VLOOKUP(B766,'inumos depara'!$A:$B,2,0)</f>
        <v>16298914</v>
      </c>
      <c r="F766" s="1" t="str">
        <f t="shared" si="22"/>
        <v>0.001</v>
      </c>
      <c r="G766" t="str">
        <f t="shared" si="23"/>
        <v>P0000712,16298914,0.001</v>
      </c>
    </row>
    <row r="767" spans="1:7" x14ac:dyDescent="0.25">
      <c r="A767" s="1" t="s">
        <v>415</v>
      </c>
      <c r="B767" s="1" t="s">
        <v>1552</v>
      </c>
      <c r="C767" s="1" t="s">
        <v>10</v>
      </c>
      <c r="D767" t="str">
        <f>IFERROR(VLOOKUP(A767,depara!A:B,2,0),A767)</f>
        <v>P0000712</v>
      </c>
      <c r="E767">
        <f>VLOOKUP(B767,'inumos depara'!$A:$B,2,0)</f>
        <v>16298915</v>
      </c>
      <c r="F767" s="1" t="str">
        <f t="shared" si="22"/>
        <v>0.001</v>
      </c>
      <c r="G767" t="str">
        <f t="shared" si="23"/>
        <v>P0000712,16298915,0.001</v>
      </c>
    </row>
    <row r="768" spans="1:7" x14ac:dyDescent="0.25">
      <c r="A768" s="1" t="s">
        <v>415</v>
      </c>
      <c r="B768" s="1" t="s">
        <v>1553</v>
      </c>
      <c r="C768" s="1" t="s">
        <v>82</v>
      </c>
      <c r="D768" t="str">
        <f>IFERROR(VLOOKUP(A768,depara!A:B,2,0),A768)</f>
        <v>P0000712</v>
      </c>
      <c r="E768">
        <f>VLOOKUP(B768,'inumos depara'!$A:$B,2,0)</f>
        <v>16298916</v>
      </c>
      <c r="F768" s="1" t="str">
        <f t="shared" si="22"/>
        <v>0.0005</v>
      </c>
      <c r="G768" t="str">
        <f t="shared" si="23"/>
        <v>P0000712,16298916,0.0005</v>
      </c>
    </row>
    <row r="769" spans="1:7" x14ac:dyDescent="0.25">
      <c r="A769" s="1" t="s">
        <v>415</v>
      </c>
      <c r="B769" s="1" t="s">
        <v>1554</v>
      </c>
      <c r="C769" s="1" t="s">
        <v>4</v>
      </c>
      <c r="D769" t="str">
        <f>IFERROR(VLOOKUP(A769,depara!A:B,2,0),A769)</f>
        <v>P0000712</v>
      </c>
      <c r="E769">
        <f>VLOOKUP(B769,'inumos depara'!$A:$B,2,0)</f>
        <v>16298917</v>
      </c>
      <c r="F769" s="1" t="str">
        <f t="shared" si="22"/>
        <v>0.005</v>
      </c>
      <c r="G769" t="str">
        <f t="shared" si="23"/>
        <v>P0000712,16298917,0.005</v>
      </c>
    </row>
    <row r="770" spans="1:7" x14ac:dyDescent="0.25">
      <c r="A770" s="1" t="s">
        <v>415</v>
      </c>
      <c r="B770" s="1" t="s">
        <v>1555</v>
      </c>
      <c r="C770" s="1" t="s">
        <v>1</v>
      </c>
      <c r="D770" t="str">
        <f>IFERROR(VLOOKUP(A770,depara!A:B,2,0),A770)</f>
        <v>P0000712</v>
      </c>
      <c r="E770">
        <f>VLOOKUP(B770,'inumos depara'!$A:$B,2,0)</f>
        <v>16298918</v>
      </c>
      <c r="F770" s="1" t="str">
        <f t="shared" ref="F770:F833" si="24">C770</f>
        <v>0.003</v>
      </c>
      <c r="G770" t="str">
        <f t="shared" ref="G770:G833" si="25">D770&amp;","&amp;E770&amp;","&amp;F770</f>
        <v>P0000712,16298918,0.003</v>
      </c>
    </row>
    <row r="771" spans="1:7" x14ac:dyDescent="0.25">
      <c r="A771" s="1" t="s">
        <v>415</v>
      </c>
      <c r="B771" s="1" t="s">
        <v>1556</v>
      </c>
      <c r="C771" s="1" t="s">
        <v>10</v>
      </c>
      <c r="D771" t="str">
        <f>IFERROR(VLOOKUP(A771,depara!A:B,2,0),A771)</f>
        <v>P0000712</v>
      </c>
      <c r="E771">
        <f>VLOOKUP(B771,'inumos depara'!$A:$B,2,0)</f>
        <v>16298919</v>
      </c>
      <c r="F771" s="1" t="str">
        <f t="shared" si="24"/>
        <v>0.001</v>
      </c>
      <c r="G771" t="str">
        <f t="shared" si="25"/>
        <v>P0000712,16298919,0.001</v>
      </c>
    </row>
    <row r="772" spans="1:7" x14ac:dyDescent="0.25">
      <c r="A772" s="1" t="s">
        <v>415</v>
      </c>
      <c r="B772" s="1" t="s">
        <v>1557</v>
      </c>
      <c r="C772" s="1" t="s">
        <v>416</v>
      </c>
      <c r="D772" t="str">
        <f>IFERROR(VLOOKUP(A772,depara!A:B,2,0),A772)</f>
        <v>P0000712</v>
      </c>
      <c r="E772">
        <f>VLOOKUP(B772,'inumos depara'!$A:$B,2,0)</f>
        <v>16298920</v>
      </c>
      <c r="F772" s="1" t="str">
        <f t="shared" si="24"/>
        <v>0.085</v>
      </c>
      <c r="G772" t="str">
        <f t="shared" si="25"/>
        <v>P0000712,16298920,0.085</v>
      </c>
    </row>
    <row r="773" spans="1:7" x14ac:dyDescent="0.25">
      <c r="A773" s="1" t="s">
        <v>415</v>
      </c>
      <c r="B773" s="1" t="s">
        <v>1242</v>
      </c>
      <c r="C773" s="1" t="s">
        <v>76</v>
      </c>
      <c r="D773" t="str">
        <f>IFERROR(VLOOKUP(A773,depara!A:B,2,0),A773)</f>
        <v>P0000712</v>
      </c>
      <c r="E773">
        <f>VLOOKUP(B773,'inumos depara'!$A:$B,2,0)</f>
        <v>16298643</v>
      </c>
      <c r="F773" s="1" t="str">
        <f t="shared" si="24"/>
        <v>0.03</v>
      </c>
      <c r="G773" t="str">
        <f t="shared" si="25"/>
        <v>P0000712,16298643,0.03</v>
      </c>
    </row>
    <row r="774" spans="1:7" x14ac:dyDescent="0.25">
      <c r="A774" s="1" t="s">
        <v>415</v>
      </c>
      <c r="B774" s="1" t="s">
        <v>1558</v>
      </c>
      <c r="C774" s="1" t="s">
        <v>71</v>
      </c>
      <c r="D774" t="str">
        <f>IFERROR(VLOOKUP(A774,depara!A:B,2,0),A774)</f>
        <v>P0000712</v>
      </c>
      <c r="E774">
        <f>VLOOKUP(B774,'inumos depara'!$A:$B,2,0)</f>
        <v>16298921</v>
      </c>
      <c r="F774" s="1" t="str">
        <f t="shared" si="24"/>
        <v>0.04</v>
      </c>
      <c r="G774" t="str">
        <f t="shared" si="25"/>
        <v>P0000712,16298921,0.04</v>
      </c>
    </row>
    <row r="775" spans="1:7" x14ac:dyDescent="0.25">
      <c r="A775" s="1" t="s">
        <v>415</v>
      </c>
      <c r="B775" s="1" t="s">
        <v>1246</v>
      </c>
      <c r="C775" s="1" t="s">
        <v>417</v>
      </c>
      <c r="D775" t="str">
        <f>IFERROR(VLOOKUP(A775,depara!A:B,2,0),A775)</f>
        <v>P0000712</v>
      </c>
      <c r="E775">
        <f>VLOOKUP(B775,'inumos depara'!$A:$B,2,0)</f>
        <v>16298648</v>
      </c>
      <c r="F775" s="1" t="str">
        <f t="shared" si="24"/>
        <v>0.018</v>
      </c>
      <c r="G775" t="str">
        <f t="shared" si="25"/>
        <v>P0000712,16298648,0.018</v>
      </c>
    </row>
    <row r="776" spans="1:7" x14ac:dyDescent="0.25">
      <c r="A776" s="1" t="s">
        <v>415</v>
      </c>
      <c r="B776" s="1" t="s">
        <v>1559</v>
      </c>
      <c r="C776" s="1" t="s">
        <v>76</v>
      </c>
      <c r="D776" t="str">
        <f>IFERROR(VLOOKUP(A776,depara!A:B,2,0),A776)</f>
        <v>P0000712</v>
      </c>
      <c r="E776">
        <f>VLOOKUP(B776,'inumos depara'!$A:$B,2,0)</f>
        <v>16298922</v>
      </c>
      <c r="F776" s="1" t="str">
        <f t="shared" si="24"/>
        <v>0.03</v>
      </c>
      <c r="G776" t="str">
        <f t="shared" si="25"/>
        <v>P0000712,16298922,0.03</v>
      </c>
    </row>
    <row r="777" spans="1:7" x14ac:dyDescent="0.25">
      <c r="A777" s="1" t="s">
        <v>415</v>
      </c>
      <c r="B777" s="1" t="s">
        <v>1560</v>
      </c>
      <c r="C777" s="1" t="s">
        <v>4</v>
      </c>
      <c r="D777" t="str">
        <f>IFERROR(VLOOKUP(A777,depara!A:B,2,0),A777)</f>
        <v>P0000712</v>
      </c>
      <c r="E777">
        <f>VLOOKUP(B777,'inumos depara'!$A:$B,2,0)</f>
        <v>16298923</v>
      </c>
      <c r="F777" s="1" t="str">
        <f t="shared" si="24"/>
        <v>0.005</v>
      </c>
      <c r="G777" t="str">
        <f t="shared" si="25"/>
        <v>P0000712,16298923,0.005</v>
      </c>
    </row>
    <row r="778" spans="1:7" x14ac:dyDescent="0.25">
      <c r="A778" s="1" t="s">
        <v>415</v>
      </c>
      <c r="B778" s="1" t="s">
        <v>1252</v>
      </c>
      <c r="C778" s="1" t="s">
        <v>10</v>
      </c>
      <c r="D778" t="str">
        <f>IFERROR(VLOOKUP(A778,depara!A:B,2,0),A778)</f>
        <v>P0000712</v>
      </c>
      <c r="E778">
        <f>VLOOKUP(B778,'inumos depara'!$A:$B,2,0)</f>
        <v>16298656</v>
      </c>
      <c r="F778" s="1" t="str">
        <f t="shared" si="24"/>
        <v>0.001</v>
      </c>
      <c r="G778" t="str">
        <f t="shared" si="25"/>
        <v>P0000712,16298656,0.001</v>
      </c>
    </row>
    <row r="779" spans="1:7" x14ac:dyDescent="0.25">
      <c r="A779" s="1" t="s">
        <v>415</v>
      </c>
      <c r="B779" s="1" t="s">
        <v>1253</v>
      </c>
      <c r="C779" s="1" t="s">
        <v>64</v>
      </c>
      <c r="D779" t="str">
        <f>IFERROR(VLOOKUP(A779,depara!A:B,2,0),A779)</f>
        <v>P0000712</v>
      </c>
      <c r="E779">
        <f>VLOOKUP(B779,'inumos depara'!$A:$B,2,0)</f>
        <v>16298657</v>
      </c>
      <c r="F779" s="1" t="str">
        <f t="shared" si="24"/>
        <v>0.02</v>
      </c>
      <c r="G779" t="str">
        <f t="shared" si="25"/>
        <v>P0000712,16298657,0.02</v>
      </c>
    </row>
    <row r="780" spans="1:7" x14ac:dyDescent="0.25">
      <c r="A780" s="1" t="s">
        <v>415</v>
      </c>
      <c r="B780" s="1" t="s">
        <v>1561</v>
      </c>
      <c r="C780" s="1" t="s">
        <v>64</v>
      </c>
      <c r="D780" t="str">
        <f>IFERROR(VLOOKUP(A780,depara!A:B,2,0),A780)</f>
        <v>P0000712</v>
      </c>
      <c r="E780">
        <f>VLOOKUP(B780,'inumos depara'!$A:$B,2,0)</f>
        <v>16298924</v>
      </c>
      <c r="F780" s="1" t="str">
        <f t="shared" si="24"/>
        <v>0.02</v>
      </c>
      <c r="G780" t="str">
        <f t="shared" si="25"/>
        <v>P0000712,16298924,0.02</v>
      </c>
    </row>
    <row r="781" spans="1:7" x14ac:dyDescent="0.25">
      <c r="A781" s="1" t="s">
        <v>415</v>
      </c>
      <c r="B781" s="1" t="s">
        <v>1151</v>
      </c>
      <c r="C781" s="1" t="s">
        <v>87</v>
      </c>
      <c r="D781" t="str">
        <f>IFERROR(VLOOKUP(A781,depara!A:B,2,0),A781)</f>
        <v>P0000712</v>
      </c>
      <c r="E781">
        <f>VLOOKUP(B781,'inumos depara'!$A:$B,2,0)</f>
        <v>16298562</v>
      </c>
      <c r="F781" s="1" t="str">
        <f t="shared" si="24"/>
        <v>0.0035</v>
      </c>
      <c r="G781" t="str">
        <f t="shared" si="25"/>
        <v>P0000712,16298562,0.0035</v>
      </c>
    </row>
    <row r="782" spans="1:7" x14ac:dyDescent="0.25">
      <c r="A782" s="1" t="s">
        <v>415</v>
      </c>
      <c r="B782" s="1" t="s">
        <v>1562</v>
      </c>
      <c r="C782" s="1" t="s">
        <v>418</v>
      </c>
      <c r="D782" t="str">
        <f>IFERROR(VLOOKUP(A782,depara!A:B,2,0),A782)</f>
        <v>P0000712</v>
      </c>
      <c r="E782">
        <f>VLOOKUP(B782,'inumos depara'!$A:$B,2,0)</f>
        <v>16298925</v>
      </c>
      <c r="F782" s="1" t="str">
        <f t="shared" si="24"/>
        <v>0.0025</v>
      </c>
      <c r="G782" t="str">
        <f t="shared" si="25"/>
        <v>P0000712,16298925,0.0025</v>
      </c>
    </row>
    <row r="783" spans="1:7" x14ac:dyDescent="0.25">
      <c r="A783" s="1" t="s">
        <v>415</v>
      </c>
      <c r="B783" s="1" t="s">
        <v>1251</v>
      </c>
      <c r="C783" s="1" t="s">
        <v>10</v>
      </c>
      <c r="D783" t="str">
        <f>IFERROR(VLOOKUP(A783,depara!A:B,2,0),A783)</f>
        <v>P0000712</v>
      </c>
      <c r="E783">
        <f>VLOOKUP(B783,'inumos depara'!$A:$B,2,0)</f>
        <v>16298653</v>
      </c>
      <c r="F783" s="1" t="str">
        <f t="shared" si="24"/>
        <v>0.001</v>
      </c>
      <c r="G783" t="str">
        <f t="shared" si="25"/>
        <v>P0000712,16298653,0.001</v>
      </c>
    </row>
    <row r="784" spans="1:7" x14ac:dyDescent="0.25">
      <c r="A784" s="1" t="s">
        <v>415</v>
      </c>
      <c r="B784" s="1" t="s">
        <v>1176</v>
      </c>
      <c r="C784" s="1" t="s">
        <v>5</v>
      </c>
      <c r="D784" t="str">
        <f>IFERROR(VLOOKUP(A784,depara!A:B,2,0),A784)</f>
        <v>P0000712</v>
      </c>
      <c r="E784">
        <f>VLOOKUP(B784,'inumos depara'!$A:$B,2,0)</f>
        <v>16298585</v>
      </c>
      <c r="F784" s="1" t="str">
        <f t="shared" si="24"/>
        <v>0.002</v>
      </c>
      <c r="G784" t="str">
        <f t="shared" si="25"/>
        <v>P0000712,16298585,0.002</v>
      </c>
    </row>
    <row r="785" spans="1:7" x14ac:dyDescent="0.25">
      <c r="A785" s="1" t="s">
        <v>415</v>
      </c>
      <c r="B785" s="1" t="s">
        <v>1147</v>
      </c>
      <c r="C785" s="1" t="s">
        <v>4</v>
      </c>
      <c r="D785" t="str">
        <f>IFERROR(VLOOKUP(A785,depara!A:B,2,0),A785)</f>
        <v>P0000712</v>
      </c>
      <c r="E785">
        <f>VLOOKUP(B785,'inumos depara'!$A:$B,2,0)</f>
        <v>16298559</v>
      </c>
      <c r="F785" s="1" t="str">
        <f t="shared" si="24"/>
        <v>0.005</v>
      </c>
      <c r="G785" t="str">
        <f t="shared" si="25"/>
        <v>P0000712,16298559,0.005</v>
      </c>
    </row>
    <row r="786" spans="1:7" x14ac:dyDescent="0.25">
      <c r="A786" s="1" t="s">
        <v>415</v>
      </c>
      <c r="B786" s="1" t="s">
        <v>1146</v>
      </c>
      <c r="C786" s="1" t="s">
        <v>5</v>
      </c>
      <c r="D786" t="str">
        <f>IFERROR(VLOOKUP(A786,depara!A:B,2,0),A786)</f>
        <v>P0000712</v>
      </c>
      <c r="E786">
        <f>VLOOKUP(B786,'inumos depara'!$A:$B,2,0)</f>
        <v>16298558</v>
      </c>
      <c r="F786" s="1" t="str">
        <f t="shared" si="24"/>
        <v>0.002</v>
      </c>
      <c r="G786" t="str">
        <f t="shared" si="25"/>
        <v>P0000712,16298558,0.002</v>
      </c>
    </row>
    <row r="787" spans="1:7" x14ac:dyDescent="0.25">
      <c r="A787" s="1" t="s">
        <v>415</v>
      </c>
      <c r="B787" s="1" t="s">
        <v>1174</v>
      </c>
      <c r="C787" s="1" t="s">
        <v>4</v>
      </c>
      <c r="D787" t="str">
        <f>IFERROR(VLOOKUP(A787,depara!A:B,2,0),A787)</f>
        <v>P0000712</v>
      </c>
      <c r="E787">
        <f>VLOOKUP(B787,'inumos depara'!$A:$B,2,0)</f>
        <v>16298583</v>
      </c>
      <c r="F787" s="1" t="str">
        <f t="shared" si="24"/>
        <v>0.005</v>
      </c>
      <c r="G787" t="str">
        <f t="shared" si="25"/>
        <v>P0000712,16298583,0.005</v>
      </c>
    </row>
    <row r="788" spans="1:7" x14ac:dyDescent="0.25">
      <c r="A788" s="1" t="s">
        <v>419</v>
      </c>
      <c r="B788" s="1" t="s">
        <v>1151</v>
      </c>
      <c r="C788" s="1" t="s">
        <v>4</v>
      </c>
      <c r="D788" t="str">
        <f>IFERROR(VLOOKUP(A788,depara!A:B,2,0),A788)</f>
        <v>P0000713</v>
      </c>
      <c r="E788">
        <f>VLOOKUP(B788,'inumos depara'!$A:$B,2,0)</f>
        <v>16298562</v>
      </c>
      <c r="F788" s="1" t="str">
        <f t="shared" si="24"/>
        <v>0.005</v>
      </c>
      <c r="G788" t="str">
        <f t="shared" si="25"/>
        <v>P0000713,16298562,0.005</v>
      </c>
    </row>
    <row r="789" spans="1:7" x14ac:dyDescent="0.25">
      <c r="A789" s="1" t="s">
        <v>419</v>
      </c>
      <c r="B789" s="1" t="s">
        <v>1145</v>
      </c>
      <c r="C789" s="1" t="s">
        <v>1</v>
      </c>
      <c r="D789" t="str">
        <f>IFERROR(VLOOKUP(A789,depara!A:B,2,0),A789)</f>
        <v>P0000713</v>
      </c>
      <c r="E789">
        <f>VLOOKUP(B789,'inumos depara'!$A:$B,2,0)</f>
        <v>16298557</v>
      </c>
      <c r="F789" s="1" t="str">
        <f t="shared" si="24"/>
        <v>0.003</v>
      </c>
      <c r="G789" t="str">
        <f t="shared" si="25"/>
        <v>P0000713,16298557,0.003</v>
      </c>
    </row>
    <row r="790" spans="1:7" x14ac:dyDescent="0.25">
      <c r="A790" s="1" t="s">
        <v>419</v>
      </c>
      <c r="B790" s="1" t="s">
        <v>1147</v>
      </c>
      <c r="C790" s="1" t="s">
        <v>0</v>
      </c>
      <c r="D790" t="str">
        <f>IFERROR(VLOOKUP(A790,depara!A:B,2,0),A790)</f>
        <v>P0000713</v>
      </c>
      <c r="E790">
        <f>VLOOKUP(B790,'inumos depara'!$A:$B,2,0)</f>
        <v>16298559</v>
      </c>
      <c r="F790" s="1" t="str">
        <f t="shared" si="24"/>
        <v>0.05</v>
      </c>
      <c r="G790" t="str">
        <f t="shared" si="25"/>
        <v>P0000713,16298559,0.05</v>
      </c>
    </row>
    <row r="791" spans="1:7" x14ac:dyDescent="0.25">
      <c r="A791" s="1" t="s">
        <v>419</v>
      </c>
      <c r="B791" s="1" t="s">
        <v>1158</v>
      </c>
      <c r="C791" s="1" t="s">
        <v>7</v>
      </c>
      <c r="D791" t="str">
        <f>IFERROR(VLOOKUP(A791,depara!A:B,2,0),A791)</f>
        <v>P0000713</v>
      </c>
      <c r="E791">
        <f>VLOOKUP(B791,'inumos depara'!$A:$B,2,0)</f>
        <v>16298569</v>
      </c>
      <c r="F791" s="1" t="str">
        <f t="shared" si="24"/>
        <v>0.025</v>
      </c>
      <c r="G791" t="str">
        <f t="shared" si="25"/>
        <v>P0000713,16298569,0.025</v>
      </c>
    </row>
    <row r="792" spans="1:7" x14ac:dyDescent="0.25">
      <c r="A792" s="1" t="s">
        <v>419</v>
      </c>
      <c r="B792" s="1" t="s">
        <v>1157</v>
      </c>
      <c r="C792" s="1" t="s">
        <v>6</v>
      </c>
      <c r="D792" t="str">
        <f>IFERROR(VLOOKUP(A792,depara!A:B,2,0),A792)</f>
        <v>P0000713</v>
      </c>
      <c r="E792">
        <f>VLOOKUP(B792,'inumos depara'!$A:$B,2,0)</f>
        <v>16298568</v>
      </c>
      <c r="F792" s="1" t="str">
        <f t="shared" si="24"/>
        <v>0.01</v>
      </c>
      <c r="G792" t="str">
        <f t="shared" si="25"/>
        <v>P0000713,16298568,0.01</v>
      </c>
    </row>
    <row r="793" spans="1:7" x14ac:dyDescent="0.25">
      <c r="A793" s="1" t="s">
        <v>419</v>
      </c>
      <c r="B793" s="1" t="s">
        <v>1159</v>
      </c>
      <c r="C793" s="1" t="s">
        <v>4</v>
      </c>
      <c r="D793" t="str">
        <f>IFERROR(VLOOKUP(A793,depara!A:B,2,0),A793)</f>
        <v>P0000713</v>
      </c>
      <c r="E793">
        <f>VLOOKUP(B793,'inumos depara'!$A:$B,2,0)</f>
        <v>16298570</v>
      </c>
      <c r="F793" s="1" t="str">
        <f t="shared" si="24"/>
        <v>0.005</v>
      </c>
      <c r="G793" t="str">
        <f t="shared" si="25"/>
        <v>P0000713,16298570,0.005</v>
      </c>
    </row>
    <row r="794" spans="1:7" x14ac:dyDescent="0.25">
      <c r="A794" s="1" t="s">
        <v>419</v>
      </c>
      <c r="B794" s="1" t="s">
        <v>1148</v>
      </c>
      <c r="C794" s="1" t="s">
        <v>3</v>
      </c>
      <c r="D794" t="str">
        <f>IFERROR(VLOOKUP(A794,depara!A:B,2,0),A794)</f>
        <v>P0000713</v>
      </c>
      <c r="E794">
        <f>VLOOKUP(B794,'inumos depara'!$A:$B,2,0)</f>
        <v>16298560</v>
      </c>
      <c r="F794" s="1" t="str">
        <f t="shared" si="24"/>
        <v>0.055</v>
      </c>
      <c r="G794" t="str">
        <f t="shared" si="25"/>
        <v>P0000713,16298560,0.055</v>
      </c>
    </row>
    <row r="795" spans="1:7" x14ac:dyDescent="0.25">
      <c r="A795" s="1" t="s">
        <v>419</v>
      </c>
      <c r="B795" s="1" t="s">
        <v>1160</v>
      </c>
      <c r="C795" s="1" t="s">
        <v>8</v>
      </c>
      <c r="D795" t="str">
        <f>IFERROR(VLOOKUP(A795,depara!A:B,2,0),A795)</f>
        <v>P0000713</v>
      </c>
      <c r="E795">
        <f>VLOOKUP(B795,'inumos depara'!$A:$B,2,0)</f>
        <v>16298571</v>
      </c>
      <c r="F795" s="1" t="str">
        <f t="shared" si="24"/>
        <v>0.06</v>
      </c>
      <c r="G795" t="str">
        <f t="shared" si="25"/>
        <v>P0000713,16298571,0.06</v>
      </c>
    </row>
    <row r="796" spans="1:7" x14ac:dyDescent="0.25">
      <c r="A796" s="1" t="s">
        <v>419</v>
      </c>
      <c r="B796" s="1" t="s">
        <v>1161</v>
      </c>
      <c r="C796" s="1" t="s">
        <v>8</v>
      </c>
      <c r="D796" t="str">
        <f>IFERROR(VLOOKUP(A796,depara!A:B,2,0),A796)</f>
        <v>P0000713</v>
      </c>
      <c r="E796">
        <f>VLOOKUP(B796,'inumos depara'!$A:$B,2,0)</f>
        <v>16298572</v>
      </c>
      <c r="F796" s="1" t="str">
        <f t="shared" si="24"/>
        <v>0.06</v>
      </c>
      <c r="G796" t="str">
        <f t="shared" si="25"/>
        <v>P0000713,16298572,0.06</v>
      </c>
    </row>
    <row r="797" spans="1:7" x14ac:dyDescent="0.25">
      <c r="A797" s="1" t="s">
        <v>419</v>
      </c>
      <c r="B797" s="1" t="s">
        <v>1144</v>
      </c>
      <c r="C797" s="1" t="s">
        <v>0</v>
      </c>
      <c r="D797" t="str">
        <f>IFERROR(VLOOKUP(A797,depara!A:B,2,0),A797)</f>
        <v>P0000713</v>
      </c>
      <c r="E797">
        <f>VLOOKUP(B797,'inumos depara'!$A:$B,2,0)</f>
        <v>16298556</v>
      </c>
      <c r="F797" s="1" t="str">
        <f t="shared" si="24"/>
        <v>0.05</v>
      </c>
      <c r="G797" t="str">
        <f t="shared" si="25"/>
        <v>P0000713,16298556,0.05</v>
      </c>
    </row>
    <row r="798" spans="1:7" x14ac:dyDescent="0.25">
      <c r="A798" s="1" t="s">
        <v>419</v>
      </c>
      <c r="B798" s="1" t="s">
        <v>1156</v>
      </c>
      <c r="C798" s="1" t="s">
        <v>4</v>
      </c>
      <c r="D798" t="str">
        <f>IFERROR(VLOOKUP(A798,depara!A:B,2,0),A798)</f>
        <v>P0000713</v>
      </c>
      <c r="E798">
        <f>VLOOKUP(B798,'inumos depara'!$A:$B,2,0)</f>
        <v>16298567</v>
      </c>
      <c r="F798" s="1" t="str">
        <f t="shared" si="24"/>
        <v>0.005</v>
      </c>
      <c r="G798" t="str">
        <f t="shared" si="25"/>
        <v>P0000713,16298567,0.005</v>
      </c>
    </row>
    <row r="799" spans="1:7" x14ac:dyDescent="0.25">
      <c r="A799" s="1" t="s">
        <v>419</v>
      </c>
      <c r="B799" s="1" t="s">
        <v>1152</v>
      </c>
      <c r="C799" s="1" t="s">
        <v>1</v>
      </c>
      <c r="D799" t="str">
        <f>IFERROR(VLOOKUP(A799,depara!A:B,2,0),A799)</f>
        <v>P0000713</v>
      </c>
      <c r="E799">
        <f>VLOOKUP(B799,'inumos depara'!$A:$B,2,0)</f>
        <v>16298563</v>
      </c>
      <c r="F799" s="1" t="str">
        <f t="shared" si="24"/>
        <v>0.003</v>
      </c>
      <c r="G799" t="str">
        <f t="shared" si="25"/>
        <v>P0000713,16298563,0.003</v>
      </c>
    </row>
    <row r="800" spans="1:7" x14ac:dyDescent="0.25">
      <c r="A800" s="1" t="s">
        <v>419</v>
      </c>
      <c r="B800" s="1" t="s">
        <v>1153</v>
      </c>
      <c r="C800" s="1" t="s">
        <v>1</v>
      </c>
      <c r="D800" t="str">
        <f>IFERROR(VLOOKUP(A800,depara!A:B,2,0),A800)</f>
        <v>P0000713</v>
      </c>
      <c r="E800">
        <f>VLOOKUP(B800,'inumos depara'!$A:$B,2,0)</f>
        <v>16298564</v>
      </c>
      <c r="F800" s="1" t="str">
        <f t="shared" si="24"/>
        <v>0.003</v>
      </c>
      <c r="G800" t="str">
        <f t="shared" si="25"/>
        <v>P0000713,16298564,0.003</v>
      </c>
    </row>
    <row r="801" spans="1:7" x14ac:dyDescent="0.25">
      <c r="A801" s="1" t="s">
        <v>419</v>
      </c>
      <c r="B801" s="1" t="s">
        <v>1146</v>
      </c>
      <c r="C801" s="1" t="s">
        <v>2</v>
      </c>
      <c r="D801" t="str">
        <f>IFERROR(VLOOKUP(A801,depara!A:B,2,0),A801)</f>
        <v>P0000713</v>
      </c>
      <c r="E801">
        <f>VLOOKUP(B801,'inumos depara'!$A:$B,2,0)</f>
        <v>16298558</v>
      </c>
      <c r="F801" s="1" t="str">
        <f t="shared" si="24"/>
        <v>0.0007</v>
      </c>
      <c r="G801" t="str">
        <f t="shared" si="25"/>
        <v>P0000713,16298558,0.0007</v>
      </c>
    </row>
    <row r="802" spans="1:7" x14ac:dyDescent="0.25">
      <c r="A802" s="1" t="s">
        <v>419</v>
      </c>
      <c r="B802" s="1" t="s">
        <v>1155</v>
      </c>
      <c r="C802" s="1" t="s">
        <v>4</v>
      </c>
      <c r="D802" t="str">
        <f>IFERROR(VLOOKUP(A802,depara!A:B,2,0),A802)</f>
        <v>P0000713</v>
      </c>
      <c r="E802">
        <f>VLOOKUP(B802,'inumos depara'!$A:$B,2,0)</f>
        <v>16298566</v>
      </c>
      <c r="F802" s="1" t="str">
        <f t="shared" si="24"/>
        <v>0.005</v>
      </c>
      <c r="G802" t="str">
        <f t="shared" si="25"/>
        <v>P0000713,16298566,0.005</v>
      </c>
    </row>
    <row r="803" spans="1:7" x14ac:dyDescent="0.25">
      <c r="A803" s="1" t="s">
        <v>103</v>
      </c>
      <c r="B803" s="1" t="s">
        <v>1173</v>
      </c>
      <c r="C803" s="1" t="s">
        <v>11</v>
      </c>
      <c r="D803" t="str">
        <f>IFERROR(VLOOKUP(A803,depara!A:B,2,0),A803)</f>
        <v>P0000714</v>
      </c>
      <c r="E803">
        <f>VLOOKUP(B803,'inumos depara'!$A:$B,2,0)</f>
        <v>16298582</v>
      </c>
      <c r="F803" s="1" t="str">
        <f t="shared" si="24"/>
        <v>0.075</v>
      </c>
      <c r="G803" t="str">
        <f t="shared" si="25"/>
        <v>P0000714,16298582,0.075</v>
      </c>
    </row>
    <row r="804" spans="1:7" x14ac:dyDescent="0.25">
      <c r="A804" s="1" t="s">
        <v>103</v>
      </c>
      <c r="B804" s="1" t="s">
        <v>1177</v>
      </c>
      <c r="C804" s="1" t="s">
        <v>12</v>
      </c>
      <c r="D804" t="str">
        <f>IFERROR(VLOOKUP(A804,depara!A:B,2,0),A804)</f>
        <v>P0000714</v>
      </c>
      <c r="E804">
        <f>VLOOKUP(B804,'inumos depara'!$A:$B,2,0)</f>
        <v>16298586</v>
      </c>
      <c r="F804" s="1" t="str">
        <f t="shared" si="24"/>
        <v>0.0015</v>
      </c>
      <c r="G804" t="str">
        <f t="shared" si="25"/>
        <v>P0000714,16298586,0.0015</v>
      </c>
    </row>
    <row r="805" spans="1:7" x14ac:dyDescent="0.25">
      <c r="A805" s="1" t="s">
        <v>103</v>
      </c>
      <c r="B805" s="1" t="s">
        <v>1169</v>
      </c>
      <c r="C805" s="1" t="s">
        <v>9</v>
      </c>
      <c r="D805" t="str">
        <f>IFERROR(VLOOKUP(A805,depara!A:B,2,0),A805)</f>
        <v>P0000714</v>
      </c>
      <c r="E805">
        <f>VLOOKUP(B805,'inumos depara'!$A:$B,2,0)</f>
        <v>16298578</v>
      </c>
      <c r="F805" s="1" t="str">
        <f t="shared" si="24"/>
        <v>0.09</v>
      </c>
      <c r="G805" t="str">
        <f t="shared" si="25"/>
        <v>P0000714,16298578,0.09</v>
      </c>
    </row>
    <row r="806" spans="1:7" x14ac:dyDescent="0.25">
      <c r="A806" s="1" t="s">
        <v>103</v>
      </c>
      <c r="B806" s="1" t="s">
        <v>1172</v>
      </c>
      <c r="C806" s="1" t="s">
        <v>6</v>
      </c>
      <c r="D806" t="str">
        <f>IFERROR(VLOOKUP(A806,depara!A:B,2,0),A806)</f>
        <v>P0000714</v>
      </c>
      <c r="E806">
        <f>VLOOKUP(B806,'inumos depara'!$A:$B,2,0)</f>
        <v>16298581</v>
      </c>
      <c r="F806" s="1" t="str">
        <f t="shared" si="24"/>
        <v>0.01</v>
      </c>
      <c r="G806" t="str">
        <f t="shared" si="25"/>
        <v>P0000714,16298581,0.01</v>
      </c>
    </row>
    <row r="807" spans="1:7" x14ac:dyDescent="0.25">
      <c r="A807" s="1" t="s">
        <v>103</v>
      </c>
      <c r="B807" s="1" t="s">
        <v>1171</v>
      </c>
      <c r="C807" s="1" t="s">
        <v>1</v>
      </c>
      <c r="D807" t="str">
        <f>IFERROR(VLOOKUP(A807,depara!A:B,2,0),A807)</f>
        <v>P0000714</v>
      </c>
      <c r="E807">
        <f>VLOOKUP(B807,'inumos depara'!$A:$B,2,0)</f>
        <v>16298580</v>
      </c>
      <c r="F807" s="1" t="str">
        <f t="shared" si="24"/>
        <v>0.003</v>
      </c>
      <c r="G807" t="str">
        <f t="shared" si="25"/>
        <v>P0000714,16298580,0.003</v>
      </c>
    </row>
    <row r="808" spans="1:7" x14ac:dyDescent="0.25">
      <c r="A808" s="1" t="s">
        <v>103</v>
      </c>
      <c r="B808" s="1" t="s">
        <v>1170</v>
      </c>
      <c r="C808" s="1" t="s">
        <v>10</v>
      </c>
      <c r="D808" t="str">
        <f>IFERROR(VLOOKUP(A808,depara!A:B,2,0),A808)</f>
        <v>P0000714</v>
      </c>
      <c r="E808">
        <f>VLOOKUP(B808,'inumos depara'!$A:$B,2,0)</f>
        <v>16298579</v>
      </c>
      <c r="F808" s="1" t="str">
        <f t="shared" si="24"/>
        <v>0.001</v>
      </c>
      <c r="G808" t="str">
        <f t="shared" si="25"/>
        <v>P0000714,16298579,0.001</v>
      </c>
    </row>
    <row r="809" spans="1:7" x14ac:dyDescent="0.25">
      <c r="A809" s="1" t="s">
        <v>103</v>
      </c>
      <c r="B809" s="1" t="s">
        <v>1176</v>
      </c>
      <c r="C809" s="1" t="s">
        <v>5</v>
      </c>
      <c r="D809" t="str">
        <f>IFERROR(VLOOKUP(A809,depara!A:B,2,0),A809)</f>
        <v>P0000714</v>
      </c>
      <c r="E809">
        <f>VLOOKUP(B809,'inumos depara'!$A:$B,2,0)</f>
        <v>16298585</v>
      </c>
      <c r="F809" s="1" t="str">
        <f t="shared" si="24"/>
        <v>0.002</v>
      </c>
      <c r="G809" t="str">
        <f t="shared" si="25"/>
        <v>P0000714,16298585,0.002</v>
      </c>
    </row>
    <row r="810" spans="1:7" x14ac:dyDescent="0.25">
      <c r="A810" s="1" t="s">
        <v>103</v>
      </c>
      <c r="B810" s="1" t="s">
        <v>1165</v>
      </c>
      <c r="C810" s="1" t="s">
        <v>8</v>
      </c>
      <c r="D810" t="str">
        <f>IFERROR(VLOOKUP(A810,depara!A:B,2,0),A810)</f>
        <v>P0000714</v>
      </c>
      <c r="E810">
        <f>VLOOKUP(B810,'inumos depara'!$A:$B,2,0)</f>
        <v>16298574</v>
      </c>
      <c r="F810" s="1" t="str">
        <f t="shared" si="24"/>
        <v>0.06</v>
      </c>
      <c r="G810" t="str">
        <f t="shared" si="25"/>
        <v>P0000714,16298574,0.06</v>
      </c>
    </row>
    <row r="811" spans="1:7" x14ac:dyDescent="0.25">
      <c r="A811" s="1" t="s">
        <v>103</v>
      </c>
      <c r="B811" s="1" t="s">
        <v>1166</v>
      </c>
      <c r="C811" s="1" t="s">
        <v>0</v>
      </c>
      <c r="D811" t="str">
        <f>IFERROR(VLOOKUP(A811,depara!A:B,2,0),A811)</f>
        <v>P0000714</v>
      </c>
      <c r="E811">
        <f>VLOOKUP(B811,'inumos depara'!$A:$B,2,0)</f>
        <v>16298575</v>
      </c>
      <c r="F811" s="1" t="str">
        <f t="shared" si="24"/>
        <v>0.05</v>
      </c>
      <c r="G811" t="str">
        <f t="shared" si="25"/>
        <v>P0000714,16298575,0.05</v>
      </c>
    </row>
    <row r="812" spans="1:7" x14ac:dyDescent="0.25">
      <c r="A812" s="1" t="s">
        <v>103</v>
      </c>
      <c r="B812" s="1" t="s">
        <v>1167</v>
      </c>
      <c r="C812" s="1" t="s">
        <v>0</v>
      </c>
      <c r="D812" t="str">
        <f>IFERROR(VLOOKUP(A812,depara!A:B,2,0),A812)</f>
        <v>P0000714</v>
      </c>
      <c r="E812">
        <f>VLOOKUP(B812,'inumos depara'!$A:$B,2,0)</f>
        <v>16298576</v>
      </c>
      <c r="F812" s="1" t="str">
        <f t="shared" si="24"/>
        <v>0.05</v>
      </c>
      <c r="G812" t="str">
        <f t="shared" si="25"/>
        <v>P0000714,16298576,0.05</v>
      </c>
    </row>
    <row r="813" spans="1:7" x14ac:dyDescent="0.25">
      <c r="A813" s="1" t="s">
        <v>103</v>
      </c>
      <c r="B813" s="1" t="s">
        <v>1168</v>
      </c>
      <c r="C813" s="1" t="s">
        <v>1</v>
      </c>
      <c r="D813" t="str">
        <f>IFERROR(VLOOKUP(A813,depara!A:B,2,0),A813)</f>
        <v>P0000714</v>
      </c>
      <c r="E813">
        <f>VLOOKUP(B813,'inumos depara'!$A:$B,2,0)</f>
        <v>16298577</v>
      </c>
      <c r="F813" s="1" t="str">
        <f t="shared" si="24"/>
        <v>0.003</v>
      </c>
      <c r="G813" t="str">
        <f t="shared" si="25"/>
        <v>P0000714,16298577,0.003</v>
      </c>
    </row>
    <row r="814" spans="1:7" x14ac:dyDescent="0.25">
      <c r="A814" s="1" t="s">
        <v>103</v>
      </c>
      <c r="B814" s="1" t="s">
        <v>1174</v>
      </c>
      <c r="C814" s="1" t="s">
        <v>4</v>
      </c>
      <c r="D814" t="str">
        <f>IFERROR(VLOOKUP(A814,depara!A:B,2,0),A814)</f>
        <v>P0000714</v>
      </c>
      <c r="E814">
        <f>VLOOKUP(B814,'inumos depara'!$A:$B,2,0)</f>
        <v>16298583</v>
      </c>
      <c r="F814" s="1" t="str">
        <f t="shared" si="24"/>
        <v>0.005</v>
      </c>
      <c r="G814" t="str">
        <f t="shared" si="25"/>
        <v>P0000714,16298583,0.005</v>
      </c>
    </row>
    <row r="815" spans="1:7" x14ac:dyDescent="0.25">
      <c r="A815" s="1" t="s">
        <v>420</v>
      </c>
      <c r="B815" s="1" t="s">
        <v>1247</v>
      </c>
      <c r="C815" s="1" t="s">
        <v>73</v>
      </c>
      <c r="D815" t="str">
        <f>IFERROR(VLOOKUP(A815,depara!A:B,2,0),A815)</f>
        <v>P0000998</v>
      </c>
      <c r="E815">
        <f>VLOOKUP(B815,'inumos depara'!$A:$B,2,0)</f>
        <v>16298649</v>
      </c>
      <c r="F815" s="1" t="str">
        <f t="shared" si="24"/>
        <v>0.08</v>
      </c>
      <c r="G815" t="str">
        <f t="shared" si="25"/>
        <v>P0000998,16298649,0.08</v>
      </c>
    </row>
    <row r="816" spans="1:7" x14ac:dyDescent="0.25">
      <c r="A816" s="1" t="s">
        <v>420</v>
      </c>
      <c r="B816" s="1" t="s">
        <v>1248</v>
      </c>
      <c r="C816" s="1" t="s">
        <v>8</v>
      </c>
      <c r="D816" t="str">
        <f>IFERROR(VLOOKUP(A816,depara!A:B,2,0),A816)</f>
        <v>P0000998</v>
      </c>
      <c r="E816">
        <f>VLOOKUP(B816,'inumos depara'!$A:$B,2,0)</f>
        <v>16298650</v>
      </c>
      <c r="F816" s="1" t="str">
        <f t="shared" si="24"/>
        <v>0.06</v>
      </c>
      <c r="G816" t="str">
        <f t="shared" si="25"/>
        <v>P0000998,16298650,0.06</v>
      </c>
    </row>
    <row r="817" spans="1:7" x14ac:dyDescent="0.25">
      <c r="A817" s="1" t="s">
        <v>420</v>
      </c>
      <c r="B817" s="1" t="s">
        <v>1249</v>
      </c>
      <c r="C817" s="1" t="s">
        <v>9</v>
      </c>
      <c r="D817" t="str">
        <f>IFERROR(VLOOKUP(A817,depara!A:B,2,0),A817)</f>
        <v>P0000998</v>
      </c>
      <c r="E817">
        <f>VLOOKUP(B817,'inumos depara'!$A:$B,2,0)</f>
        <v>16298651</v>
      </c>
      <c r="F817" s="1" t="str">
        <f t="shared" si="24"/>
        <v>0.09</v>
      </c>
      <c r="G817" t="str">
        <f t="shared" si="25"/>
        <v>P0000998,16298651,0.09</v>
      </c>
    </row>
    <row r="818" spans="1:7" x14ac:dyDescent="0.25">
      <c r="A818" s="1" t="s">
        <v>420</v>
      </c>
      <c r="B818" s="1" t="s">
        <v>1254</v>
      </c>
      <c r="C818" s="1" t="s">
        <v>76</v>
      </c>
      <c r="D818" t="str">
        <f>IFERROR(VLOOKUP(A818,depara!A:B,2,0),A818)</f>
        <v>P0000998</v>
      </c>
      <c r="E818">
        <f>VLOOKUP(B818,'inumos depara'!$A:$B,2,0)</f>
        <v>16298659</v>
      </c>
      <c r="F818" s="1" t="str">
        <f t="shared" si="24"/>
        <v>0.03</v>
      </c>
      <c r="G818" t="str">
        <f t="shared" si="25"/>
        <v>P0000998,16298659,0.03</v>
      </c>
    </row>
    <row r="819" spans="1:7" x14ac:dyDescent="0.25">
      <c r="A819" s="1" t="s">
        <v>420</v>
      </c>
      <c r="B819" s="1" t="s">
        <v>1242</v>
      </c>
      <c r="C819" s="1" t="s">
        <v>76</v>
      </c>
      <c r="D819" t="str">
        <f>IFERROR(VLOOKUP(A819,depara!A:B,2,0),A819)</f>
        <v>P0000998</v>
      </c>
      <c r="E819">
        <f>VLOOKUP(B819,'inumos depara'!$A:$B,2,0)</f>
        <v>16298643</v>
      </c>
      <c r="F819" s="1" t="str">
        <f t="shared" si="24"/>
        <v>0.03</v>
      </c>
      <c r="G819" t="str">
        <f t="shared" si="25"/>
        <v>P0000998,16298643,0.03</v>
      </c>
    </row>
    <row r="820" spans="1:7" x14ac:dyDescent="0.25">
      <c r="A820" s="1" t="s">
        <v>420</v>
      </c>
      <c r="B820" s="1" t="s">
        <v>72</v>
      </c>
      <c r="C820" s="1" t="s">
        <v>64</v>
      </c>
      <c r="D820" t="str">
        <f>IFERROR(VLOOKUP(A820,depara!A:B,2,0),A820)</f>
        <v>P0000998</v>
      </c>
      <c r="E820">
        <f>VLOOKUP(B820,'inumos depara'!$A:$B,2,0)</f>
        <v>16298644</v>
      </c>
      <c r="F820" s="1" t="str">
        <f t="shared" si="24"/>
        <v>0.02</v>
      </c>
      <c r="G820" t="str">
        <f t="shared" si="25"/>
        <v>P0000998,16298644,0.02</v>
      </c>
    </row>
    <row r="821" spans="1:7" x14ac:dyDescent="0.25">
      <c r="A821" s="1" t="s">
        <v>420</v>
      </c>
      <c r="B821" s="1" t="s">
        <v>1245</v>
      </c>
      <c r="C821" s="1" t="s">
        <v>64</v>
      </c>
      <c r="D821" t="str">
        <f>IFERROR(VLOOKUP(A821,depara!A:B,2,0),A821)</f>
        <v>P0000998</v>
      </c>
      <c r="E821">
        <f>VLOOKUP(B821,'inumos depara'!$A:$B,2,0)</f>
        <v>16298647</v>
      </c>
      <c r="F821" s="1" t="str">
        <f t="shared" si="24"/>
        <v>0.02</v>
      </c>
      <c r="G821" t="str">
        <f t="shared" si="25"/>
        <v>P0000998,16298647,0.02</v>
      </c>
    </row>
    <row r="822" spans="1:7" x14ac:dyDescent="0.25">
      <c r="A822" s="1" t="s">
        <v>420</v>
      </c>
      <c r="B822" s="1" t="s">
        <v>1246</v>
      </c>
      <c r="C822" s="1" t="s">
        <v>6</v>
      </c>
      <c r="D822" t="str">
        <f>IFERROR(VLOOKUP(A822,depara!A:B,2,0),A822)</f>
        <v>P0000998</v>
      </c>
      <c r="E822">
        <f>VLOOKUP(B822,'inumos depara'!$A:$B,2,0)</f>
        <v>16298648</v>
      </c>
      <c r="F822" s="1" t="str">
        <f t="shared" si="24"/>
        <v>0.01</v>
      </c>
      <c r="G822" t="str">
        <f t="shared" si="25"/>
        <v>P0000998,16298648,0.01</v>
      </c>
    </row>
    <row r="823" spans="1:7" x14ac:dyDescent="0.25">
      <c r="A823" s="1" t="s">
        <v>420</v>
      </c>
      <c r="B823" s="1" t="s">
        <v>1556</v>
      </c>
      <c r="C823" s="1" t="s">
        <v>5</v>
      </c>
      <c r="D823" t="str">
        <f>IFERROR(VLOOKUP(A823,depara!A:B,2,0),A823)</f>
        <v>P0000998</v>
      </c>
      <c r="E823">
        <f>VLOOKUP(B823,'inumos depara'!$A:$B,2,0)</f>
        <v>16298919</v>
      </c>
      <c r="F823" s="1" t="str">
        <f t="shared" si="24"/>
        <v>0.002</v>
      </c>
      <c r="G823" t="str">
        <f t="shared" si="25"/>
        <v>P0000998,16298919,0.002</v>
      </c>
    </row>
    <row r="824" spans="1:7" x14ac:dyDescent="0.25">
      <c r="A824" s="1" t="s">
        <v>420</v>
      </c>
      <c r="B824" s="1" t="s">
        <v>1244</v>
      </c>
      <c r="C824" s="1" t="s">
        <v>68</v>
      </c>
      <c r="D824" t="str">
        <f>IFERROR(VLOOKUP(A824,depara!A:B,2,0),A824)</f>
        <v>P0000998</v>
      </c>
      <c r="E824">
        <f>VLOOKUP(B824,'inumos depara'!$A:$B,2,0)</f>
        <v>16298646</v>
      </c>
      <c r="F824" s="1" t="str">
        <f t="shared" si="24"/>
        <v>0.004</v>
      </c>
      <c r="G824" t="str">
        <f t="shared" si="25"/>
        <v>P0000998,16298646,0.004</v>
      </c>
    </row>
    <row r="825" spans="1:7" x14ac:dyDescent="0.25">
      <c r="A825" s="1" t="s">
        <v>420</v>
      </c>
      <c r="B825" s="1" t="s">
        <v>1251</v>
      </c>
      <c r="C825" s="1" t="s">
        <v>323</v>
      </c>
      <c r="D825" t="str">
        <f>IFERROR(VLOOKUP(A825,depara!A:B,2,0),A825)</f>
        <v>P0000998</v>
      </c>
      <c r="E825">
        <f>VLOOKUP(B825,'inumos depara'!$A:$B,2,0)</f>
        <v>16298653</v>
      </c>
      <c r="F825" s="1" t="str">
        <f t="shared" si="24"/>
        <v>0.0018</v>
      </c>
      <c r="G825" t="str">
        <f t="shared" si="25"/>
        <v>P0000998,16298653,0.0018</v>
      </c>
    </row>
    <row r="826" spans="1:7" x14ac:dyDescent="0.25">
      <c r="A826" s="1" t="s">
        <v>420</v>
      </c>
      <c r="B826" s="1" t="s">
        <v>1243</v>
      </c>
      <c r="C826" s="1" t="s">
        <v>4</v>
      </c>
      <c r="D826" t="str">
        <f>IFERROR(VLOOKUP(A826,depara!A:B,2,0),A826)</f>
        <v>P0000998</v>
      </c>
      <c r="E826">
        <f>VLOOKUP(B826,'inumos depara'!$A:$B,2,0)</f>
        <v>16298645</v>
      </c>
      <c r="F826" s="1" t="str">
        <f t="shared" si="24"/>
        <v>0.005</v>
      </c>
      <c r="G826" t="str">
        <f t="shared" si="25"/>
        <v>P0000998,16298645,0.005</v>
      </c>
    </row>
    <row r="827" spans="1:7" x14ac:dyDescent="0.25">
      <c r="A827" s="1" t="s">
        <v>420</v>
      </c>
      <c r="B827" s="1" t="s">
        <v>1250</v>
      </c>
      <c r="C827" s="1" t="s">
        <v>64</v>
      </c>
      <c r="D827" t="str">
        <f>IFERROR(VLOOKUP(A827,depara!A:B,2,0),A827)</f>
        <v>P0000998</v>
      </c>
      <c r="E827">
        <f>VLOOKUP(B827,'inumos depara'!$A:$B,2,0)</f>
        <v>16298652</v>
      </c>
      <c r="F827" s="1" t="str">
        <f t="shared" si="24"/>
        <v>0.02</v>
      </c>
      <c r="G827" t="str">
        <f t="shared" si="25"/>
        <v>P0000998,16298652,0.02</v>
      </c>
    </row>
    <row r="828" spans="1:7" x14ac:dyDescent="0.25">
      <c r="A828" s="1" t="s">
        <v>420</v>
      </c>
      <c r="B828" s="1" t="s">
        <v>80</v>
      </c>
      <c r="C828" s="1" t="s">
        <v>81</v>
      </c>
      <c r="D828" t="str">
        <f>IFERROR(VLOOKUP(A828,depara!A:B,2,0),A828)</f>
        <v>P0000998</v>
      </c>
      <c r="E828">
        <f>VLOOKUP(B828,'inumos depara'!$A:$B,2,0)</f>
        <v>16298661</v>
      </c>
      <c r="F828" s="1" t="str">
        <f t="shared" si="24"/>
        <v>0.035</v>
      </c>
      <c r="G828" t="str">
        <f t="shared" si="25"/>
        <v>P0000998,16298661,0.035</v>
      </c>
    </row>
    <row r="829" spans="1:7" x14ac:dyDescent="0.25">
      <c r="A829" s="1" t="s">
        <v>420</v>
      </c>
      <c r="B829" s="1" t="s">
        <v>75</v>
      </c>
      <c r="C829" s="1" t="s">
        <v>10</v>
      </c>
      <c r="D829" t="str">
        <f>IFERROR(VLOOKUP(A829,depara!A:B,2,0),A829)</f>
        <v>P0000998</v>
      </c>
      <c r="E829">
        <f>VLOOKUP(B829,'inumos depara'!$A:$B,2,0)</f>
        <v>16298655</v>
      </c>
      <c r="F829" s="1" t="str">
        <f t="shared" si="24"/>
        <v>0.001</v>
      </c>
      <c r="G829" t="str">
        <f t="shared" si="25"/>
        <v>P0000998,16298655,0.001</v>
      </c>
    </row>
    <row r="830" spans="1:7" x14ac:dyDescent="0.25">
      <c r="A830" s="1" t="s">
        <v>420</v>
      </c>
      <c r="B830" s="1" t="s">
        <v>1176</v>
      </c>
      <c r="C830" s="1" t="s">
        <v>10</v>
      </c>
      <c r="D830" t="str">
        <f>IFERROR(VLOOKUP(A830,depara!A:B,2,0),A830)</f>
        <v>P0000998</v>
      </c>
      <c r="E830">
        <f>VLOOKUP(B830,'inumos depara'!$A:$B,2,0)</f>
        <v>16298585</v>
      </c>
      <c r="F830" s="1" t="str">
        <f t="shared" si="24"/>
        <v>0.001</v>
      </c>
      <c r="G830" t="str">
        <f t="shared" si="25"/>
        <v>P0000998,16298585,0.001</v>
      </c>
    </row>
    <row r="831" spans="1:7" x14ac:dyDescent="0.25">
      <c r="A831" s="1" t="s">
        <v>420</v>
      </c>
      <c r="B831" s="1" t="s">
        <v>382</v>
      </c>
      <c r="C831" s="1" t="s">
        <v>64</v>
      </c>
      <c r="D831" t="str">
        <f>IFERROR(VLOOKUP(A831,depara!A:B,2,0),A831)</f>
        <v>P0000998</v>
      </c>
      <c r="E831">
        <f>VLOOKUP(B831,'inumos depara'!$A:$B,2,0)</f>
        <v>16298881</v>
      </c>
      <c r="F831" s="1" t="str">
        <f t="shared" si="24"/>
        <v>0.02</v>
      </c>
      <c r="G831" t="str">
        <f t="shared" si="25"/>
        <v>P0000998,16298881,0.02</v>
      </c>
    </row>
    <row r="832" spans="1:7" x14ac:dyDescent="0.25">
      <c r="A832" s="1" t="s">
        <v>420</v>
      </c>
      <c r="B832" s="1" t="s">
        <v>1252</v>
      </c>
      <c r="C832" s="1" t="s">
        <v>5</v>
      </c>
      <c r="D832" t="str">
        <f>IFERROR(VLOOKUP(A832,depara!A:B,2,0),A832)</f>
        <v>P0000998</v>
      </c>
      <c r="E832">
        <f>VLOOKUP(B832,'inumos depara'!$A:$B,2,0)</f>
        <v>16298656</v>
      </c>
      <c r="F832" s="1" t="str">
        <f t="shared" si="24"/>
        <v>0.002</v>
      </c>
      <c r="G832" t="str">
        <f t="shared" si="25"/>
        <v>P0000998,16298656,0.002</v>
      </c>
    </row>
    <row r="833" spans="1:7" x14ac:dyDescent="0.25">
      <c r="A833" s="1" t="s">
        <v>420</v>
      </c>
      <c r="B833" s="1" t="s">
        <v>74</v>
      </c>
      <c r="C833" s="1" t="s">
        <v>1</v>
      </c>
      <c r="D833" t="str">
        <f>IFERROR(VLOOKUP(A833,depara!A:B,2,0),A833)</f>
        <v>P0000998</v>
      </c>
      <c r="E833">
        <f>VLOOKUP(B833,'inumos depara'!$A:$B,2,0)</f>
        <v>16298654</v>
      </c>
      <c r="F833" s="1" t="str">
        <f t="shared" si="24"/>
        <v>0.003</v>
      </c>
      <c r="G833" t="str">
        <f t="shared" si="25"/>
        <v>P0000998,16298654,0.003</v>
      </c>
    </row>
    <row r="834" spans="1:7" x14ac:dyDescent="0.25">
      <c r="A834" s="1" t="s">
        <v>420</v>
      </c>
      <c r="B834" s="1" t="s">
        <v>1256</v>
      </c>
      <c r="C834" s="1" t="s">
        <v>71</v>
      </c>
      <c r="D834" t="str">
        <f>IFERROR(VLOOKUP(A834,depara!A:B,2,0),A834)</f>
        <v>P0000998</v>
      </c>
      <c r="E834">
        <f>VLOOKUP(B834,'inumos depara'!$A:$B,2,0)</f>
        <v>16298662</v>
      </c>
      <c r="F834" s="1" t="str">
        <f t="shared" ref="F834:F897" si="26">C834</f>
        <v>0.04</v>
      </c>
      <c r="G834" t="str">
        <f t="shared" ref="G834:G897" si="27">D834&amp;","&amp;E834&amp;","&amp;F834</f>
        <v>P0000998,16298662,0.04</v>
      </c>
    </row>
    <row r="835" spans="1:7" x14ac:dyDescent="0.25">
      <c r="A835" s="1" t="s">
        <v>420</v>
      </c>
      <c r="B835" s="1" t="s">
        <v>1146</v>
      </c>
      <c r="C835" s="1" t="s">
        <v>421</v>
      </c>
      <c r="D835" t="str">
        <f>IFERROR(VLOOKUP(A835,depara!A:B,2,0),A835)</f>
        <v>P0000998</v>
      </c>
      <c r="E835">
        <f>VLOOKUP(B835,'inumos depara'!$A:$B,2,0)</f>
        <v>16298558</v>
      </c>
      <c r="F835" s="1" t="str">
        <f t="shared" si="26"/>
        <v>0.00017</v>
      </c>
      <c r="G835" t="str">
        <f t="shared" si="27"/>
        <v>P0000998,16298558,0.00017</v>
      </c>
    </row>
    <row r="836" spans="1:7" x14ac:dyDescent="0.25">
      <c r="A836" s="1" t="s">
        <v>420</v>
      </c>
      <c r="B836" s="1" t="s">
        <v>422</v>
      </c>
      <c r="C836" s="1" t="s">
        <v>423</v>
      </c>
      <c r="D836" t="str">
        <f>IFERROR(VLOOKUP(A836,depara!A:B,2,0),A836)</f>
        <v>P0000998</v>
      </c>
      <c r="E836">
        <f>VLOOKUP(B836,'inumos depara'!$A:$B,2,0)</f>
        <v>16298926</v>
      </c>
      <c r="F836" s="1" t="str">
        <f t="shared" si="26"/>
        <v>0.0001</v>
      </c>
      <c r="G836" t="str">
        <f t="shared" si="27"/>
        <v>P0000998,16298926,0.0001</v>
      </c>
    </row>
    <row r="837" spans="1:7" x14ac:dyDescent="0.25">
      <c r="A837" s="1" t="s">
        <v>420</v>
      </c>
      <c r="B837" s="1" t="s">
        <v>1146</v>
      </c>
      <c r="C837" s="1" t="s">
        <v>424</v>
      </c>
      <c r="D837" t="str">
        <f>IFERROR(VLOOKUP(A837,depara!A:B,2,0),A837)</f>
        <v>P0000998</v>
      </c>
      <c r="E837">
        <f>VLOOKUP(B837,'inumos depara'!$A:$B,2,0)</f>
        <v>16298558</v>
      </c>
      <c r="F837" s="1" t="str">
        <f t="shared" si="26"/>
        <v>0.000175</v>
      </c>
      <c r="G837" t="str">
        <f t="shared" si="27"/>
        <v>P0000998,16298558,0.000175</v>
      </c>
    </row>
    <row r="838" spans="1:7" x14ac:dyDescent="0.25">
      <c r="A838" s="1" t="s">
        <v>420</v>
      </c>
      <c r="B838" s="1" t="s">
        <v>1253</v>
      </c>
      <c r="C838" s="1" t="s">
        <v>76</v>
      </c>
      <c r="D838" t="str">
        <f>IFERROR(VLOOKUP(A838,depara!A:B,2,0),A838)</f>
        <v>P0000998</v>
      </c>
      <c r="E838">
        <f>VLOOKUP(B838,'inumos depara'!$A:$B,2,0)</f>
        <v>16298657</v>
      </c>
      <c r="F838" s="1" t="str">
        <f t="shared" si="26"/>
        <v>0.03</v>
      </c>
      <c r="G838" t="str">
        <f t="shared" si="27"/>
        <v>P0000998,16298657,0.03</v>
      </c>
    </row>
    <row r="839" spans="1:7" x14ac:dyDescent="0.25">
      <c r="A839" s="1" t="s">
        <v>420</v>
      </c>
      <c r="B839" s="1" t="s">
        <v>77</v>
      </c>
      <c r="C839" s="1" t="s">
        <v>0</v>
      </c>
      <c r="D839" t="str">
        <f>IFERROR(VLOOKUP(A839,depara!A:B,2,0),A839)</f>
        <v>P0000998</v>
      </c>
      <c r="E839">
        <f>VLOOKUP(B839,'inumos depara'!$A:$B,2,0)</f>
        <v>16298658</v>
      </c>
      <c r="F839" s="1" t="str">
        <f t="shared" si="26"/>
        <v>0.05</v>
      </c>
      <c r="G839" t="str">
        <f t="shared" si="27"/>
        <v>P0000998,16298658,0.05</v>
      </c>
    </row>
    <row r="840" spans="1:7" x14ac:dyDescent="0.25">
      <c r="A840" s="1" t="s">
        <v>420</v>
      </c>
      <c r="B840" s="1" t="s">
        <v>1255</v>
      </c>
      <c r="C840" s="1" t="s">
        <v>73</v>
      </c>
      <c r="D840" t="str">
        <f>IFERROR(VLOOKUP(A840,depara!A:B,2,0),A840)</f>
        <v>P0000998</v>
      </c>
      <c r="E840">
        <f>VLOOKUP(B840,'inumos depara'!$A:$B,2,0)</f>
        <v>16298660</v>
      </c>
      <c r="F840" s="1" t="str">
        <f t="shared" si="26"/>
        <v>0.08</v>
      </c>
      <c r="G840" t="str">
        <f t="shared" si="27"/>
        <v>P0000998,16298660,0.08</v>
      </c>
    </row>
    <row r="841" spans="1:7" x14ac:dyDescent="0.25">
      <c r="A841" s="1" t="s">
        <v>425</v>
      </c>
      <c r="B841" s="1" t="s">
        <v>1247</v>
      </c>
      <c r="C841" s="1" t="s">
        <v>73</v>
      </c>
      <c r="D841" t="str">
        <f>IFERROR(VLOOKUP(A841,depara!A:B,2,0),A841)</f>
        <v>P0000999</v>
      </c>
      <c r="E841">
        <f>VLOOKUP(B841,'inumos depara'!$A:$B,2,0)</f>
        <v>16298649</v>
      </c>
      <c r="F841" s="1" t="str">
        <f t="shared" si="26"/>
        <v>0.08</v>
      </c>
      <c r="G841" t="str">
        <f t="shared" si="27"/>
        <v>P0000999,16298649,0.08</v>
      </c>
    </row>
    <row r="842" spans="1:7" x14ac:dyDescent="0.25">
      <c r="A842" s="1" t="s">
        <v>425</v>
      </c>
      <c r="B842" s="1" t="s">
        <v>1248</v>
      </c>
      <c r="C842" s="1" t="s">
        <v>8</v>
      </c>
      <c r="D842" t="str">
        <f>IFERROR(VLOOKUP(A842,depara!A:B,2,0),A842)</f>
        <v>P0000999</v>
      </c>
      <c r="E842">
        <f>VLOOKUP(B842,'inumos depara'!$A:$B,2,0)</f>
        <v>16298650</v>
      </c>
      <c r="F842" s="1" t="str">
        <f t="shared" si="26"/>
        <v>0.06</v>
      </c>
      <c r="G842" t="str">
        <f t="shared" si="27"/>
        <v>P0000999,16298650,0.06</v>
      </c>
    </row>
    <row r="843" spans="1:7" x14ac:dyDescent="0.25">
      <c r="A843" s="1" t="s">
        <v>425</v>
      </c>
      <c r="B843" s="1" t="s">
        <v>1249</v>
      </c>
      <c r="C843" s="1" t="s">
        <v>9</v>
      </c>
      <c r="D843" t="str">
        <f>IFERROR(VLOOKUP(A843,depara!A:B,2,0),A843)</f>
        <v>P0000999</v>
      </c>
      <c r="E843">
        <f>VLOOKUP(B843,'inumos depara'!$A:$B,2,0)</f>
        <v>16298651</v>
      </c>
      <c r="F843" s="1" t="str">
        <f t="shared" si="26"/>
        <v>0.09</v>
      </c>
      <c r="G843" t="str">
        <f t="shared" si="27"/>
        <v>P0000999,16298651,0.09</v>
      </c>
    </row>
    <row r="844" spans="1:7" x14ac:dyDescent="0.25">
      <c r="A844" s="1" t="s">
        <v>425</v>
      </c>
      <c r="B844" s="1" t="s">
        <v>1254</v>
      </c>
      <c r="C844" s="1" t="s">
        <v>76</v>
      </c>
      <c r="D844" t="str">
        <f>IFERROR(VLOOKUP(A844,depara!A:B,2,0),A844)</f>
        <v>P0000999</v>
      </c>
      <c r="E844">
        <f>VLOOKUP(B844,'inumos depara'!$A:$B,2,0)</f>
        <v>16298659</v>
      </c>
      <c r="F844" s="1" t="str">
        <f t="shared" si="26"/>
        <v>0.03</v>
      </c>
      <c r="G844" t="str">
        <f t="shared" si="27"/>
        <v>P0000999,16298659,0.03</v>
      </c>
    </row>
    <row r="845" spans="1:7" x14ac:dyDescent="0.25">
      <c r="A845" s="1" t="s">
        <v>425</v>
      </c>
      <c r="B845" s="1" t="s">
        <v>1242</v>
      </c>
      <c r="C845" s="1" t="s">
        <v>76</v>
      </c>
      <c r="D845" t="str">
        <f>IFERROR(VLOOKUP(A845,depara!A:B,2,0),A845)</f>
        <v>P0000999</v>
      </c>
      <c r="E845">
        <f>VLOOKUP(B845,'inumos depara'!$A:$B,2,0)</f>
        <v>16298643</v>
      </c>
      <c r="F845" s="1" t="str">
        <f t="shared" si="26"/>
        <v>0.03</v>
      </c>
      <c r="G845" t="str">
        <f t="shared" si="27"/>
        <v>P0000999,16298643,0.03</v>
      </c>
    </row>
    <row r="846" spans="1:7" x14ac:dyDescent="0.25">
      <c r="A846" s="1" t="s">
        <v>425</v>
      </c>
      <c r="B846" s="1" t="s">
        <v>72</v>
      </c>
      <c r="C846" s="1" t="s">
        <v>64</v>
      </c>
      <c r="D846" t="str">
        <f>IFERROR(VLOOKUP(A846,depara!A:B,2,0),A846)</f>
        <v>P0000999</v>
      </c>
      <c r="E846">
        <f>VLOOKUP(B846,'inumos depara'!$A:$B,2,0)</f>
        <v>16298644</v>
      </c>
      <c r="F846" s="1" t="str">
        <f t="shared" si="26"/>
        <v>0.02</v>
      </c>
      <c r="G846" t="str">
        <f t="shared" si="27"/>
        <v>P0000999,16298644,0.02</v>
      </c>
    </row>
    <row r="847" spans="1:7" x14ac:dyDescent="0.25">
      <c r="A847" s="1" t="s">
        <v>425</v>
      </c>
      <c r="B847" s="1" t="s">
        <v>1245</v>
      </c>
      <c r="C847" s="1" t="s">
        <v>64</v>
      </c>
      <c r="D847" t="str">
        <f>IFERROR(VLOOKUP(A847,depara!A:B,2,0),A847)</f>
        <v>P0000999</v>
      </c>
      <c r="E847">
        <f>VLOOKUP(B847,'inumos depara'!$A:$B,2,0)</f>
        <v>16298647</v>
      </c>
      <c r="F847" s="1" t="str">
        <f t="shared" si="26"/>
        <v>0.02</v>
      </c>
      <c r="G847" t="str">
        <f t="shared" si="27"/>
        <v>P0000999,16298647,0.02</v>
      </c>
    </row>
    <row r="848" spans="1:7" x14ac:dyDescent="0.25">
      <c r="A848" s="1" t="s">
        <v>425</v>
      </c>
      <c r="B848" s="1" t="s">
        <v>1246</v>
      </c>
      <c r="C848" s="1" t="s">
        <v>6</v>
      </c>
      <c r="D848" t="str">
        <f>IFERROR(VLOOKUP(A848,depara!A:B,2,0),A848)</f>
        <v>P0000999</v>
      </c>
      <c r="E848">
        <f>VLOOKUP(B848,'inumos depara'!$A:$B,2,0)</f>
        <v>16298648</v>
      </c>
      <c r="F848" s="1" t="str">
        <f t="shared" si="26"/>
        <v>0.01</v>
      </c>
      <c r="G848" t="str">
        <f t="shared" si="27"/>
        <v>P0000999,16298648,0.01</v>
      </c>
    </row>
    <row r="849" spans="1:7" x14ac:dyDescent="0.25">
      <c r="A849" s="1" t="s">
        <v>425</v>
      </c>
      <c r="B849" s="1" t="s">
        <v>1556</v>
      </c>
      <c r="C849" s="1" t="s">
        <v>5</v>
      </c>
      <c r="D849" t="str">
        <f>IFERROR(VLOOKUP(A849,depara!A:B,2,0),A849)</f>
        <v>P0000999</v>
      </c>
      <c r="E849">
        <f>VLOOKUP(B849,'inumos depara'!$A:$B,2,0)</f>
        <v>16298919</v>
      </c>
      <c r="F849" s="1" t="str">
        <f t="shared" si="26"/>
        <v>0.002</v>
      </c>
      <c r="G849" t="str">
        <f t="shared" si="27"/>
        <v>P0000999,16298919,0.002</v>
      </c>
    </row>
    <row r="850" spans="1:7" x14ac:dyDescent="0.25">
      <c r="A850" s="1" t="s">
        <v>425</v>
      </c>
      <c r="B850" s="1" t="s">
        <v>1244</v>
      </c>
      <c r="C850" s="1" t="s">
        <v>68</v>
      </c>
      <c r="D850" t="str">
        <f>IFERROR(VLOOKUP(A850,depara!A:B,2,0),A850)</f>
        <v>P0000999</v>
      </c>
      <c r="E850">
        <f>VLOOKUP(B850,'inumos depara'!$A:$B,2,0)</f>
        <v>16298646</v>
      </c>
      <c r="F850" s="1" t="str">
        <f t="shared" si="26"/>
        <v>0.004</v>
      </c>
      <c r="G850" t="str">
        <f t="shared" si="27"/>
        <v>P0000999,16298646,0.004</v>
      </c>
    </row>
    <row r="851" spans="1:7" x14ac:dyDescent="0.25">
      <c r="A851" s="1" t="s">
        <v>425</v>
      </c>
      <c r="B851" s="1" t="s">
        <v>1251</v>
      </c>
      <c r="C851" s="1" t="s">
        <v>323</v>
      </c>
      <c r="D851" t="str">
        <f>IFERROR(VLOOKUP(A851,depara!A:B,2,0),A851)</f>
        <v>P0000999</v>
      </c>
      <c r="E851">
        <f>VLOOKUP(B851,'inumos depara'!$A:$B,2,0)</f>
        <v>16298653</v>
      </c>
      <c r="F851" s="1" t="str">
        <f t="shared" si="26"/>
        <v>0.0018</v>
      </c>
      <c r="G851" t="str">
        <f t="shared" si="27"/>
        <v>P0000999,16298653,0.0018</v>
      </c>
    </row>
    <row r="852" spans="1:7" x14ac:dyDescent="0.25">
      <c r="A852" s="1" t="s">
        <v>425</v>
      </c>
      <c r="B852" s="1" t="s">
        <v>1243</v>
      </c>
      <c r="C852" s="1" t="s">
        <v>4</v>
      </c>
      <c r="D852" t="str">
        <f>IFERROR(VLOOKUP(A852,depara!A:B,2,0),A852)</f>
        <v>P0000999</v>
      </c>
      <c r="E852">
        <f>VLOOKUP(B852,'inumos depara'!$A:$B,2,0)</f>
        <v>16298645</v>
      </c>
      <c r="F852" s="1" t="str">
        <f t="shared" si="26"/>
        <v>0.005</v>
      </c>
      <c r="G852" t="str">
        <f t="shared" si="27"/>
        <v>P0000999,16298645,0.005</v>
      </c>
    </row>
    <row r="853" spans="1:7" x14ac:dyDescent="0.25">
      <c r="A853" s="1" t="s">
        <v>425</v>
      </c>
      <c r="B853" s="1" t="s">
        <v>1250</v>
      </c>
      <c r="C853" s="1" t="s">
        <v>64</v>
      </c>
      <c r="D853" t="str">
        <f>IFERROR(VLOOKUP(A853,depara!A:B,2,0),A853)</f>
        <v>P0000999</v>
      </c>
      <c r="E853">
        <f>VLOOKUP(B853,'inumos depara'!$A:$B,2,0)</f>
        <v>16298652</v>
      </c>
      <c r="F853" s="1" t="str">
        <f t="shared" si="26"/>
        <v>0.02</v>
      </c>
      <c r="G853" t="str">
        <f t="shared" si="27"/>
        <v>P0000999,16298652,0.02</v>
      </c>
    </row>
    <row r="854" spans="1:7" x14ac:dyDescent="0.25">
      <c r="A854" s="1" t="s">
        <v>425</v>
      </c>
      <c r="B854" s="1" t="s">
        <v>1356</v>
      </c>
      <c r="C854" s="1" t="s">
        <v>426</v>
      </c>
      <c r="D854" t="str">
        <f>IFERROR(VLOOKUP(A854,depara!A:B,2,0),A854)</f>
        <v>P0000999</v>
      </c>
      <c r="E854">
        <f>VLOOKUP(B854,'inumos depara'!$A:$B,2,0)</f>
        <v>16298743</v>
      </c>
      <c r="F854" s="1" t="str">
        <f t="shared" si="26"/>
        <v>0.006</v>
      </c>
      <c r="G854" t="str">
        <f t="shared" si="27"/>
        <v>P0000999,16298743,0.006</v>
      </c>
    </row>
    <row r="855" spans="1:7" x14ac:dyDescent="0.25">
      <c r="A855" s="1" t="s">
        <v>425</v>
      </c>
      <c r="B855" s="1" t="s">
        <v>75</v>
      </c>
      <c r="C855" s="1" t="s">
        <v>10</v>
      </c>
      <c r="D855" t="str">
        <f>IFERROR(VLOOKUP(A855,depara!A:B,2,0),A855)</f>
        <v>P0000999</v>
      </c>
      <c r="E855">
        <f>VLOOKUP(B855,'inumos depara'!$A:$B,2,0)</f>
        <v>16298655</v>
      </c>
      <c r="F855" s="1" t="str">
        <f t="shared" si="26"/>
        <v>0.001</v>
      </c>
      <c r="G855" t="str">
        <f t="shared" si="27"/>
        <v>P0000999,16298655,0.001</v>
      </c>
    </row>
    <row r="856" spans="1:7" x14ac:dyDescent="0.25">
      <c r="A856" s="1" t="s">
        <v>425</v>
      </c>
      <c r="B856" s="1" t="s">
        <v>1176</v>
      </c>
      <c r="C856" s="1" t="s">
        <v>10</v>
      </c>
      <c r="D856" t="str">
        <f>IFERROR(VLOOKUP(A856,depara!A:B,2,0),A856)</f>
        <v>P0000999</v>
      </c>
      <c r="E856">
        <f>VLOOKUP(B856,'inumos depara'!$A:$B,2,0)</f>
        <v>16298585</v>
      </c>
      <c r="F856" s="1" t="str">
        <f t="shared" si="26"/>
        <v>0.001</v>
      </c>
      <c r="G856" t="str">
        <f t="shared" si="27"/>
        <v>P0000999,16298585,0.001</v>
      </c>
    </row>
    <row r="857" spans="1:7" x14ac:dyDescent="0.25">
      <c r="A857" s="1" t="s">
        <v>425</v>
      </c>
      <c r="B857" s="1" t="s">
        <v>382</v>
      </c>
      <c r="C857" s="1" t="s">
        <v>64</v>
      </c>
      <c r="D857" t="str">
        <f>IFERROR(VLOOKUP(A857,depara!A:B,2,0),A857)</f>
        <v>P0000999</v>
      </c>
      <c r="E857">
        <f>VLOOKUP(B857,'inumos depara'!$A:$B,2,0)</f>
        <v>16298881</v>
      </c>
      <c r="F857" s="1" t="str">
        <f t="shared" si="26"/>
        <v>0.02</v>
      </c>
      <c r="G857" t="str">
        <f t="shared" si="27"/>
        <v>P0000999,16298881,0.02</v>
      </c>
    </row>
    <row r="858" spans="1:7" x14ac:dyDescent="0.25">
      <c r="A858" s="1" t="s">
        <v>425</v>
      </c>
      <c r="B858" s="1" t="s">
        <v>1252</v>
      </c>
      <c r="C858" s="1" t="s">
        <v>5</v>
      </c>
      <c r="D858" t="str">
        <f>IFERROR(VLOOKUP(A858,depara!A:B,2,0),A858)</f>
        <v>P0000999</v>
      </c>
      <c r="E858">
        <f>VLOOKUP(B858,'inumos depara'!$A:$B,2,0)</f>
        <v>16298656</v>
      </c>
      <c r="F858" s="1" t="str">
        <f t="shared" si="26"/>
        <v>0.002</v>
      </c>
      <c r="G858" t="str">
        <f t="shared" si="27"/>
        <v>P0000999,16298656,0.002</v>
      </c>
    </row>
    <row r="859" spans="1:7" x14ac:dyDescent="0.25">
      <c r="A859" s="1" t="s">
        <v>425</v>
      </c>
      <c r="B859" s="1" t="s">
        <v>74</v>
      </c>
      <c r="C859" s="1" t="s">
        <v>1</v>
      </c>
      <c r="D859" t="str">
        <f>IFERROR(VLOOKUP(A859,depara!A:B,2,0),A859)</f>
        <v>P0000999</v>
      </c>
      <c r="E859">
        <f>VLOOKUP(B859,'inumos depara'!$A:$B,2,0)</f>
        <v>16298654</v>
      </c>
      <c r="F859" s="1" t="str">
        <f t="shared" si="26"/>
        <v>0.003</v>
      </c>
      <c r="G859" t="str">
        <f t="shared" si="27"/>
        <v>P0000999,16298654,0.003</v>
      </c>
    </row>
    <row r="860" spans="1:7" x14ac:dyDescent="0.25">
      <c r="A860" s="1" t="s">
        <v>425</v>
      </c>
      <c r="B860" s="1" t="s">
        <v>1256</v>
      </c>
      <c r="C860" s="1" t="s">
        <v>71</v>
      </c>
      <c r="D860" t="str">
        <f>IFERROR(VLOOKUP(A860,depara!A:B,2,0),A860)</f>
        <v>P0000999</v>
      </c>
      <c r="E860">
        <f>VLOOKUP(B860,'inumos depara'!$A:$B,2,0)</f>
        <v>16298662</v>
      </c>
      <c r="F860" s="1" t="str">
        <f t="shared" si="26"/>
        <v>0.04</v>
      </c>
      <c r="G860" t="str">
        <f t="shared" si="27"/>
        <v>P0000999,16298662,0.04</v>
      </c>
    </row>
    <row r="861" spans="1:7" x14ac:dyDescent="0.25">
      <c r="A861" s="1" t="s">
        <v>425</v>
      </c>
      <c r="B861" s="1" t="s">
        <v>1146</v>
      </c>
      <c r="C861" s="1" t="s">
        <v>421</v>
      </c>
      <c r="D861" t="str">
        <f>IFERROR(VLOOKUP(A861,depara!A:B,2,0),A861)</f>
        <v>P0000999</v>
      </c>
      <c r="E861">
        <f>VLOOKUP(B861,'inumos depara'!$A:$B,2,0)</f>
        <v>16298558</v>
      </c>
      <c r="F861" s="1" t="str">
        <f t="shared" si="26"/>
        <v>0.00017</v>
      </c>
      <c r="G861" t="str">
        <f t="shared" si="27"/>
        <v>P0000999,16298558,0.00017</v>
      </c>
    </row>
    <row r="862" spans="1:7" x14ac:dyDescent="0.25">
      <c r="A862" s="1" t="s">
        <v>425</v>
      </c>
      <c r="B862" s="1" t="s">
        <v>422</v>
      </c>
      <c r="C862" s="1" t="s">
        <v>423</v>
      </c>
      <c r="D862" t="str">
        <f>IFERROR(VLOOKUP(A862,depara!A:B,2,0),A862)</f>
        <v>P0000999</v>
      </c>
      <c r="E862">
        <f>VLOOKUP(B862,'inumos depara'!$A:$B,2,0)</f>
        <v>16298926</v>
      </c>
      <c r="F862" s="1" t="str">
        <f t="shared" si="26"/>
        <v>0.0001</v>
      </c>
      <c r="G862" t="str">
        <f t="shared" si="27"/>
        <v>P0000999,16298926,0.0001</v>
      </c>
    </row>
    <row r="863" spans="1:7" x14ac:dyDescent="0.25">
      <c r="A863" s="1" t="s">
        <v>425</v>
      </c>
      <c r="B863" s="1" t="s">
        <v>1146</v>
      </c>
      <c r="C863" s="1" t="s">
        <v>427</v>
      </c>
      <c r="D863" t="str">
        <f>IFERROR(VLOOKUP(A863,depara!A:B,2,0),A863)</f>
        <v>P0000999</v>
      </c>
      <c r="E863">
        <f>VLOOKUP(B863,'inumos depara'!$A:$B,2,0)</f>
        <v>16298558</v>
      </c>
      <c r="F863" s="1" t="str">
        <f t="shared" si="26"/>
        <v>0.000315</v>
      </c>
      <c r="G863" t="str">
        <f t="shared" si="27"/>
        <v>P0000999,16298558,0.000315</v>
      </c>
    </row>
    <row r="864" spans="1:7" x14ac:dyDescent="0.25">
      <c r="A864" s="1" t="s">
        <v>425</v>
      </c>
      <c r="B864" s="1" t="s">
        <v>1253</v>
      </c>
      <c r="C864" s="1" t="s">
        <v>76</v>
      </c>
      <c r="D864" t="str">
        <f>IFERROR(VLOOKUP(A864,depara!A:B,2,0),A864)</f>
        <v>P0000999</v>
      </c>
      <c r="E864">
        <f>VLOOKUP(B864,'inumos depara'!$A:$B,2,0)</f>
        <v>16298657</v>
      </c>
      <c r="F864" s="1" t="str">
        <f t="shared" si="26"/>
        <v>0.03</v>
      </c>
      <c r="G864" t="str">
        <f t="shared" si="27"/>
        <v>P0000999,16298657,0.03</v>
      </c>
    </row>
    <row r="865" spans="1:7" x14ac:dyDescent="0.25">
      <c r="A865" s="1" t="s">
        <v>425</v>
      </c>
      <c r="B865" s="1" t="s">
        <v>77</v>
      </c>
      <c r="C865" s="1" t="s">
        <v>0</v>
      </c>
      <c r="D865" t="str">
        <f>IFERROR(VLOOKUP(A865,depara!A:B,2,0),A865)</f>
        <v>P0000999</v>
      </c>
      <c r="E865">
        <f>VLOOKUP(B865,'inumos depara'!$A:$B,2,0)</f>
        <v>16298658</v>
      </c>
      <c r="F865" s="1" t="str">
        <f t="shared" si="26"/>
        <v>0.05</v>
      </c>
      <c r="G865" t="str">
        <f t="shared" si="27"/>
        <v>P0000999,16298658,0.05</v>
      </c>
    </row>
    <row r="866" spans="1:7" x14ac:dyDescent="0.25">
      <c r="A866" s="1" t="s">
        <v>425</v>
      </c>
      <c r="B866" s="1" t="s">
        <v>1255</v>
      </c>
      <c r="C866" s="1" t="s">
        <v>73</v>
      </c>
      <c r="D866" t="str">
        <f>IFERROR(VLOOKUP(A866,depara!A:B,2,0),A866)</f>
        <v>P0000999</v>
      </c>
      <c r="E866">
        <f>VLOOKUP(B866,'inumos depara'!$A:$B,2,0)</f>
        <v>16298660</v>
      </c>
      <c r="F866" s="1" t="str">
        <f t="shared" si="26"/>
        <v>0.08</v>
      </c>
      <c r="G866" t="str">
        <f t="shared" si="27"/>
        <v>P0000999,16298660,0.08</v>
      </c>
    </row>
    <row r="867" spans="1:7" x14ac:dyDescent="0.25">
      <c r="A867" s="1" t="s">
        <v>428</v>
      </c>
      <c r="B867" s="1" t="s">
        <v>1247</v>
      </c>
      <c r="C867" s="1" t="s">
        <v>73</v>
      </c>
      <c r="D867" t="str">
        <f>IFERROR(VLOOKUP(A867,depara!A:B,2,0),A867)</f>
        <v>P0001000</v>
      </c>
      <c r="E867">
        <f>VLOOKUP(B867,'inumos depara'!$A:$B,2,0)</f>
        <v>16298649</v>
      </c>
      <c r="F867" s="1" t="str">
        <f t="shared" si="26"/>
        <v>0.08</v>
      </c>
      <c r="G867" t="str">
        <f t="shared" si="27"/>
        <v>P0001000,16298649,0.08</v>
      </c>
    </row>
    <row r="868" spans="1:7" x14ac:dyDescent="0.25">
      <c r="A868" s="1" t="s">
        <v>428</v>
      </c>
      <c r="B868" s="1" t="s">
        <v>1248</v>
      </c>
      <c r="C868" s="1" t="s">
        <v>8</v>
      </c>
      <c r="D868" t="str">
        <f>IFERROR(VLOOKUP(A868,depara!A:B,2,0),A868)</f>
        <v>P0001000</v>
      </c>
      <c r="E868">
        <f>VLOOKUP(B868,'inumos depara'!$A:$B,2,0)</f>
        <v>16298650</v>
      </c>
      <c r="F868" s="1" t="str">
        <f t="shared" si="26"/>
        <v>0.06</v>
      </c>
      <c r="G868" t="str">
        <f t="shared" si="27"/>
        <v>P0001000,16298650,0.06</v>
      </c>
    </row>
    <row r="869" spans="1:7" x14ac:dyDescent="0.25">
      <c r="A869" s="1" t="s">
        <v>428</v>
      </c>
      <c r="B869" s="1" t="s">
        <v>1249</v>
      </c>
      <c r="C869" s="1" t="s">
        <v>9</v>
      </c>
      <c r="D869" t="str">
        <f>IFERROR(VLOOKUP(A869,depara!A:B,2,0),A869)</f>
        <v>P0001000</v>
      </c>
      <c r="E869">
        <f>VLOOKUP(B869,'inumos depara'!$A:$B,2,0)</f>
        <v>16298651</v>
      </c>
      <c r="F869" s="1" t="str">
        <f t="shared" si="26"/>
        <v>0.09</v>
      </c>
      <c r="G869" t="str">
        <f t="shared" si="27"/>
        <v>P0001000,16298651,0.09</v>
      </c>
    </row>
    <row r="870" spans="1:7" x14ac:dyDescent="0.25">
      <c r="A870" s="1" t="s">
        <v>428</v>
      </c>
      <c r="B870" s="1" t="s">
        <v>1254</v>
      </c>
      <c r="C870" s="1" t="s">
        <v>71</v>
      </c>
      <c r="D870" t="str">
        <f>IFERROR(VLOOKUP(A870,depara!A:B,2,0),A870)</f>
        <v>P0001000</v>
      </c>
      <c r="E870">
        <f>VLOOKUP(B870,'inumos depara'!$A:$B,2,0)</f>
        <v>16298659</v>
      </c>
      <c r="F870" s="1" t="str">
        <f t="shared" si="26"/>
        <v>0.04</v>
      </c>
      <c r="G870" t="str">
        <f t="shared" si="27"/>
        <v>P0001000,16298659,0.04</v>
      </c>
    </row>
    <row r="871" spans="1:7" x14ac:dyDescent="0.25">
      <c r="A871" s="1" t="s">
        <v>428</v>
      </c>
      <c r="B871" s="1" t="s">
        <v>1242</v>
      </c>
      <c r="C871" s="1" t="s">
        <v>71</v>
      </c>
      <c r="D871" t="str">
        <f>IFERROR(VLOOKUP(A871,depara!A:B,2,0),A871)</f>
        <v>P0001000</v>
      </c>
      <c r="E871">
        <f>VLOOKUP(B871,'inumos depara'!$A:$B,2,0)</f>
        <v>16298643</v>
      </c>
      <c r="F871" s="1" t="str">
        <f t="shared" si="26"/>
        <v>0.04</v>
      </c>
      <c r="G871" t="str">
        <f t="shared" si="27"/>
        <v>P0001000,16298643,0.04</v>
      </c>
    </row>
    <row r="872" spans="1:7" x14ac:dyDescent="0.25">
      <c r="A872" s="1" t="s">
        <v>428</v>
      </c>
      <c r="B872" s="1" t="s">
        <v>72</v>
      </c>
      <c r="C872" s="1" t="s">
        <v>64</v>
      </c>
      <c r="D872" t="str">
        <f>IFERROR(VLOOKUP(A872,depara!A:B,2,0),A872)</f>
        <v>P0001000</v>
      </c>
      <c r="E872">
        <f>VLOOKUP(B872,'inumos depara'!$A:$B,2,0)</f>
        <v>16298644</v>
      </c>
      <c r="F872" s="1" t="str">
        <f t="shared" si="26"/>
        <v>0.02</v>
      </c>
      <c r="G872" t="str">
        <f t="shared" si="27"/>
        <v>P0001000,16298644,0.02</v>
      </c>
    </row>
    <row r="873" spans="1:7" x14ac:dyDescent="0.25">
      <c r="A873" s="1" t="s">
        <v>428</v>
      </c>
      <c r="B873" s="1" t="s">
        <v>1245</v>
      </c>
      <c r="C873" s="1" t="s">
        <v>64</v>
      </c>
      <c r="D873" t="str">
        <f>IFERROR(VLOOKUP(A873,depara!A:B,2,0),A873)</f>
        <v>P0001000</v>
      </c>
      <c r="E873">
        <f>VLOOKUP(B873,'inumos depara'!$A:$B,2,0)</f>
        <v>16298647</v>
      </c>
      <c r="F873" s="1" t="str">
        <f t="shared" si="26"/>
        <v>0.02</v>
      </c>
      <c r="G873" t="str">
        <f t="shared" si="27"/>
        <v>P0001000,16298647,0.02</v>
      </c>
    </row>
    <row r="874" spans="1:7" x14ac:dyDescent="0.25">
      <c r="A874" s="1" t="s">
        <v>428</v>
      </c>
      <c r="B874" s="1" t="s">
        <v>1246</v>
      </c>
      <c r="C874" s="1" t="s">
        <v>6</v>
      </c>
      <c r="D874" t="str">
        <f>IFERROR(VLOOKUP(A874,depara!A:B,2,0),A874)</f>
        <v>P0001000</v>
      </c>
      <c r="E874">
        <f>VLOOKUP(B874,'inumos depara'!$A:$B,2,0)</f>
        <v>16298648</v>
      </c>
      <c r="F874" s="1" t="str">
        <f t="shared" si="26"/>
        <v>0.01</v>
      </c>
      <c r="G874" t="str">
        <f t="shared" si="27"/>
        <v>P0001000,16298648,0.01</v>
      </c>
    </row>
    <row r="875" spans="1:7" x14ac:dyDescent="0.25">
      <c r="A875" s="1" t="s">
        <v>428</v>
      </c>
      <c r="B875" s="1" t="s">
        <v>1556</v>
      </c>
      <c r="C875" s="1" t="s">
        <v>5</v>
      </c>
      <c r="D875" t="str">
        <f>IFERROR(VLOOKUP(A875,depara!A:B,2,0),A875)</f>
        <v>P0001000</v>
      </c>
      <c r="E875">
        <f>VLOOKUP(B875,'inumos depara'!$A:$B,2,0)</f>
        <v>16298919</v>
      </c>
      <c r="F875" s="1" t="str">
        <f t="shared" si="26"/>
        <v>0.002</v>
      </c>
      <c r="G875" t="str">
        <f t="shared" si="27"/>
        <v>P0001000,16298919,0.002</v>
      </c>
    </row>
    <row r="876" spans="1:7" x14ac:dyDescent="0.25">
      <c r="A876" s="1" t="s">
        <v>428</v>
      </c>
      <c r="B876" s="1" t="s">
        <v>1244</v>
      </c>
      <c r="C876" s="1" t="s">
        <v>68</v>
      </c>
      <c r="D876" t="str">
        <f>IFERROR(VLOOKUP(A876,depara!A:B,2,0),A876)</f>
        <v>P0001000</v>
      </c>
      <c r="E876">
        <f>VLOOKUP(B876,'inumos depara'!$A:$B,2,0)</f>
        <v>16298646</v>
      </c>
      <c r="F876" s="1" t="str">
        <f t="shared" si="26"/>
        <v>0.004</v>
      </c>
      <c r="G876" t="str">
        <f t="shared" si="27"/>
        <v>P0001000,16298646,0.004</v>
      </c>
    </row>
    <row r="877" spans="1:7" x14ac:dyDescent="0.25">
      <c r="A877" s="1" t="s">
        <v>428</v>
      </c>
      <c r="B877" s="1" t="s">
        <v>1251</v>
      </c>
      <c r="C877" s="1" t="s">
        <v>323</v>
      </c>
      <c r="D877" t="str">
        <f>IFERROR(VLOOKUP(A877,depara!A:B,2,0),A877)</f>
        <v>P0001000</v>
      </c>
      <c r="E877">
        <f>VLOOKUP(B877,'inumos depara'!$A:$B,2,0)</f>
        <v>16298653</v>
      </c>
      <c r="F877" s="1" t="str">
        <f t="shared" si="26"/>
        <v>0.0018</v>
      </c>
      <c r="G877" t="str">
        <f t="shared" si="27"/>
        <v>P0001000,16298653,0.0018</v>
      </c>
    </row>
    <row r="878" spans="1:7" x14ac:dyDescent="0.25">
      <c r="A878" s="1" t="s">
        <v>428</v>
      </c>
      <c r="B878" s="1" t="s">
        <v>1243</v>
      </c>
      <c r="C878" s="1" t="s">
        <v>4</v>
      </c>
      <c r="D878" t="str">
        <f>IFERROR(VLOOKUP(A878,depara!A:B,2,0),A878)</f>
        <v>P0001000</v>
      </c>
      <c r="E878">
        <f>VLOOKUP(B878,'inumos depara'!$A:$B,2,0)</f>
        <v>16298645</v>
      </c>
      <c r="F878" s="1" t="str">
        <f t="shared" si="26"/>
        <v>0.005</v>
      </c>
      <c r="G878" t="str">
        <f t="shared" si="27"/>
        <v>P0001000,16298645,0.005</v>
      </c>
    </row>
    <row r="879" spans="1:7" x14ac:dyDescent="0.25">
      <c r="A879" s="1" t="s">
        <v>428</v>
      </c>
      <c r="B879" s="1" t="s">
        <v>1250</v>
      </c>
      <c r="C879" s="1" t="s">
        <v>64</v>
      </c>
      <c r="D879" t="str">
        <f>IFERROR(VLOOKUP(A879,depara!A:B,2,0),A879)</f>
        <v>P0001000</v>
      </c>
      <c r="E879">
        <f>VLOOKUP(B879,'inumos depara'!$A:$B,2,0)</f>
        <v>16298652</v>
      </c>
      <c r="F879" s="1" t="str">
        <f t="shared" si="26"/>
        <v>0.02</v>
      </c>
      <c r="G879" t="str">
        <f t="shared" si="27"/>
        <v>P0001000,16298652,0.02</v>
      </c>
    </row>
    <row r="880" spans="1:7" x14ac:dyDescent="0.25">
      <c r="A880" s="1" t="s">
        <v>428</v>
      </c>
      <c r="B880" s="1" t="s">
        <v>80</v>
      </c>
      <c r="C880" s="1" t="s">
        <v>81</v>
      </c>
      <c r="D880" t="str">
        <f>IFERROR(VLOOKUP(A880,depara!A:B,2,0),A880)</f>
        <v>P0001000</v>
      </c>
      <c r="E880">
        <f>VLOOKUP(B880,'inumos depara'!$A:$B,2,0)</f>
        <v>16298661</v>
      </c>
      <c r="F880" s="1" t="str">
        <f t="shared" si="26"/>
        <v>0.035</v>
      </c>
      <c r="G880" t="str">
        <f t="shared" si="27"/>
        <v>P0001000,16298661,0.035</v>
      </c>
    </row>
    <row r="881" spans="1:7" x14ac:dyDescent="0.25">
      <c r="A881" s="1" t="s">
        <v>428</v>
      </c>
      <c r="B881" s="1" t="s">
        <v>75</v>
      </c>
      <c r="C881" s="1" t="s">
        <v>10</v>
      </c>
      <c r="D881" t="str">
        <f>IFERROR(VLOOKUP(A881,depara!A:B,2,0),A881)</f>
        <v>P0001000</v>
      </c>
      <c r="E881">
        <f>VLOOKUP(B881,'inumos depara'!$A:$B,2,0)</f>
        <v>16298655</v>
      </c>
      <c r="F881" s="1" t="str">
        <f t="shared" si="26"/>
        <v>0.001</v>
      </c>
      <c r="G881" t="str">
        <f t="shared" si="27"/>
        <v>P0001000,16298655,0.001</v>
      </c>
    </row>
    <row r="882" spans="1:7" x14ac:dyDescent="0.25">
      <c r="A882" s="1" t="s">
        <v>428</v>
      </c>
      <c r="B882" s="1" t="s">
        <v>1176</v>
      </c>
      <c r="C882" s="1" t="s">
        <v>10</v>
      </c>
      <c r="D882" t="str">
        <f>IFERROR(VLOOKUP(A882,depara!A:B,2,0),A882)</f>
        <v>P0001000</v>
      </c>
      <c r="E882">
        <f>VLOOKUP(B882,'inumos depara'!$A:$B,2,0)</f>
        <v>16298585</v>
      </c>
      <c r="F882" s="1" t="str">
        <f t="shared" si="26"/>
        <v>0.001</v>
      </c>
      <c r="G882" t="str">
        <f t="shared" si="27"/>
        <v>P0001000,16298585,0.001</v>
      </c>
    </row>
    <row r="883" spans="1:7" x14ac:dyDescent="0.25">
      <c r="A883" s="1" t="s">
        <v>428</v>
      </c>
      <c r="B883" s="1" t="s">
        <v>382</v>
      </c>
      <c r="C883" s="1" t="s">
        <v>64</v>
      </c>
      <c r="D883" t="str">
        <f>IFERROR(VLOOKUP(A883,depara!A:B,2,0),A883)</f>
        <v>P0001000</v>
      </c>
      <c r="E883">
        <f>VLOOKUP(B883,'inumos depara'!$A:$B,2,0)</f>
        <v>16298881</v>
      </c>
      <c r="F883" s="1" t="str">
        <f t="shared" si="26"/>
        <v>0.02</v>
      </c>
      <c r="G883" t="str">
        <f t="shared" si="27"/>
        <v>P0001000,16298881,0.02</v>
      </c>
    </row>
    <row r="884" spans="1:7" x14ac:dyDescent="0.25">
      <c r="A884" s="1" t="s">
        <v>428</v>
      </c>
      <c r="B884" s="1" t="s">
        <v>1252</v>
      </c>
      <c r="C884" s="1" t="s">
        <v>5</v>
      </c>
      <c r="D884" t="str">
        <f>IFERROR(VLOOKUP(A884,depara!A:B,2,0),A884)</f>
        <v>P0001000</v>
      </c>
      <c r="E884">
        <f>VLOOKUP(B884,'inumos depara'!$A:$B,2,0)</f>
        <v>16298656</v>
      </c>
      <c r="F884" s="1" t="str">
        <f t="shared" si="26"/>
        <v>0.002</v>
      </c>
      <c r="G884" t="str">
        <f t="shared" si="27"/>
        <v>P0001000,16298656,0.002</v>
      </c>
    </row>
    <row r="885" spans="1:7" x14ac:dyDescent="0.25">
      <c r="A885" s="1" t="s">
        <v>428</v>
      </c>
      <c r="B885" s="1" t="s">
        <v>74</v>
      </c>
      <c r="C885" s="1" t="s">
        <v>1</v>
      </c>
      <c r="D885" t="str">
        <f>IFERROR(VLOOKUP(A885,depara!A:B,2,0),A885)</f>
        <v>P0001000</v>
      </c>
      <c r="E885">
        <f>VLOOKUP(B885,'inumos depara'!$A:$B,2,0)</f>
        <v>16298654</v>
      </c>
      <c r="F885" s="1" t="str">
        <f t="shared" si="26"/>
        <v>0.003</v>
      </c>
      <c r="G885" t="str">
        <f t="shared" si="27"/>
        <v>P0001000,16298654,0.003</v>
      </c>
    </row>
    <row r="886" spans="1:7" x14ac:dyDescent="0.25">
      <c r="A886" s="1" t="s">
        <v>428</v>
      </c>
      <c r="B886" s="1" t="s">
        <v>1256</v>
      </c>
      <c r="C886" s="1" t="s">
        <v>71</v>
      </c>
      <c r="D886" t="str">
        <f>IFERROR(VLOOKUP(A886,depara!A:B,2,0),A886)</f>
        <v>P0001000</v>
      </c>
      <c r="E886">
        <f>VLOOKUP(B886,'inumos depara'!$A:$B,2,0)</f>
        <v>16298662</v>
      </c>
      <c r="F886" s="1" t="str">
        <f t="shared" si="26"/>
        <v>0.04</v>
      </c>
      <c r="G886" t="str">
        <f t="shared" si="27"/>
        <v>P0001000,16298662,0.04</v>
      </c>
    </row>
    <row r="887" spans="1:7" x14ac:dyDescent="0.25">
      <c r="A887" s="1" t="s">
        <v>428</v>
      </c>
      <c r="B887" s="1" t="s">
        <v>1146</v>
      </c>
      <c r="C887" s="1" t="s">
        <v>421</v>
      </c>
      <c r="D887" t="str">
        <f>IFERROR(VLOOKUP(A887,depara!A:B,2,0),A887)</f>
        <v>P0001000</v>
      </c>
      <c r="E887">
        <f>VLOOKUP(B887,'inumos depara'!$A:$B,2,0)</f>
        <v>16298558</v>
      </c>
      <c r="F887" s="1" t="str">
        <f t="shared" si="26"/>
        <v>0.00017</v>
      </c>
      <c r="G887" t="str">
        <f t="shared" si="27"/>
        <v>P0001000,16298558,0.00017</v>
      </c>
    </row>
    <row r="888" spans="1:7" x14ac:dyDescent="0.25">
      <c r="A888" s="1" t="s">
        <v>428</v>
      </c>
      <c r="B888" s="1" t="s">
        <v>422</v>
      </c>
      <c r="C888" s="1" t="s">
        <v>423</v>
      </c>
      <c r="D888" t="str">
        <f>IFERROR(VLOOKUP(A888,depara!A:B,2,0),A888)</f>
        <v>P0001000</v>
      </c>
      <c r="E888">
        <f>VLOOKUP(B888,'inumos depara'!$A:$B,2,0)</f>
        <v>16298926</v>
      </c>
      <c r="F888" s="1" t="str">
        <f t="shared" si="26"/>
        <v>0.0001</v>
      </c>
      <c r="G888" t="str">
        <f t="shared" si="27"/>
        <v>P0001000,16298926,0.0001</v>
      </c>
    </row>
    <row r="889" spans="1:7" x14ac:dyDescent="0.25">
      <c r="A889" s="1" t="s">
        <v>428</v>
      </c>
      <c r="B889" s="1" t="s">
        <v>1146</v>
      </c>
      <c r="C889" s="1" t="s">
        <v>429</v>
      </c>
      <c r="D889" t="str">
        <f>IFERROR(VLOOKUP(A889,depara!A:B,2,0),A889)</f>
        <v>P0001000</v>
      </c>
      <c r="E889">
        <f>VLOOKUP(B889,'inumos depara'!$A:$B,2,0)</f>
        <v>16298558</v>
      </c>
      <c r="F889" s="1" t="str">
        <f t="shared" si="26"/>
        <v>0.00028</v>
      </c>
      <c r="G889" t="str">
        <f t="shared" si="27"/>
        <v>P0001000,16298558,0.00028</v>
      </c>
    </row>
    <row r="890" spans="1:7" x14ac:dyDescent="0.25">
      <c r="A890" s="1" t="s">
        <v>428</v>
      </c>
      <c r="B890" s="1" t="s">
        <v>1253</v>
      </c>
      <c r="C890" s="1" t="s">
        <v>76</v>
      </c>
      <c r="D890" t="str">
        <f>IFERROR(VLOOKUP(A890,depara!A:B,2,0),A890)</f>
        <v>P0001000</v>
      </c>
      <c r="E890">
        <f>VLOOKUP(B890,'inumos depara'!$A:$B,2,0)</f>
        <v>16298657</v>
      </c>
      <c r="F890" s="1" t="str">
        <f t="shared" si="26"/>
        <v>0.03</v>
      </c>
      <c r="G890" t="str">
        <f t="shared" si="27"/>
        <v>P0001000,16298657,0.03</v>
      </c>
    </row>
    <row r="891" spans="1:7" x14ac:dyDescent="0.25">
      <c r="A891" s="1" t="s">
        <v>428</v>
      </c>
      <c r="B891" s="1" t="s">
        <v>77</v>
      </c>
      <c r="C891" s="1" t="s">
        <v>0</v>
      </c>
      <c r="D891" t="str">
        <f>IFERROR(VLOOKUP(A891,depara!A:B,2,0),A891)</f>
        <v>P0001000</v>
      </c>
      <c r="E891">
        <f>VLOOKUP(B891,'inumos depara'!$A:$B,2,0)</f>
        <v>16298658</v>
      </c>
      <c r="F891" s="1" t="str">
        <f t="shared" si="26"/>
        <v>0.05</v>
      </c>
      <c r="G891" t="str">
        <f t="shared" si="27"/>
        <v>P0001000,16298658,0.05</v>
      </c>
    </row>
    <row r="892" spans="1:7" x14ac:dyDescent="0.25">
      <c r="A892" s="1" t="s">
        <v>428</v>
      </c>
      <c r="B892" s="1" t="s">
        <v>1255</v>
      </c>
      <c r="C892" s="1" t="s">
        <v>78</v>
      </c>
      <c r="D892" t="str">
        <f>IFERROR(VLOOKUP(A892,depara!A:B,2,0),A892)</f>
        <v>P0001000</v>
      </c>
      <c r="E892">
        <f>VLOOKUP(B892,'inumos depara'!$A:$B,2,0)</f>
        <v>16298660</v>
      </c>
      <c r="F892" s="1" t="str">
        <f t="shared" si="26"/>
        <v>0.14</v>
      </c>
      <c r="G892" t="str">
        <f t="shared" si="27"/>
        <v>P0001000,16298660,0.14</v>
      </c>
    </row>
    <row r="893" spans="1:7" x14ac:dyDescent="0.25">
      <c r="A893" s="1" t="s">
        <v>430</v>
      </c>
      <c r="B893" s="1" t="s">
        <v>1247</v>
      </c>
      <c r="C893" s="1" t="s">
        <v>73</v>
      </c>
      <c r="D893" t="str">
        <f>IFERROR(VLOOKUP(A893,depara!A:B,2,0),A893)</f>
        <v>P0001001</v>
      </c>
      <c r="E893">
        <f>VLOOKUP(B893,'inumos depara'!$A:$B,2,0)</f>
        <v>16298649</v>
      </c>
      <c r="F893" s="1" t="str">
        <f t="shared" si="26"/>
        <v>0.08</v>
      </c>
      <c r="G893" t="str">
        <f t="shared" si="27"/>
        <v>P0001001,16298649,0.08</v>
      </c>
    </row>
    <row r="894" spans="1:7" x14ac:dyDescent="0.25">
      <c r="A894" s="1" t="s">
        <v>430</v>
      </c>
      <c r="B894" s="1" t="s">
        <v>1248</v>
      </c>
      <c r="C894" s="1" t="s">
        <v>8</v>
      </c>
      <c r="D894" t="str">
        <f>IFERROR(VLOOKUP(A894,depara!A:B,2,0),A894)</f>
        <v>P0001001</v>
      </c>
      <c r="E894">
        <f>VLOOKUP(B894,'inumos depara'!$A:$B,2,0)</f>
        <v>16298650</v>
      </c>
      <c r="F894" s="1" t="str">
        <f t="shared" si="26"/>
        <v>0.06</v>
      </c>
      <c r="G894" t="str">
        <f t="shared" si="27"/>
        <v>P0001001,16298650,0.06</v>
      </c>
    </row>
    <row r="895" spans="1:7" x14ac:dyDescent="0.25">
      <c r="A895" s="1" t="s">
        <v>430</v>
      </c>
      <c r="B895" s="1" t="s">
        <v>1249</v>
      </c>
      <c r="C895" s="1" t="s">
        <v>9</v>
      </c>
      <c r="D895" t="str">
        <f>IFERROR(VLOOKUP(A895,depara!A:B,2,0),A895)</f>
        <v>P0001001</v>
      </c>
      <c r="E895">
        <f>VLOOKUP(B895,'inumos depara'!$A:$B,2,0)</f>
        <v>16298651</v>
      </c>
      <c r="F895" s="1" t="str">
        <f t="shared" si="26"/>
        <v>0.09</v>
      </c>
      <c r="G895" t="str">
        <f t="shared" si="27"/>
        <v>P0001001,16298651,0.09</v>
      </c>
    </row>
    <row r="896" spans="1:7" x14ac:dyDescent="0.25">
      <c r="A896" s="1" t="s">
        <v>430</v>
      </c>
      <c r="B896" s="1" t="s">
        <v>1254</v>
      </c>
      <c r="C896" s="1" t="s">
        <v>71</v>
      </c>
      <c r="D896" t="str">
        <f>IFERROR(VLOOKUP(A896,depara!A:B,2,0),A896)</f>
        <v>P0001001</v>
      </c>
      <c r="E896">
        <f>VLOOKUP(B896,'inumos depara'!$A:$B,2,0)</f>
        <v>16298659</v>
      </c>
      <c r="F896" s="1" t="str">
        <f t="shared" si="26"/>
        <v>0.04</v>
      </c>
      <c r="G896" t="str">
        <f t="shared" si="27"/>
        <v>P0001001,16298659,0.04</v>
      </c>
    </row>
    <row r="897" spans="1:7" x14ac:dyDescent="0.25">
      <c r="A897" s="1" t="s">
        <v>430</v>
      </c>
      <c r="B897" s="1" t="s">
        <v>1242</v>
      </c>
      <c r="C897" s="1" t="s">
        <v>71</v>
      </c>
      <c r="D897" t="str">
        <f>IFERROR(VLOOKUP(A897,depara!A:B,2,0),A897)</f>
        <v>P0001001</v>
      </c>
      <c r="E897">
        <f>VLOOKUP(B897,'inumos depara'!$A:$B,2,0)</f>
        <v>16298643</v>
      </c>
      <c r="F897" s="1" t="str">
        <f t="shared" si="26"/>
        <v>0.04</v>
      </c>
      <c r="G897" t="str">
        <f t="shared" si="27"/>
        <v>P0001001,16298643,0.04</v>
      </c>
    </row>
    <row r="898" spans="1:7" x14ac:dyDescent="0.25">
      <c r="A898" s="1" t="s">
        <v>430</v>
      </c>
      <c r="B898" s="1" t="s">
        <v>72</v>
      </c>
      <c r="C898" s="1" t="s">
        <v>64</v>
      </c>
      <c r="D898" t="str">
        <f>IFERROR(VLOOKUP(A898,depara!A:B,2,0),A898)</f>
        <v>P0001001</v>
      </c>
      <c r="E898">
        <f>VLOOKUP(B898,'inumos depara'!$A:$B,2,0)</f>
        <v>16298644</v>
      </c>
      <c r="F898" s="1" t="str">
        <f t="shared" ref="F898:F961" si="28">C898</f>
        <v>0.02</v>
      </c>
      <c r="G898" t="str">
        <f t="shared" ref="G898:G961" si="29">D898&amp;","&amp;E898&amp;","&amp;F898</f>
        <v>P0001001,16298644,0.02</v>
      </c>
    </row>
    <row r="899" spans="1:7" x14ac:dyDescent="0.25">
      <c r="A899" s="1" t="s">
        <v>430</v>
      </c>
      <c r="B899" s="1" t="s">
        <v>1245</v>
      </c>
      <c r="C899" s="1" t="s">
        <v>64</v>
      </c>
      <c r="D899" t="str">
        <f>IFERROR(VLOOKUP(A899,depara!A:B,2,0),A899)</f>
        <v>P0001001</v>
      </c>
      <c r="E899">
        <f>VLOOKUP(B899,'inumos depara'!$A:$B,2,0)</f>
        <v>16298647</v>
      </c>
      <c r="F899" s="1" t="str">
        <f t="shared" si="28"/>
        <v>0.02</v>
      </c>
      <c r="G899" t="str">
        <f t="shared" si="29"/>
        <v>P0001001,16298647,0.02</v>
      </c>
    </row>
    <row r="900" spans="1:7" x14ac:dyDescent="0.25">
      <c r="A900" s="1" t="s">
        <v>430</v>
      </c>
      <c r="B900" s="1" t="s">
        <v>1246</v>
      </c>
      <c r="C900" s="1" t="s">
        <v>6</v>
      </c>
      <c r="D900" t="str">
        <f>IFERROR(VLOOKUP(A900,depara!A:B,2,0),A900)</f>
        <v>P0001001</v>
      </c>
      <c r="E900">
        <f>VLOOKUP(B900,'inumos depara'!$A:$B,2,0)</f>
        <v>16298648</v>
      </c>
      <c r="F900" s="1" t="str">
        <f t="shared" si="28"/>
        <v>0.01</v>
      </c>
      <c r="G900" t="str">
        <f t="shared" si="29"/>
        <v>P0001001,16298648,0.01</v>
      </c>
    </row>
    <row r="901" spans="1:7" x14ac:dyDescent="0.25">
      <c r="A901" s="1" t="s">
        <v>430</v>
      </c>
      <c r="B901" s="1" t="s">
        <v>1556</v>
      </c>
      <c r="C901" s="1" t="s">
        <v>5</v>
      </c>
      <c r="D901" t="str">
        <f>IFERROR(VLOOKUP(A901,depara!A:B,2,0),A901)</f>
        <v>P0001001</v>
      </c>
      <c r="E901">
        <f>VLOOKUP(B901,'inumos depara'!$A:$B,2,0)</f>
        <v>16298919</v>
      </c>
      <c r="F901" s="1" t="str">
        <f t="shared" si="28"/>
        <v>0.002</v>
      </c>
      <c r="G901" t="str">
        <f t="shared" si="29"/>
        <v>P0001001,16298919,0.002</v>
      </c>
    </row>
    <row r="902" spans="1:7" x14ac:dyDescent="0.25">
      <c r="A902" s="1" t="s">
        <v>430</v>
      </c>
      <c r="B902" s="1" t="s">
        <v>1244</v>
      </c>
      <c r="C902" s="1" t="s">
        <v>68</v>
      </c>
      <c r="D902" t="str">
        <f>IFERROR(VLOOKUP(A902,depara!A:B,2,0),A902)</f>
        <v>P0001001</v>
      </c>
      <c r="E902">
        <f>VLOOKUP(B902,'inumos depara'!$A:$B,2,0)</f>
        <v>16298646</v>
      </c>
      <c r="F902" s="1" t="str">
        <f t="shared" si="28"/>
        <v>0.004</v>
      </c>
      <c r="G902" t="str">
        <f t="shared" si="29"/>
        <v>P0001001,16298646,0.004</v>
      </c>
    </row>
    <row r="903" spans="1:7" x14ac:dyDescent="0.25">
      <c r="A903" s="1" t="s">
        <v>430</v>
      </c>
      <c r="B903" s="1" t="s">
        <v>1251</v>
      </c>
      <c r="C903" s="1" t="s">
        <v>323</v>
      </c>
      <c r="D903" t="str">
        <f>IFERROR(VLOOKUP(A903,depara!A:B,2,0),A903)</f>
        <v>P0001001</v>
      </c>
      <c r="E903">
        <f>VLOOKUP(B903,'inumos depara'!$A:$B,2,0)</f>
        <v>16298653</v>
      </c>
      <c r="F903" s="1" t="str">
        <f t="shared" si="28"/>
        <v>0.0018</v>
      </c>
      <c r="G903" t="str">
        <f t="shared" si="29"/>
        <v>P0001001,16298653,0.0018</v>
      </c>
    </row>
    <row r="904" spans="1:7" x14ac:dyDescent="0.25">
      <c r="A904" s="1" t="s">
        <v>430</v>
      </c>
      <c r="B904" s="1" t="s">
        <v>1243</v>
      </c>
      <c r="C904" s="1" t="s">
        <v>4</v>
      </c>
      <c r="D904" t="str">
        <f>IFERROR(VLOOKUP(A904,depara!A:B,2,0),A904)</f>
        <v>P0001001</v>
      </c>
      <c r="E904">
        <f>VLOOKUP(B904,'inumos depara'!$A:$B,2,0)</f>
        <v>16298645</v>
      </c>
      <c r="F904" s="1" t="str">
        <f t="shared" si="28"/>
        <v>0.005</v>
      </c>
      <c r="G904" t="str">
        <f t="shared" si="29"/>
        <v>P0001001,16298645,0.005</v>
      </c>
    </row>
    <row r="905" spans="1:7" x14ac:dyDescent="0.25">
      <c r="A905" s="1" t="s">
        <v>430</v>
      </c>
      <c r="B905" s="1" t="s">
        <v>1250</v>
      </c>
      <c r="C905" s="1" t="s">
        <v>64</v>
      </c>
      <c r="D905" t="str">
        <f>IFERROR(VLOOKUP(A905,depara!A:B,2,0),A905)</f>
        <v>P0001001</v>
      </c>
      <c r="E905">
        <f>VLOOKUP(B905,'inumos depara'!$A:$B,2,0)</f>
        <v>16298652</v>
      </c>
      <c r="F905" s="1" t="str">
        <f t="shared" si="28"/>
        <v>0.02</v>
      </c>
      <c r="G905" t="str">
        <f t="shared" si="29"/>
        <v>P0001001,16298652,0.02</v>
      </c>
    </row>
    <row r="906" spans="1:7" x14ac:dyDescent="0.25">
      <c r="A906" s="1" t="s">
        <v>430</v>
      </c>
      <c r="B906" s="1" t="s">
        <v>1356</v>
      </c>
      <c r="C906" s="1" t="s">
        <v>426</v>
      </c>
      <c r="D906" t="str">
        <f>IFERROR(VLOOKUP(A906,depara!A:B,2,0),A906)</f>
        <v>P0001001</v>
      </c>
      <c r="E906">
        <f>VLOOKUP(B906,'inumos depara'!$A:$B,2,0)</f>
        <v>16298743</v>
      </c>
      <c r="F906" s="1" t="str">
        <f t="shared" si="28"/>
        <v>0.006</v>
      </c>
      <c r="G906" t="str">
        <f t="shared" si="29"/>
        <v>P0001001,16298743,0.006</v>
      </c>
    </row>
    <row r="907" spans="1:7" x14ac:dyDescent="0.25">
      <c r="A907" s="1" t="s">
        <v>430</v>
      </c>
      <c r="B907" s="1" t="s">
        <v>75</v>
      </c>
      <c r="C907" s="1" t="s">
        <v>10</v>
      </c>
      <c r="D907" t="str">
        <f>IFERROR(VLOOKUP(A907,depara!A:B,2,0),A907)</f>
        <v>P0001001</v>
      </c>
      <c r="E907">
        <f>VLOOKUP(B907,'inumos depara'!$A:$B,2,0)</f>
        <v>16298655</v>
      </c>
      <c r="F907" s="1" t="str">
        <f t="shared" si="28"/>
        <v>0.001</v>
      </c>
      <c r="G907" t="str">
        <f t="shared" si="29"/>
        <v>P0001001,16298655,0.001</v>
      </c>
    </row>
    <row r="908" spans="1:7" x14ac:dyDescent="0.25">
      <c r="A908" s="1" t="s">
        <v>430</v>
      </c>
      <c r="B908" s="1" t="s">
        <v>1176</v>
      </c>
      <c r="C908" s="1" t="s">
        <v>10</v>
      </c>
      <c r="D908" t="str">
        <f>IFERROR(VLOOKUP(A908,depara!A:B,2,0),A908)</f>
        <v>P0001001</v>
      </c>
      <c r="E908">
        <f>VLOOKUP(B908,'inumos depara'!$A:$B,2,0)</f>
        <v>16298585</v>
      </c>
      <c r="F908" s="1" t="str">
        <f t="shared" si="28"/>
        <v>0.001</v>
      </c>
      <c r="G908" t="str">
        <f t="shared" si="29"/>
        <v>P0001001,16298585,0.001</v>
      </c>
    </row>
    <row r="909" spans="1:7" x14ac:dyDescent="0.25">
      <c r="A909" s="1" t="s">
        <v>430</v>
      </c>
      <c r="B909" s="1" t="s">
        <v>382</v>
      </c>
      <c r="C909" s="1" t="s">
        <v>64</v>
      </c>
      <c r="D909" t="str">
        <f>IFERROR(VLOOKUP(A909,depara!A:B,2,0),A909)</f>
        <v>P0001001</v>
      </c>
      <c r="E909">
        <f>VLOOKUP(B909,'inumos depara'!$A:$B,2,0)</f>
        <v>16298881</v>
      </c>
      <c r="F909" s="1" t="str">
        <f t="shared" si="28"/>
        <v>0.02</v>
      </c>
      <c r="G909" t="str">
        <f t="shared" si="29"/>
        <v>P0001001,16298881,0.02</v>
      </c>
    </row>
    <row r="910" spans="1:7" x14ac:dyDescent="0.25">
      <c r="A910" s="1" t="s">
        <v>430</v>
      </c>
      <c r="B910" s="1" t="s">
        <v>1252</v>
      </c>
      <c r="C910" s="1" t="s">
        <v>5</v>
      </c>
      <c r="D910" t="str">
        <f>IFERROR(VLOOKUP(A910,depara!A:B,2,0),A910)</f>
        <v>P0001001</v>
      </c>
      <c r="E910">
        <f>VLOOKUP(B910,'inumos depara'!$A:$B,2,0)</f>
        <v>16298656</v>
      </c>
      <c r="F910" s="1" t="str">
        <f t="shared" si="28"/>
        <v>0.002</v>
      </c>
      <c r="G910" t="str">
        <f t="shared" si="29"/>
        <v>P0001001,16298656,0.002</v>
      </c>
    </row>
    <row r="911" spans="1:7" x14ac:dyDescent="0.25">
      <c r="A911" s="1" t="s">
        <v>430</v>
      </c>
      <c r="B911" s="1" t="s">
        <v>74</v>
      </c>
      <c r="C911" s="1" t="s">
        <v>1</v>
      </c>
      <c r="D911" t="str">
        <f>IFERROR(VLOOKUP(A911,depara!A:B,2,0),A911)</f>
        <v>P0001001</v>
      </c>
      <c r="E911">
        <f>VLOOKUP(B911,'inumos depara'!$A:$B,2,0)</f>
        <v>16298654</v>
      </c>
      <c r="F911" s="1" t="str">
        <f t="shared" si="28"/>
        <v>0.003</v>
      </c>
      <c r="G911" t="str">
        <f t="shared" si="29"/>
        <v>P0001001,16298654,0.003</v>
      </c>
    </row>
    <row r="912" spans="1:7" x14ac:dyDescent="0.25">
      <c r="A912" s="1" t="s">
        <v>430</v>
      </c>
      <c r="B912" s="1" t="s">
        <v>1256</v>
      </c>
      <c r="C912" s="1" t="s">
        <v>71</v>
      </c>
      <c r="D912" t="str">
        <f>IFERROR(VLOOKUP(A912,depara!A:B,2,0),A912)</f>
        <v>P0001001</v>
      </c>
      <c r="E912">
        <f>VLOOKUP(B912,'inumos depara'!$A:$B,2,0)</f>
        <v>16298662</v>
      </c>
      <c r="F912" s="1" t="str">
        <f t="shared" si="28"/>
        <v>0.04</v>
      </c>
      <c r="G912" t="str">
        <f t="shared" si="29"/>
        <v>P0001001,16298662,0.04</v>
      </c>
    </row>
    <row r="913" spans="1:7" x14ac:dyDescent="0.25">
      <c r="A913" s="1" t="s">
        <v>430</v>
      </c>
      <c r="B913" s="1" t="s">
        <v>1146</v>
      </c>
      <c r="C913" s="1" t="s">
        <v>421</v>
      </c>
      <c r="D913" t="str">
        <f>IFERROR(VLOOKUP(A913,depara!A:B,2,0),A913)</f>
        <v>P0001001</v>
      </c>
      <c r="E913">
        <f>VLOOKUP(B913,'inumos depara'!$A:$B,2,0)</f>
        <v>16298558</v>
      </c>
      <c r="F913" s="1" t="str">
        <f t="shared" si="28"/>
        <v>0.00017</v>
      </c>
      <c r="G913" t="str">
        <f t="shared" si="29"/>
        <v>P0001001,16298558,0.00017</v>
      </c>
    </row>
    <row r="914" spans="1:7" x14ac:dyDescent="0.25">
      <c r="A914" s="1" t="s">
        <v>430</v>
      </c>
      <c r="B914" s="1" t="s">
        <v>422</v>
      </c>
      <c r="C914" s="1" t="s">
        <v>423</v>
      </c>
      <c r="D914" t="str">
        <f>IFERROR(VLOOKUP(A914,depara!A:B,2,0),A914)</f>
        <v>P0001001</v>
      </c>
      <c r="E914">
        <f>VLOOKUP(B914,'inumos depara'!$A:$B,2,0)</f>
        <v>16298926</v>
      </c>
      <c r="F914" s="1" t="str">
        <f t="shared" si="28"/>
        <v>0.0001</v>
      </c>
      <c r="G914" t="str">
        <f t="shared" si="29"/>
        <v>P0001001,16298926,0.0001</v>
      </c>
    </row>
    <row r="915" spans="1:7" x14ac:dyDescent="0.25">
      <c r="A915" s="1" t="s">
        <v>430</v>
      </c>
      <c r="B915" s="1" t="s">
        <v>1146</v>
      </c>
      <c r="C915" s="1" t="s">
        <v>431</v>
      </c>
      <c r="D915" t="str">
        <f>IFERROR(VLOOKUP(A915,depara!A:B,2,0),A915)</f>
        <v>P0001001</v>
      </c>
      <c r="E915">
        <f>VLOOKUP(B915,'inumos depara'!$A:$B,2,0)</f>
        <v>16298558</v>
      </c>
      <c r="F915" s="1" t="str">
        <f t="shared" si="28"/>
        <v>0.00045</v>
      </c>
      <c r="G915" t="str">
        <f t="shared" si="29"/>
        <v>P0001001,16298558,0.00045</v>
      </c>
    </row>
    <row r="916" spans="1:7" x14ac:dyDescent="0.25">
      <c r="A916" s="1" t="s">
        <v>430</v>
      </c>
      <c r="B916" s="1" t="s">
        <v>1253</v>
      </c>
      <c r="C916" s="1" t="s">
        <v>76</v>
      </c>
      <c r="D916" t="str">
        <f>IFERROR(VLOOKUP(A916,depara!A:B,2,0),A916)</f>
        <v>P0001001</v>
      </c>
      <c r="E916">
        <f>VLOOKUP(B916,'inumos depara'!$A:$B,2,0)</f>
        <v>16298657</v>
      </c>
      <c r="F916" s="1" t="str">
        <f t="shared" si="28"/>
        <v>0.03</v>
      </c>
      <c r="G916" t="str">
        <f t="shared" si="29"/>
        <v>P0001001,16298657,0.03</v>
      </c>
    </row>
    <row r="917" spans="1:7" x14ac:dyDescent="0.25">
      <c r="A917" s="1" t="s">
        <v>430</v>
      </c>
      <c r="B917" s="1" t="s">
        <v>77</v>
      </c>
      <c r="C917" s="1" t="s">
        <v>0</v>
      </c>
      <c r="D917" t="str">
        <f>IFERROR(VLOOKUP(A917,depara!A:B,2,0),A917)</f>
        <v>P0001001</v>
      </c>
      <c r="E917">
        <f>VLOOKUP(B917,'inumos depara'!$A:$B,2,0)</f>
        <v>16298658</v>
      </c>
      <c r="F917" s="1" t="str">
        <f t="shared" si="28"/>
        <v>0.05</v>
      </c>
      <c r="G917" t="str">
        <f t="shared" si="29"/>
        <v>P0001001,16298658,0.05</v>
      </c>
    </row>
    <row r="918" spans="1:7" x14ac:dyDescent="0.25">
      <c r="A918" s="1" t="s">
        <v>430</v>
      </c>
      <c r="B918" s="1" t="s">
        <v>1255</v>
      </c>
      <c r="C918" s="1" t="s">
        <v>78</v>
      </c>
      <c r="D918" t="str">
        <f>IFERROR(VLOOKUP(A918,depara!A:B,2,0),A918)</f>
        <v>P0001001</v>
      </c>
      <c r="E918">
        <f>VLOOKUP(B918,'inumos depara'!$A:$B,2,0)</f>
        <v>16298660</v>
      </c>
      <c r="F918" s="1" t="str">
        <f t="shared" si="28"/>
        <v>0.14</v>
      </c>
      <c r="G918" t="str">
        <f t="shared" si="29"/>
        <v>P0001001,16298660,0.14</v>
      </c>
    </row>
    <row r="919" spans="1:7" x14ac:dyDescent="0.25">
      <c r="A919" s="1" t="s">
        <v>432</v>
      </c>
      <c r="B919" s="1" t="s">
        <v>1563</v>
      </c>
      <c r="C919" s="1" t="s">
        <v>0</v>
      </c>
      <c r="D919" t="str">
        <f>IFERROR(VLOOKUP(A919,depara!A:B,2,0),A919)</f>
        <v>P0001002</v>
      </c>
      <c r="E919">
        <f>VLOOKUP(B919,'inumos depara'!$A:$B,2,0)</f>
        <v>16298927</v>
      </c>
      <c r="F919" s="1" t="str">
        <f t="shared" si="28"/>
        <v>0.05</v>
      </c>
      <c r="G919" t="str">
        <f t="shared" si="29"/>
        <v>P0001002,16298927,0.05</v>
      </c>
    </row>
    <row r="920" spans="1:7" x14ac:dyDescent="0.25">
      <c r="A920" s="1" t="s">
        <v>432</v>
      </c>
      <c r="B920" s="1" t="s">
        <v>1249</v>
      </c>
      <c r="C920" s="1" t="s">
        <v>73</v>
      </c>
      <c r="D920" t="str">
        <f>IFERROR(VLOOKUP(A920,depara!A:B,2,0),A920)</f>
        <v>P0001002</v>
      </c>
      <c r="E920">
        <f>VLOOKUP(B920,'inumos depara'!$A:$B,2,0)</f>
        <v>16298651</v>
      </c>
      <c r="F920" s="1" t="str">
        <f t="shared" si="28"/>
        <v>0.08</v>
      </c>
      <c r="G920" t="str">
        <f t="shared" si="29"/>
        <v>P0001002,16298651,0.08</v>
      </c>
    </row>
    <row r="921" spans="1:7" x14ac:dyDescent="0.25">
      <c r="A921" s="1" t="s">
        <v>432</v>
      </c>
      <c r="B921" s="1" t="s">
        <v>1248</v>
      </c>
      <c r="C921" s="1" t="s">
        <v>0</v>
      </c>
      <c r="D921" t="str">
        <f>IFERROR(VLOOKUP(A921,depara!A:B,2,0),A921)</f>
        <v>P0001002</v>
      </c>
      <c r="E921">
        <f>VLOOKUP(B921,'inumos depara'!$A:$B,2,0)</f>
        <v>16298650</v>
      </c>
      <c r="F921" s="1" t="str">
        <f t="shared" si="28"/>
        <v>0.05</v>
      </c>
      <c r="G921" t="str">
        <f t="shared" si="29"/>
        <v>P0001002,16298650,0.05</v>
      </c>
    </row>
    <row r="922" spans="1:7" x14ac:dyDescent="0.25">
      <c r="A922" s="1" t="s">
        <v>432</v>
      </c>
      <c r="B922" s="1" t="s">
        <v>433</v>
      </c>
      <c r="C922" s="1" t="s">
        <v>0</v>
      </c>
      <c r="D922" t="str">
        <f>IFERROR(VLOOKUP(A922,depara!A:B,2,0),A922)</f>
        <v>P0001002</v>
      </c>
      <c r="E922">
        <f>VLOOKUP(B922,'inumos depara'!$A:$B,2,0)</f>
        <v>16298928</v>
      </c>
      <c r="F922" s="1" t="str">
        <f t="shared" si="28"/>
        <v>0.05</v>
      </c>
      <c r="G922" t="str">
        <f t="shared" si="29"/>
        <v>P0001002,16298928,0.05</v>
      </c>
    </row>
    <row r="923" spans="1:7" x14ac:dyDescent="0.25">
      <c r="A923" s="1" t="s">
        <v>432</v>
      </c>
      <c r="B923" s="1" t="s">
        <v>1254</v>
      </c>
      <c r="C923" s="1" t="s">
        <v>76</v>
      </c>
      <c r="D923" t="str">
        <f>IFERROR(VLOOKUP(A923,depara!A:B,2,0),A923)</f>
        <v>P0001002</v>
      </c>
      <c r="E923">
        <f>VLOOKUP(B923,'inumos depara'!$A:$B,2,0)</f>
        <v>16298659</v>
      </c>
      <c r="F923" s="1" t="str">
        <f t="shared" si="28"/>
        <v>0.03</v>
      </c>
      <c r="G923" t="str">
        <f t="shared" si="29"/>
        <v>P0001002,16298659,0.03</v>
      </c>
    </row>
    <row r="924" spans="1:7" x14ac:dyDescent="0.25">
      <c r="A924" s="1" t="s">
        <v>432</v>
      </c>
      <c r="B924" s="1" t="s">
        <v>1556</v>
      </c>
      <c r="C924" s="1" t="s">
        <v>10</v>
      </c>
      <c r="D924" t="str">
        <f>IFERROR(VLOOKUP(A924,depara!A:B,2,0),A924)</f>
        <v>P0001002</v>
      </c>
      <c r="E924">
        <f>VLOOKUP(B924,'inumos depara'!$A:$B,2,0)</f>
        <v>16298919</v>
      </c>
      <c r="F924" s="1" t="str">
        <f t="shared" si="28"/>
        <v>0.001</v>
      </c>
      <c r="G924" t="str">
        <f t="shared" si="29"/>
        <v>P0001002,16298919,0.001</v>
      </c>
    </row>
    <row r="925" spans="1:7" x14ac:dyDescent="0.25">
      <c r="A925" s="1" t="s">
        <v>432</v>
      </c>
      <c r="B925" s="1" t="s">
        <v>72</v>
      </c>
      <c r="C925" s="1" t="s">
        <v>64</v>
      </c>
      <c r="D925" t="str">
        <f>IFERROR(VLOOKUP(A925,depara!A:B,2,0),A925)</f>
        <v>P0001002</v>
      </c>
      <c r="E925">
        <f>VLOOKUP(B925,'inumos depara'!$A:$B,2,0)</f>
        <v>16298644</v>
      </c>
      <c r="F925" s="1" t="str">
        <f t="shared" si="28"/>
        <v>0.02</v>
      </c>
      <c r="G925" t="str">
        <f t="shared" si="29"/>
        <v>P0001002,16298644,0.02</v>
      </c>
    </row>
    <row r="926" spans="1:7" x14ac:dyDescent="0.25">
      <c r="A926" s="1" t="s">
        <v>432</v>
      </c>
      <c r="B926" s="1" t="s">
        <v>1242</v>
      </c>
      <c r="C926" s="1" t="s">
        <v>76</v>
      </c>
      <c r="D926" t="str">
        <f>IFERROR(VLOOKUP(A926,depara!A:B,2,0),A926)</f>
        <v>P0001002</v>
      </c>
      <c r="E926">
        <f>VLOOKUP(B926,'inumos depara'!$A:$B,2,0)</f>
        <v>16298643</v>
      </c>
      <c r="F926" s="1" t="str">
        <f t="shared" si="28"/>
        <v>0.03</v>
      </c>
      <c r="G926" t="str">
        <f t="shared" si="29"/>
        <v>P0001002,16298643,0.03</v>
      </c>
    </row>
    <row r="927" spans="1:7" x14ac:dyDescent="0.25">
      <c r="A927" s="1" t="s">
        <v>432</v>
      </c>
      <c r="B927" s="1" t="s">
        <v>1356</v>
      </c>
      <c r="C927" s="1" t="s">
        <v>426</v>
      </c>
      <c r="D927" t="str">
        <f>IFERROR(VLOOKUP(A927,depara!A:B,2,0),A927)</f>
        <v>P0001002</v>
      </c>
      <c r="E927">
        <f>VLOOKUP(B927,'inumos depara'!$A:$B,2,0)</f>
        <v>16298743</v>
      </c>
      <c r="F927" s="1" t="str">
        <f t="shared" si="28"/>
        <v>0.006</v>
      </c>
      <c r="G927" t="str">
        <f t="shared" si="29"/>
        <v>P0001002,16298743,0.006</v>
      </c>
    </row>
    <row r="928" spans="1:7" x14ac:dyDescent="0.25">
      <c r="A928" s="1" t="s">
        <v>432</v>
      </c>
      <c r="B928" s="1" t="s">
        <v>1246</v>
      </c>
      <c r="C928" s="1" t="s">
        <v>64</v>
      </c>
      <c r="D928" t="str">
        <f>IFERROR(VLOOKUP(A928,depara!A:B,2,0),A928)</f>
        <v>P0001002</v>
      </c>
      <c r="E928">
        <f>VLOOKUP(B928,'inumos depara'!$A:$B,2,0)</f>
        <v>16298648</v>
      </c>
      <c r="F928" s="1" t="str">
        <f t="shared" si="28"/>
        <v>0.02</v>
      </c>
      <c r="G928" t="str">
        <f t="shared" si="29"/>
        <v>P0001002,16298648,0.02</v>
      </c>
    </row>
    <row r="929" spans="1:7" x14ac:dyDescent="0.25">
      <c r="A929" s="1" t="s">
        <v>432</v>
      </c>
      <c r="B929" s="1" t="s">
        <v>1244</v>
      </c>
      <c r="C929" s="1" t="s">
        <v>68</v>
      </c>
      <c r="D929" t="str">
        <f>IFERROR(VLOOKUP(A929,depara!A:B,2,0),A929)</f>
        <v>P0001002</v>
      </c>
      <c r="E929">
        <f>VLOOKUP(B929,'inumos depara'!$A:$B,2,0)</f>
        <v>16298646</v>
      </c>
      <c r="F929" s="1" t="str">
        <f t="shared" si="28"/>
        <v>0.004</v>
      </c>
      <c r="G929" t="str">
        <f t="shared" si="29"/>
        <v>P0001002,16298646,0.004</v>
      </c>
    </row>
    <row r="930" spans="1:7" x14ac:dyDescent="0.25">
      <c r="A930" s="1" t="s">
        <v>432</v>
      </c>
      <c r="B930" s="1" t="s">
        <v>1250</v>
      </c>
      <c r="C930" s="1" t="s">
        <v>6</v>
      </c>
      <c r="D930" t="str">
        <f>IFERROR(VLOOKUP(A930,depara!A:B,2,0),A930)</f>
        <v>P0001002</v>
      </c>
      <c r="E930">
        <f>VLOOKUP(B930,'inumos depara'!$A:$B,2,0)</f>
        <v>16298652</v>
      </c>
      <c r="F930" s="1" t="str">
        <f t="shared" si="28"/>
        <v>0.01</v>
      </c>
      <c r="G930" t="str">
        <f t="shared" si="29"/>
        <v>P0001002,16298652,0.01</v>
      </c>
    </row>
    <row r="931" spans="1:7" x14ac:dyDescent="0.25">
      <c r="A931" s="1" t="s">
        <v>432</v>
      </c>
      <c r="B931" s="1" t="s">
        <v>1251</v>
      </c>
      <c r="C931" s="1" t="s">
        <v>5</v>
      </c>
      <c r="D931" t="str">
        <f>IFERROR(VLOOKUP(A931,depara!A:B,2,0),A931)</f>
        <v>P0001002</v>
      </c>
      <c r="E931">
        <f>VLOOKUP(B931,'inumos depara'!$A:$B,2,0)</f>
        <v>16298653</v>
      </c>
      <c r="F931" s="1" t="str">
        <f t="shared" si="28"/>
        <v>0.002</v>
      </c>
      <c r="G931" t="str">
        <f t="shared" si="29"/>
        <v>P0001002,16298653,0.002</v>
      </c>
    </row>
    <row r="932" spans="1:7" x14ac:dyDescent="0.25">
      <c r="A932" s="1" t="s">
        <v>432</v>
      </c>
      <c r="B932" s="1" t="s">
        <v>1253</v>
      </c>
      <c r="C932" s="1" t="s">
        <v>76</v>
      </c>
      <c r="D932" t="str">
        <f>IFERROR(VLOOKUP(A932,depara!A:B,2,0),A932)</f>
        <v>P0001002</v>
      </c>
      <c r="E932">
        <f>VLOOKUP(B932,'inumos depara'!$A:$B,2,0)</f>
        <v>16298657</v>
      </c>
      <c r="F932" s="1" t="str">
        <f t="shared" si="28"/>
        <v>0.03</v>
      </c>
      <c r="G932" t="str">
        <f t="shared" si="29"/>
        <v>P0001002,16298657,0.03</v>
      </c>
    </row>
    <row r="933" spans="1:7" x14ac:dyDescent="0.25">
      <c r="A933" s="1" t="s">
        <v>432</v>
      </c>
      <c r="B933" s="1" t="s">
        <v>382</v>
      </c>
      <c r="C933" s="1" t="s">
        <v>64</v>
      </c>
      <c r="D933" t="str">
        <f>IFERROR(VLOOKUP(A933,depara!A:B,2,0),A933)</f>
        <v>P0001002</v>
      </c>
      <c r="E933">
        <f>VLOOKUP(B933,'inumos depara'!$A:$B,2,0)</f>
        <v>16298881</v>
      </c>
      <c r="F933" s="1" t="str">
        <f t="shared" si="28"/>
        <v>0.02</v>
      </c>
      <c r="G933" t="str">
        <f t="shared" si="29"/>
        <v>P0001002,16298881,0.02</v>
      </c>
    </row>
    <row r="934" spans="1:7" x14ac:dyDescent="0.25">
      <c r="A934" s="1" t="s">
        <v>432</v>
      </c>
      <c r="B934" s="1" t="s">
        <v>1564</v>
      </c>
      <c r="C934" s="1" t="s">
        <v>6</v>
      </c>
      <c r="D934" t="str">
        <f>IFERROR(VLOOKUP(A934,depara!A:B,2,0),A934)</f>
        <v>P0001002</v>
      </c>
      <c r="E934">
        <f>VLOOKUP(B934,'inumos depara'!$A:$B,2,0)</f>
        <v>16298929</v>
      </c>
      <c r="F934" s="1" t="str">
        <f t="shared" si="28"/>
        <v>0.01</v>
      </c>
      <c r="G934" t="str">
        <f t="shared" si="29"/>
        <v>P0001002,16298929,0.01</v>
      </c>
    </row>
    <row r="935" spans="1:7" x14ac:dyDescent="0.25">
      <c r="A935" s="1" t="s">
        <v>432</v>
      </c>
      <c r="B935" s="1" t="s">
        <v>1252</v>
      </c>
      <c r="C935" s="1" t="s">
        <v>5</v>
      </c>
      <c r="D935" t="str">
        <f>IFERROR(VLOOKUP(A935,depara!A:B,2,0),A935)</f>
        <v>P0001002</v>
      </c>
      <c r="E935">
        <f>VLOOKUP(B935,'inumos depara'!$A:$B,2,0)</f>
        <v>16298656</v>
      </c>
      <c r="F935" s="1" t="str">
        <f t="shared" si="28"/>
        <v>0.002</v>
      </c>
      <c r="G935" t="str">
        <f t="shared" si="29"/>
        <v>P0001002,16298656,0.002</v>
      </c>
    </row>
    <row r="936" spans="1:7" x14ac:dyDescent="0.25">
      <c r="A936" s="1" t="s">
        <v>432</v>
      </c>
      <c r="B936" s="1" t="s">
        <v>1176</v>
      </c>
      <c r="C936" s="1" t="s">
        <v>10</v>
      </c>
      <c r="D936" t="str">
        <f>IFERROR(VLOOKUP(A936,depara!A:B,2,0),A936)</f>
        <v>P0001002</v>
      </c>
      <c r="E936">
        <f>VLOOKUP(B936,'inumos depara'!$A:$B,2,0)</f>
        <v>16298585</v>
      </c>
      <c r="F936" s="1" t="str">
        <f t="shared" si="28"/>
        <v>0.001</v>
      </c>
      <c r="G936" t="str">
        <f t="shared" si="29"/>
        <v>P0001002,16298585,0.001</v>
      </c>
    </row>
    <row r="937" spans="1:7" x14ac:dyDescent="0.25">
      <c r="A937" s="1" t="s">
        <v>432</v>
      </c>
      <c r="B937" s="1" t="s">
        <v>1171</v>
      </c>
      <c r="C937" s="1" t="s">
        <v>10</v>
      </c>
      <c r="D937" t="str">
        <f>IFERROR(VLOOKUP(A937,depara!A:B,2,0),A937)</f>
        <v>P0001002</v>
      </c>
      <c r="E937">
        <f>VLOOKUP(B937,'inumos depara'!$A:$B,2,0)</f>
        <v>16298580</v>
      </c>
      <c r="F937" s="1" t="str">
        <f t="shared" si="28"/>
        <v>0.001</v>
      </c>
      <c r="G937" t="str">
        <f t="shared" si="29"/>
        <v>P0001002,16298580,0.001</v>
      </c>
    </row>
    <row r="938" spans="1:7" x14ac:dyDescent="0.25">
      <c r="A938" s="1" t="s">
        <v>432</v>
      </c>
      <c r="B938" s="1" t="s">
        <v>74</v>
      </c>
      <c r="C938" s="1" t="s">
        <v>4</v>
      </c>
      <c r="D938" t="str">
        <f>IFERROR(VLOOKUP(A938,depara!A:B,2,0),A938)</f>
        <v>P0001002</v>
      </c>
      <c r="E938">
        <f>VLOOKUP(B938,'inumos depara'!$A:$B,2,0)</f>
        <v>16298654</v>
      </c>
      <c r="F938" s="1" t="str">
        <f t="shared" si="28"/>
        <v>0.005</v>
      </c>
      <c r="G938" t="str">
        <f t="shared" si="29"/>
        <v>P0001002,16298654,0.005</v>
      </c>
    </row>
    <row r="939" spans="1:7" x14ac:dyDescent="0.25">
      <c r="A939" s="1" t="s">
        <v>432</v>
      </c>
      <c r="B939" s="1" t="s">
        <v>75</v>
      </c>
      <c r="C939" s="1" t="s">
        <v>5</v>
      </c>
      <c r="D939" t="str">
        <f>IFERROR(VLOOKUP(A939,depara!A:B,2,0),A939)</f>
        <v>P0001002</v>
      </c>
      <c r="E939">
        <f>VLOOKUP(B939,'inumos depara'!$A:$B,2,0)</f>
        <v>16298655</v>
      </c>
      <c r="F939" s="1" t="str">
        <f t="shared" si="28"/>
        <v>0.002</v>
      </c>
      <c r="G939" t="str">
        <f t="shared" si="29"/>
        <v>P0001002,16298655,0.002</v>
      </c>
    </row>
    <row r="940" spans="1:7" x14ac:dyDescent="0.25">
      <c r="A940" s="1" t="s">
        <v>432</v>
      </c>
      <c r="B940" s="1" t="s">
        <v>1146</v>
      </c>
      <c r="C940" s="1" t="s">
        <v>434</v>
      </c>
      <c r="D940" t="str">
        <f>IFERROR(VLOOKUP(A940,depara!A:B,2,0),A940)</f>
        <v>P0001002</v>
      </c>
      <c r="E940">
        <f>VLOOKUP(B940,'inumos depara'!$A:$B,2,0)</f>
        <v>16298558</v>
      </c>
      <c r="F940" s="1" t="str">
        <f t="shared" si="28"/>
        <v>0.0002</v>
      </c>
      <c r="G940" t="str">
        <f t="shared" si="29"/>
        <v>P0001002,16298558,0.0002</v>
      </c>
    </row>
    <row r="941" spans="1:7" x14ac:dyDescent="0.25">
      <c r="A941" s="1" t="s">
        <v>432</v>
      </c>
      <c r="B941" s="1" t="s">
        <v>1255</v>
      </c>
      <c r="C941" s="1" t="s">
        <v>73</v>
      </c>
      <c r="D941" t="str">
        <f>IFERROR(VLOOKUP(A941,depara!A:B,2,0),A941)</f>
        <v>P0001002</v>
      </c>
      <c r="E941">
        <f>VLOOKUP(B941,'inumos depara'!$A:$B,2,0)</f>
        <v>16298660</v>
      </c>
      <c r="F941" s="1" t="str">
        <f t="shared" si="28"/>
        <v>0.08</v>
      </c>
      <c r="G941" t="str">
        <f t="shared" si="29"/>
        <v>P0001002,16298660,0.08</v>
      </c>
    </row>
    <row r="942" spans="1:7" x14ac:dyDescent="0.25">
      <c r="A942" s="1" t="s">
        <v>432</v>
      </c>
      <c r="B942" s="1" t="s">
        <v>435</v>
      </c>
      <c r="C942" s="1" t="s">
        <v>4</v>
      </c>
      <c r="D942" t="str">
        <f>IFERROR(VLOOKUP(A942,depara!A:B,2,0),A942)</f>
        <v>P0001002</v>
      </c>
      <c r="E942">
        <f>VLOOKUP(B942,'inumos depara'!$A:$B,2,0)</f>
        <v>16298930</v>
      </c>
      <c r="F942" s="1" t="str">
        <f t="shared" si="28"/>
        <v>0.005</v>
      </c>
      <c r="G942" t="str">
        <f t="shared" si="29"/>
        <v>P0001002,16298930,0.005</v>
      </c>
    </row>
    <row r="943" spans="1:7" x14ac:dyDescent="0.25">
      <c r="A943" s="1" t="s">
        <v>436</v>
      </c>
      <c r="B943" s="1" t="s">
        <v>437</v>
      </c>
      <c r="C943" s="1" t="s">
        <v>205</v>
      </c>
      <c r="D943">
        <f>IFERROR(VLOOKUP(A943,depara!A:B,2,0),A943)</f>
        <v>16598563</v>
      </c>
      <c r="E943">
        <f>VLOOKUP(B943,'inumos depara'!$A:$B,2,0)</f>
        <v>16298931</v>
      </c>
      <c r="F943" s="1" t="str">
        <f t="shared" si="28"/>
        <v>0.0551643828196934</v>
      </c>
      <c r="G943" t="str">
        <f t="shared" si="29"/>
        <v>16598563,16298931,0.0551643828196934</v>
      </c>
    </row>
    <row r="944" spans="1:7" x14ac:dyDescent="0.25">
      <c r="A944" s="1" t="s">
        <v>436</v>
      </c>
      <c r="B944" s="1" t="s">
        <v>438</v>
      </c>
      <c r="C944" s="1" t="s">
        <v>1433</v>
      </c>
      <c r="D944">
        <f>IFERROR(VLOOKUP(A944,depara!A:B,2,0),A944)</f>
        <v>16598563</v>
      </c>
      <c r="E944">
        <f>VLOOKUP(B944,'inumos depara'!$A:$B,2,0)</f>
        <v>16298932</v>
      </c>
      <c r="F944" s="1" t="str">
        <f t="shared" si="28"/>
        <v>1.04999187564318</v>
      </c>
      <c r="G944" t="str">
        <f t="shared" si="29"/>
        <v>16598563,16298932,1.04999187564318</v>
      </c>
    </row>
    <row r="945" spans="1:7" x14ac:dyDescent="0.25">
      <c r="A945" s="1" t="s">
        <v>436</v>
      </c>
      <c r="B945" s="1" t="s">
        <v>439</v>
      </c>
      <c r="C945" s="1" t="s">
        <v>1435</v>
      </c>
      <c r="D945">
        <f>IFERROR(VLOOKUP(A945,depara!A:B,2,0),A945)</f>
        <v>16598563</v>
      </c>
      <c r="E945">
        <f>VLOOKUP(B945,'inumos depara'!$A:$B,2,0)</f>
        <v>16298933</v>
      </c>
      <c r="F945" s="1" t="str">
        <f t="shared" si="28"/>
        <v>1.00498293885067</v>
      </c>
      <c r="G945" t="str">
        <f t="shared" si="29"/>
        <v>16598563,16298933,1.00498293885067</v>
      </c>
    </row>
    <row r="946" spans="1:7" x14ac:dyDescent="0.25">
      <c r="A946" s="1" t="s">
        <v>436</v>
      </c>
      <c r="B946" s="1" t="s">
        <v>1436</v>
      </c>
      <c r="C946" s="1" t="s">
        <v>1150</v>
      </c>
      <c r="D946">
        <f>IFERROR(VLOOKUP(A946,depara!A:B,2,0),A946)</f>
        <v>16598563</v>
      </c>
      <c r="E946">
        <f>VLOOKUP(B946,'inumos depara'!$A:$B,2,0)</f>
        <v>16298804</v>
      </c>
      <c r="F946" s="1" t="str">
        <f t="shared" si="28"/>
        <v>1</v>
      </c>
      <c r="G946" t="str">
        <f t="shared" si="29"/>
        <v>16598563,16298804,1</v>
      </c>
    </row>
    <row r="947" spans="1:7" x14ac:dyDescent="0.25">
      <c r="A947" s="1" t="s">
        <v>436</v>
      </c>
      <c r="B947" s="1" t="s">
        <v>206</v>
      </c>
      <c r="C947" s="1" t="s">
        <v>207</v>
      </c>
      <c r="D947">
        <f>IFERROR(VLOOKUP(A947,depara!A:B,2,0),A947)</f>
        <v>16598563</v>
      </c>
      <c r="E947">
        <f>VLOOKUP(B947,'inumos depara'!$A:$B,2,0)</f>
        <v>16298803</v>
      </c>
      <c r="F947" s="1" t="str">
        <f t="shared" si="28"/>
        <v>0.0833559009911715</v>
      </c>
      <c r="G947" t="str">
        <f t="shared" si="29"/>
        <v>16598563,16298803,0.0833559009911715</v>
      </c>
    </row>
    <row r="948" spans="1:7" x14ac:dyDescent="0.25">
      <c r="A948" s="1" t="s">
        <v>440</v>
      </c>
      <c r="B948" s="1" t="s">
        <v>441</v>
      </c>
      <c r="C948" s="1" t="s">
        <v>205</v>
      </c>
      <c r="D948">
        <f>IFERROR(VLOOKUP(A948,depara!A:B,2,0),A948)</f>
        <v>16598564</v>
      </c>
      <c r="E948">
        <f>VLOOKUP(B948,'inumos depara'!$A:$B,2,0)</f>
        <v>16298934</v>
      </c>
      <c r="F948" s="1" t="str">
        <f t="shared" si="28"/>
        <v>0.0551643828196934</v>
      </c>
      <c r="G948" t="str">
        <f t="shared" si="29"/>
        <v>16598564,16298934,0.0551643828196934</v>
      </c>
    </row>
    <row r="949" spans="1:7" x14ac:dyDescent="0.25">
      <c r="A949" s="1" t="s">
        <v>440</v>
      </c>
      <c r="B949" s="1" t="s">
        <v>442</v>
      </c>
      <c r="C949" s="1" t="s">
        <v>1433</v>
      </c>
      <c r="D949">
        <f>IFERROR(VLOOKUP(A949,depara!A:B,2,0),A949)</f>
        <v>16598564</v>
      </c>
      <c r="E949">
        <f>VLOOKUP(B949,'inumos depara'!$A:$B,2,0)</f>
        <v>16298935</v>
      </c>
      <c r="F949" s="1" t="str">
        <f t="shared" si="28"/>
        <v>1.04999187564318</v>
      </c>
      <c r="G949" t="str">
        <f t="shared" si="29"/>
        <v>16598564,16298935,1.04999187564318</v>
      </c>
    </row>
    <row r="950" spans="1:7" x14ac:dyDescent="0.25">
      <c r="A950" s="1" t="s">
        <v>440</v>
      </c>
      <c r="B950" s="1" t="s">
        <v>443</v>
      </c>
      <c r="C950" s="1" t="s">
        <v>1435</v>
      </c>
      <c r="D950">
        <f>IFERROR(VLOOKUP(A950,depara!A:B,2,0),A950)</f>
        <v>16598564</v>
      </c>
      <c r="E950">
        <f>VLOOKUP(B950,'inumos depara'!$A:$B,2,0)</f>
        <v>16298936</v>
      </c>
      <c r="F950" s="1" t="str">
        <f t="shared" si="28"/>
        <v>1.00498293885067</v>
      </c>
      <c r="G950" t="str">
        <f t="shared" si="29"/>
        <v>16598564,16298936,1.00498293885067</v>
      </c>
    </row>
    <row r="951" spans="1:7" x14ac:dyDescent="0.25">
      <c r="A951" s="1" t="s">
        <v>440</v>
      </c>
      <c r="B951" s="1" t="s">
        <v>206</v>
      </c>
      <c r="C951" s="1" t="s">
        <v>207</v>
      </c>
      <c r="D951">
        <f>IFERROR(VLOOKUP(A951,depara!A:B,2,0),A951)</f>
        <v>16598564</v>
      </c>
      <c r="E951">
        <f>VLOOKUP(B951,'inumos depara'!$A:$B,2,0)</f>
        <v>16298803</v>
      </c>
      <c r="F951" s="1" t="str">
        <f t="shared" si="28"/>
        <v>0.0833559009911715</v>
      </c>
      <c r="G951" t="str">
        <f t="shared" si="29"/>
        <v>16598564,16298803,0.0833559009911715</v>
      </c>
    </row>
    <row r="952" spans="1:7" x14ac:dyDescent="0.25">
      <c r="A952" s="1" t="s">
        <v>440</v>
      </c>
      <c r="B952" s="1" t="s">
        <v>1436</v>
      </c>
      <c r="C952" s="1" t="s">
        <v>1150</v>
      </c>
      <c r="D952">
        <f>IFERROR(VLOOKUP(A952,depara!A:B,2,0),A952)</f>
        <v>16598564</v>
      </c>
      <c r="E952">
        <f>VLOOKUP(B952,'inumos depara'!$A:$B,2,0)</f>
        <v>16298804</v>
      </c>
      <c r="F952" s="1" t="str">
        <f t="shared" si="28"/>
        <v>1</v>
      </c>
      <c r="G952" t="str">
        <f t="shared" si="29"/>
        <v>16598564,16298804,1</v>
      </c>
    </row>
    <row r="953" spans="1:7" x14ac:dyDescent="0.25">
      <c r="A953" s="1" t="s">
        <v>95</v>
      </c>
      <c r="B953" s="1" t="s">
        <v>1185</v>
      </c>
      <c r="C953" s="1" t="s">
        <v>82</v>
      </c>
      <c r="D953" t="str">
        <f>IFERROR(VLOOKUP(A953,depara!A:B,2,0),A953)</f>
        <v>P0001035</v>
      </c>
      <c r="E953">
        <f>VLOOKUP(B953,'inumos depara'!$A:$B,2,0)</f>
        <v>16298591</v>
      </c>
      <c r="F953" s="1" t="str">
        <f t="shared" si="28"/>
        <v>0.0005</v>
      </c>
      <c r="G953" t="str">
        <f t="shared" si="29"/>
        <v>P0001035,16298591,0.0005</v>
      </c>
    </row>
    <row r="954" spans="1:7" x14ac:dyDescent="0.25">
      <c r="A954" s="1" t="s">
        <v>95</v>
      </c>
      <c r="B954" s="1" t="s">
        <v>1199</v>
      </c>
      <c r="C954" s="1" t="s">
        <v>1</v>
      </c>
      <c r="D954" t="str">
        <f>IFERROR(VLOOKUP(A954,depara!A:B,2,0),A954)</f>
        <v>P0001035</v>
      </c>
      <c r="E954">
        <f>VLOOKUP(B954,'inumos depara'!$A:$B,2,0)</f>
        <v>16298604</v>
      </c>
      <c r="F954" s="1" t="str">
        <f t="shared" si="28"/>
        <v>0.003</v>
      </c>
      <c r="G954" t="str">
        <f t="shared" si="29"/>
        <v>P0001035,16298604,0.003</v>
      </c>
    </row>
    <row r="955" spans="1:7" x14ac:dyDescent="0.25">
      <c r="A955" s="1" t="s">
        <v>95</v>
      </c>
      <c r="B955" s="1" t="s">
        <v>444</v>
      </c>
      <c r="C955" s="1" t="s">
        <v>64</v>
      </c>
      <c r="D955" t="str">
        <f>IFERROR(VLOOKUP(A955,depara!A:B,2,0),A955)</f>
        <v>P0001035</v>
      </c>
      <c r="E955">
        <f>VLOOKUP(B955,'inumos depara'!$A:$B,2,0)</f>
        <v>16298937</v>
      </c>
      <c r="F955" s="1" t="str">
        <f t="shared" si="28"/>
        <v>0.02</v>
      </c>
      <c r="G955" t="str">
        <f t="shared" si="29"/>
        <v>P0001035,16298937,0.02</v>
      </c>
    </row>
    <row r="956" spans="1:7" x14ac:dyDescent="0.25">
      <c r="A956" s="1" t="s">
        <v>95</v>
      </c>
      <c r="B956" s="1" t="s">
        <v>1195</v>
      </c>
      <c r="C956" s="1" t="s">
        <v>445</v>
      </c>
      <c r="D956" t="str">
        <f>IFERROR(VLOOKUP(A956,depara!A:B,2,0),A956)</f>
        <v>P0001035</v>
      </c>
      <c r="E956">
        <f>VLOOKUP(B956,'inumos depara'!$A:$B,2,0)</f>
        <v>16298601</v>
      </c>
      <c r="F956" s="1" t="str">
        <f t="shared" si="28"/>
        <v>0.3</v>
      </c>
      <c r="G956" t="str">
        <f t="shared" si="29"/>
        <v>P0001035,16298601,0.3</v>
      </c>
    </row>
    <row r="957" spans="1:7" x14ac:dyDescent="0.25">
      <c r="A957" s="1" t="s">
        <v>95</v>
      </c>
      <c r="B957" s="1" t="s">
        <v>1180</v>
      </c>
      <c r="C957" s="1" t="s">
        <v>76</v>
      </c>
      <c r="D957" t="str">
        <f>IFERROR(VLOOKUP(A957,depara!A:B,2,0),A957)</f>
        <v>P0001035</v>
      </c>
      <c r="E957">
        <f>VLOOKUP(B957,'inumos depara'!$A:$B,2,0)</f>
        <v>16298588</v>
      </c>
      <c r="F957" s="1" t="str">
        <f t="shared" si="28"/>
        <v>0.03</v>
      </c>
      <c r="G957" t="str">
        <f t="shared" si="29"/>
        <v>P0001035,16298588,0.03</v>
      </c>
    </row>
    <row r="958" spans="1:7" x14ac:dyDescent="0.25">
      <c r="A958" s="1" t="s">
        <v>95</v>
      </c>
      <c r="B958" s="1" t="s">
        <v>1194</v>
      </c>
      <c r="C958" s="1" t="s">
        <v>76</v>
      </c>
      <c r="D958" t="str">
        <f>IFERROR(VLOOKUP(A958,depara!A:B,2,0),A958)</f>
        <v>P0001035</v>
      </c>
      <c r="E958">
        <f>VLOOKUP(B958,'inumos depara'!$A:$B,2,0)</f>
        <v>16298600</v>
      </c>
      <c r="F958" s="1" t="str">
        <f t="shared" si="28"/>
        <v>0.03</v>
      </c>
      <c r="G958" t="str">
        <f t="shared" si="29"/>
        <v>P0001035,16298600,0.03</v>
      </c>
    </row>
    <row r="959" spans="1:7" x14ac:dyDescent="0.25">
      <c r="A959" s="1" t="s">
        <v>95</v>
      </c>
      <c r="B959" s="1" t="s">
        <v>1194</v>
      </c>
      <c r="C959" s="1" t="s">
        <v>4</v>
      </c>
      <c r="D959" t="str">
        <f>IFERROR(VLOOKUP(A959,depara!A:B,2,0),A959)</f>
        <v>P0001035</v>
      </c>
      <c r="E959">
        <f>VLOOKUP(B959,'inumos depara'!$A:$B,2,0)</f>
        <v>16298600</v>
      </c>
      <c r="F959" s="1" t="str">
        <f t="shared" si="28"/>
        <v>0.005</v>
      </c>
      <c r="G959" t="str">
        <f t="shared" si="29"/>
        <v>P0001035,16298600,0.005</v>
      </c>
    </row>
    <row r="960" spans="1:7" x14ac:dyDescent="0.25">
      <c r="A960" s="1" t="s">
        <v>95</v>
      </c>
      <c r="B960" s="1" t="s">
        <v>1192</v>
      </c>
      <c r="C960" s="1" t="s">
        <v>64</v>
      </c>
      <c r="D960" t="str">
        <f>IFERROR(VLOOKUP(A960,depara!A:B,2,0),A960)</f>
        <v>P0001035</v>
      </c>
      <c r="E960">
        <f>VLOOKUP(B960,'inumos depara'!$A:$B,2,0)</f>
        <v>16298598</v>
      </c>
      <c r="F960" s="1" t="str">
        <f t="shared" si="28"/>
        <v>0.02</v>
      </c>
      <c r="G960" t="str">
        <f t="shared" si="29"/>
        <v>P0001035,16298598,0.02</v>
      </c>
    </row>
    <row r="961" spans="1:7" x14ac:dyDescent="0.25">
      <c r="A961" s="1" t="s">
        <v>95</v>
      </c>
      <c r="B961" s="1" t="s">
        <v>1187</v>
      </c>
      <c r="C961" s="1" t="s">
        <v>6</v>
      </c>
      <c r="D961" t="str">
        <f>IFERROR(VLOOKUP(A961,depara!A:B,2,0),A961)</f>
        <v>P0001035</v>
      </c>
      <c r="E961">
        <f>VLOOKUP(B961,'inumos depara'!$A:$B,2,0)</f>
        <v>16298593</v>
      </c>
      <c r="F961" s="1" t="str">
        <f t="shared" si="28"/>
        <v>0.01</v>
      </c>
      <c r="G961" t="str">
        <f t="shared" si="29"/>
        <v>P0001035,16298593,0.01</v>
      </c>
    </row>
    <row r="962" spans="1:7" x14ac:dyDescent="0.25">
      <c r="A962" s="1" t="s">
        <v>95</v>
      </c>
      <c r="B962" s="1" t="s">
        <v>1222</v>
      </c>
      <c r="C962" s="1" t="s">
        <v>446</v>
      </c>
      <c r="D962" t="str">
        <f>IFERROR(VLOOKUP(A962,depara!A:B,2,0),A962)</f>
        <v>P0001035</v>
      </c>
      <c r="E962">
        <f>VLOOKUP(B962,'inumos depara'!$A:$B,2,0)</f>
        <v>16298627</v>
      </c>
      <c r="F962" s="1" t="str">
        <f t="shared" ref="F962:F1025" si="30">C962</f>
        <v>0.0003</v>
      </c>
      <c r="G962" t="str">
        <f t="shared" ref="G962:G1025" si="31">D962&amp;","&amp;E962&amp;","&amp;F962</f>
        <v>P0001035,16298627,0.0003</v>
      </c>
    </row>
    <row r="963" spans="1:7" x14ac:dyDescent="0.25">
      <c r="A963" s="1" t="s">
        <v>95</v>
      </c>
      <c r="B963" s="1" t="s">
        <v>1189</v>
      </c>
      <c r="C963" s="1" t="s">
        <v>426</v>
      </c>
      <c r="D963" t="str">
        <f>IFERROR(VLOOKUP(A963,depara!A:B,2,0),A963)</f>
        <v>P0001035</v>
      </c>
      <c r="E963">
        <f>VLOOKUP(B963,'inumos depara'!$A:$B,2,0)</f>
        <v>16298595</v>
      </c>
      <c r="F963" s="1" t="str">
        <f t="shared" si="30"/>
        <v>0.006</v>
      </c>
      <c r="G963" t="str">
        <f t="shared" si="31"/>
        <v>P0001035,16298595,0.006</v>
      </c>
    </row>
    <row r="964" spans="1:7" x14ac:dyDescent="0.25">
      <c r="A964" s="1" t="s">
        <v>95</v>
      </c>
      <c r="B964" s="1" t="s">
        <v>1216</v>
      </c>
      <c r="C964" s="1" t="s">
        <v>68</v>
      </c>
      <c r="D964" t="str">
        <f>IFERROR(VLOOKUP(A964,depara!A:B,2,0),A964)</f>
        <v>P0001035</v>
      </c>
      <c r="E964">
        <f>VLOOKUP(B964,'inumos depara'!$A:$B,2,0)</f>
        <v>16298621</v>
      </c>
      <c r="F964" s="1" t="str">
        <f t="shared" si="30"/>
        <v>0.004</v>
      </c>
      <c r="G964" t="str">
        <f t="shared" si="31"/>
        <v>P0001035,16298621,0.004</v>
      </c>
    </row>
    <row r="965" spans="1:7" x14ac:dyDescent="0.25">
      <c r="A965" s="1" t="s">
        <v>95</v>
      </c>
      <c r="B965" s="1" t="s">
        <v>1212</v>
      </c>
      <c r="C965" s="1" t="s">
        <v>5</v>
      </c>
      <c r="D965" t="str">
        <f>IFERROR(VLOOKUP(A965,depara!A:B,2,0),A965)</f>
        <v>P0001035</v>
      </c>
      <c r="E965">
        <f>VLOOKUP(B965,'inumos depara'!$A:$B,2,0)</f>
        <v>16298617</v>
      </c>
      <c r="F965" s="1" t="str">
        <f t="shared" si="30"/>
        <v>0.002</v>
      </c>
      <c r="G965" t="str">
        <f t="shared" si="31"/>
        <v>P0001035,16298617,0.002</v>
      </c>
    </row>
    <row r="966" spans="1:7" x14ac:dyDescent="0.25">
      <c r="A966" s="1" t="s">
        <v>95</v>
      </c>
      <c r="B966" s="1" t="s">
        <v>1309</v>
      </c>
      <c r="C966" s="1" t="s">
        <v>5</v>
      </c>
      <c r="D966" t="str">
        <f>IFERROR(VLOOKUP(A966,depara!A:B,2,0),A966)</f>
        <v>P0001035</v>
      </c>
      <c r="E966">
        <f>VLOOKUP(B966,'inumos depara'!$A:$B,2,0)</f>
        <v>16298709</v>
      </c>
      <c r="F966" s="1" t="str">
        <f t="shared" si="30"/>
        <v>0.002</v>
      </c>
      <c r="G966" t="str">
        <f t="shared" si="31"/>
        <v>P0001035,16298709,0.002</v>
      </c>
    </row>
    <row r="967" spans="1:7" x14ac:dyDescent="0.25">
      <c r="A967" s="1" t="s">
        <v>95</v>
      </c>
      <c r="B967" s="1" t="s">
        <v>1215</v>
      </c>
      <c r="C967" s="1" t="s">
        <v>1</v>
      </c>
      <c r="D967" t="str">
        <f>IFERROR(VLOOKUP(A967,depara!A:B,2,0),A967)</f>
        <v>P0001035</v>
      </c>
      <c r="E967">
        <f>VLOOKUP(B967,'inumos depara'!$A:$B,2,0)</f>
        <v>16298620</v>
      </c>
      <c r="F967" s="1" t="str">
        <f t="shared" si="30"/>
        <v>0.003</v>
      </c>
      <c r="G967" t="str">
        <f t="shared" si="31"/>
        <v>P0001035,16298620,0.003</v>
      </c>
    </row>
    <row r="968" spans="1:7" x14ac:dyDescent="0.25">
      <c r="A968" s="1" t="s">
        <v>272</v>
      </c>
      <c r="B968" s="1" t="s">
        <v>1152</v>
      </c>
      <c r="C968" s="1" t="s">
        <v>5</v>
      </c>
      <c r="D968" t="str">
        <f>IFERROR(VLOOKUP(A968,depara!A:B,2,0),A968)</f>
        <v>P0001036</v>
      </c>
      <c r="E968">
        <f>VLOOKUP(B968,'inumos depara'!$A:$B,2,0)</f>
        <v>16298563</v>
      </c>
      <c r="F968" s="1" t="str">
        <f t="shared" si="30"/>
        <v>0.002</v>
      </c>
      <c r="G968" t="str">
        <f t="shared" si="31"/>
        <v>P0001036,16298563,0.002</v>
      </c>
    </row>
    <row r="969" spans="1:7" x14ac:dyDescent="0.25">
      <c r="A969" s="1" t="s">
        <v>272</v>
      </c>
      <c r="B969" s="1" t="s">
        <v>1185</v>
      </c>
      <c r="C969" s="1" t="s">
        <v>82</v>
      </c>
      <c r="D969" t="str">
        <f>IFERROR(VLOOKUP(A969,depara!A:B,2,0),A969)</f>
        <v>P0001036</v>
      </c>
      <c r="E969">
        <f>VLOOKUP(B969,'inumos depara'!$A:$B,2,0)</f>
        <v>16298591</v>
      </c>
      <c r="F969" s="1" t="str">
        <f t="shared" si="30"/>
        <v>0.0005</v>
      </c>
      <c r="G969" t="str">
        <f t="shared" si="31"/>
        <v>P0001036,16298591,0.0005</v>
      </c>
    </row>
    <row r="970" spans="1:7" x14ac:dyDescent="0.25">
      <c r="A970" s="1" t="s">
        <v>272</v>
      </c>
      <c r="B970" s="1" t="s">
        <v>1181</v>
      </c>
      <c r="C970" s="1" t="s">
        <v>447</v>
      </c>
      <c r="D970" t="str">
        <f>IFERROR(VLOOKUP(A970,depara!A:B,2,0),A970)</f>
        <v>P0001036</v>
      </c>
      <c r="E970">
        <f>VLOOKUP(B970,'inumos depara'!$A:$B,2,0)</f>
        <v>16298589</v>
      </c>
      <c r="F970" s="1" t="str">
        <f t="shared" si="30"/>
        <v>0.00000032</v>
      </c>
      <c r="G970" t="str">
        <f t="shared" si="31"/>
        <v>P0001036,16298589,0.00000032</v>
      </c>
    </row>
    <row r="971" spans="1:7" x14ac:dyDescent="0.25">
      <c r="A971" s="1" t="s">
        <v>272</v>
      </c>
      <c r="B971" s="1" t="s">
        <v>1183</v>
      </c>
      <c r="C971" s="1" t="s">
        <v>448</v>
      </c>
      <c r="D971" t="str">
        <f>IFERROR(VLOOKUP(A971,depara!A:B,2,0),A971)</f>
        <v>P0001036</v>
      </c>
      <c r="E971">
        <f>VLOOKUP(B971,'inumos depara'!$A:$B,2,0)</f>
        <v>16298590</v>
      </c>
      <c r="F971" s="1" t="str">
        <f t="shared" si="30"/>
        <v>0.00000675</v>
      </c>
      <c r="G971" t="str">
        <f t="shared" si="31"/>
        <v>P0001036,16298590,0.00000675</v>
      </c>
    </row>
    <row r="972" spans="1:7" x14ac:dyDescent="0.25">
      <c r="A972" s="1" t="s">
        <v>272</v>
      </c>
      <c r="B972" s="1" t="s">
        <v>1187</v>
      </c>
      <c r="C972" s="1" t="s">
        <v>64</v>
      </c>
      <c r="D972" t="str">
        <f>IFERROR(VLOOKUP(A972,depara!A:B,2,0),A972)</f>
        <v>P0001036</v>
      </c>
      <c r="E972">
        <f>VLOOKUP(B972,'inumos depara'!$A:$B,2,0)</f>
        <v>16298593</v>
      </c>
      <c r="F972" s="1" t="str">
        <f t="shared" si="30"/>
        <v>0.02</v>
      </c>
      <c r="G972" t="str">
        <f t="shared" si="31"/>
        <v>P0001036,16298593,0.02</v>
      </c>
    </row>
    <row r="973" spans="1:7" x14ac:dyDescent="0.25">
      <c r="A973" s="1" t="s">
        <v>272</v>
      </c>
      <c r="B973" s="1" t="s">
        <v>1195</v>
      </c>
      <c r="C973" s="1" t="s">
        <v>445</v>
      </c>
      <c r="D973" t="str">
        <f>IFERROR(VLOOKUP(A973,depara!A:B,2,0),A973)</f>
        <v>P0001036</v>
      </c>
      <c r="E973">
        <f>VLOOKUP(B973,'inumos depara'!$A:$B,2,0)</f>
        <v>16298601</v>
      </c>
      <c r="F973" s="1" t="str">
        <f t="shared" si="30"/>
        <v>0.3</v>
      </c>
      <c r="G973" t="str">
        <f t="shared" si="31"/>
        <v>P0001036,16298601,0.3</v>
      </c>
    </row>
    <row r="974" spans="1:7" x14ac:dyDescent="0.25">
      <c r="A974" s="1" t="s">
        <v>272</v>
      </c>
      <c r="B974" s="1" t="s">
        <v>1192</v>
      </c>
      <c r="C974" s="1" t="s">
        <v>64</v>
      </c>
      <c r="D974" t="str">
        <f>IFERROR(VLOOKUP(A974,depara!A:B,2,0),A974)</f>
        <v>P0001036</v>
      </c>
      <c r="E974">
        <f>VLOOKUP(B974,'inumos depara'!$A:$B,2,0)</f>
        <v>16298598</v>
      </c>
      <c r="F974" s="1" t="str">
        <f t="shared" si="30"/>
        <v>0.02</v>
      </c>
      <c r="G974" t="str">
        <f t="shared" si="31"/>
        <v>P0001036,16298598,0.02</v>
      </c>
    </row>
    <row r="975" spans="1:7" x14ac:dyDescent="0.25">
      <c r="A975" s="1" t="s">
        <v>272</v>
      </c>
      <c r="B975" s="1" t="s">
        <v>1180</v>
      </c>
      <c r="C975" s="1" t="s">
        <v>76</v>
      </c>
      <c r="D975" t="str">
        <f>IFERROR(VLOOKUP(A975,depara!A:B,2,0),A975)</f>
        <v>P0001036</v>
      </c>
      <c r="E975">
        <f>VLOOKUP(B975,'inumos depara'!$A:$B,2,0)</f>
        <v>16298588</v>
      </c>
      <c r="F975" s="1" t="str">
        <f t="shared" si="30"/>
        <v>0.03</v>
      </c>
      <c r="G975" t="str">
        <f t="shared" si="31"/>
        <v>P0001036,16298588,0.03</v>
      </c>
    </row>
    <row r="976" spans="1:7" x14ac:dyDescent="0.25">
      <c r="A976" s="1" t="s">
        <v>272</v>
      </c>
      <c r="B976" s="1" t="s">
        <v>1189</v>
      </c>
      <c r="C976" s="1" t="s">
        <v>320</v>
      </c>
      <c r="D976" t="str">
        <f>IFERROR(VLOOKUP(A976,depara!A:B,2,0),A976)</f>
        <v>P0001036</v>
      </c>
      <c r="E976">
        <f>VLOOKUP(B976,'inumos depara'!$A:$B,2,0)</f>
        <v>16298595</v>
      </c>
      <c r="F976" s="1" t="str">
        <f t="shared" si="30"/>
        <v>0.0009</v>
      </c>
      <c r="G976" t="str">
        <f t="shared" si="31"/>
        <v>P0001036,16298595,0.0009</v>
      </c>
    </row>
    <row r="977" spans="1:7" x14ac:dyDescent="0.25">
      <c r="A977" s="1" t="s">
        <v>272</v>
      </c>
      <c r="B977" s="1" t="s">
        <v>1190</v>
      </c>
      <c r="C977" s="1" t="s">
        <v>6</v>
      </c>
      <c r="D977" t="str">
        <f>IFERROR(VLOOKUP(A977,depara!A:B,2,0),A977)</f>
        <v>P0001036</v>
      </c>
      <c r="E977">
        <f>VLOOKUP(B977,'inumos depara'!$A:$B,2,0)</f>
        <v>16298596</v>
      </c>
      <c r="F977" s="1" t="str">
        <f t="shared" si="30"/>
        <v>0.01</v>
      </c>
      <c r="G977" t="str">
        <f t="shared" si="31"/>
        <v>P0001036,16298596,0.01</v>
      </c>
    </row>
    <row r="978" spans="1:7" x14ac:dyDescent="0.25">
      <c r="A978" s="1" t="s">
        <v>272</v>
      </c>
      <c r="B978" s="1" t="s">
        <v>1179</v>
      </c>
      <c r="C978" s="1" t="s">
        <v>6</v>
      </c>
      <c r="D978" t="str">
        <f>IFERROR(VLOOKUP(A978,depara!A:B,2,0),A978)</f>
        <v>P0001036</v>
      </c>
      <c r="E978">
        <f>VLOOKUP(B978,'inumos depara'!$A:$B,2,0)</f>
        <v>16298587</v>
      </c>
      <c r="F978" s="1" t="str">
        <f t="shared" si="30"/>
        <v>0.01</v>
      </c>
      <c r="G978" t="str">
        <f t="shared" si="31"/>
        <v>P0001036,16298587,0.01</v>
      </c>
    </row>
    <row r="979" spans="1:7" x14ac:dyDescent="0.25">
      <c r="A979" s="1" t="s">
        <v>272</v>
      </c>
      <c r="B979" s="1" t="s">
        <v>1194</v>
      </c>
      <c r="C979" s="1" t="s">
        <v>7</v>
      </c>
      <c r="D979" t="str">
        <f>IFERROR(VLOOKUP(A979,depara!A:B,2,0),A979)</f>
        <v>P0001036</v>
      </c>
      <c r="E979">
        <f>VLOOKUP(B979,'inumos depara'!$A:$B,2,0)</f>
        <v>16298600</v>
      </c>
      <c r="F979" s="1" t="str">
        <f t="shared" si="30"/>
        <v>0.025</v>
      </c>
      <c r="G979" t="str">
        <f t="shared" si="31"/>
        <v>P0001036,16298600,0.025</v>
      </c>
    </row>
    <row r="980" spans="1:7" x14ac:dyDescent="0.25">
      <c r="A980" s="1" t="s">
        <v>272</v>
      </c>
      <c r="B980" s="1" t="s">
        <v>1186</v>
      </c>
      <c r="C980" s="1" t="s">
        <v>5</v>
      </c>
      <c r="D980" t="str">
        <f>IFERROR(VLOOKUP(A980,depara!A:B,2,0),A980)</f>
        <v>P0001036</v>
      </c>
      <c r="E980">
        <f>VLOOKUP(B980,'inumos depara'!$A:$B,2,0)</f>
        <v>16298592</v>
      </c>
      <c r="F980" s="1" t="str">
        <f t="shared" si="30"/>
        <v>0.002</v>
      </c>
      <c r="G980" t="str">
        <f t="shared" si="31"/>
        <v>P0001036,16298592,0.002</v>
      </c>
    </row>
    <row r="981" spans="1:7" x14ac:dyDescent="0.25">
      <c r="A981" s="1" t="s">
        <v>272</v>
      </c>
      <c r="B981" s="1" t="s">
        <v>1193</v>
      </c>
      <c r="C981" s="1" t="s">
        <v>4</v>
      </c>
      <c r="D981" t="str">
        <f>IFERROR(VLOOKUP(A981,depara!A:B,2,0),A981)</f>
        <v>P0001036</v>
      </c>
      <c r="E981">
        <f>VLOOKUP(B981,'inumos depara'!$A:$B,2,0)</f>
        <v>16298599</v>
      </c>
      <c r="F981" s="1" t="str">
        <f t="shared" si="30"/>
        <v>0.005</v>
      </c>
      <c r="G981" t="str">
        <f t="shared" si="31"/>
        <v>P0001036,16298599,0.005</v>
      </c>
    </row>
    <row r="982" spans="1:7" x14ac:dyDescent="0.25">
      <c r="A982" s="1" t="s">
        <v>272</v>
      </c>
      <c r="B982" s="1" t="s">
        <v>1188</v>
      </c>
      <c r="C982" s="1" t="s">
        <v>76</v>
      </c>
      <c r="D982" t="str">
        <f>IFERROR(VLOOKUP(A982,depara!A:B,2,0),A982)</f>
        <v>P0001036</v>
      </c>
      <c r="E982">
        <f>VLOOKUP(B982,'inumos depara'!$A:$B,2,0)</f>
        <v>16298594</v>
      </c>
      <c r="F982" s="1" t="str">
        <f t="shared" si="30"/>
        <v>0.03</v>
      </c>
      <c r="G982" t="str">
        <f t="shared" si="31"/>
        <v>P0001036,16298594,0.03</v>
      </c>
    </row>
    <row r="983" spans="1:7" x14ac:dyDescent="0.25">
      <c r="A983" s="1" t="s">
        <v>272</v>
      </c>
      <c r="B983" s="1" t="s">
        <v>1165</v>
      </c>
      <c r="C983" s="1" t="s">
        <v>0</v>
      </c>
      <c r="D983" t="str">
        <f>IFERROR(VLOOKUP(A983,depara!A:B,2,0),A983)</f>
        <v>P0001036</v>
      </c>
      <c r="E983">
        <f>VLOOKUP(B983,'inumos depara'!$A:$B,2,0)</f>
        <v>16298574</v>
      </c>
      <c r="F983" s="1" t="str">
        <f t="shared" si="30"/>
        <v>0.05</v>
      </c>
      <c r="G983" t="str">
        <f t="shared" si="31"/>
        <v>P0001036,16298574,0.05</v>
      </c>
    </row>
    <row r="984" spans="1:7" x14ac:dyDescent="0.25">
      <c r="A984" s="1" t="s">
        <v>193</v>
      </c>
      <c r="B984" s="1" t="s">
        <v>1197</v>
      </c>
      <c r="C984" s="1" t="s">
        <v>5</v>
      </c>
      <c r="D984" t="str">
        <f>IFERROR(VLOOKUP(A984,depara!A:B,2,0),A984)</f>
        <v>P0001037</v>
      </c>
      <c r="E984">
        <f>VLOOKUP(B984,'inumos depara'!$A:$B,2,0)</f>
        <v>16298602</v>
      </c>
      <c r="F984" s="1" t="str">
        <f t="shared" si="30"/>
        <v>0.002</v>
      </c>
      <c r="G984" t="str">
        <f t="shared" si="31"/>
        <v>P0001037,16298602,0.002</v>
      </c>
    </row>
    <row r="985" spans="1:7" x14ac:dyDescent="0.25">
      <c r="A985" s="1" t="s">
        <v>193</v>
      </c>
      <c r="B985" s="1" t="s">
        <v>1198</v>
      </c>
      <c r="C985" s="1" t="s">
        <v>449</v>
      </c>
      <c r="D985" t="str">
        <f>IFERROR(VLOOKUP(A985,depara!A:B,2,0),A985)</f>
        <v>P0001037</v>
      </c>
      <c r="E985">
        <f>VLOOKUP(B985,'inumos depara'!$A:$B,2,0)</f>
        <v>16298603</v>
      </c>
      <c r="F985" s="1" t="str">
        <f t="shared" si="30"/>
        <v>0.00075</v>
      </c>
      <c r="G985" t="str">
        <f t="shared" si="31"/>
        <v>P0001037,16298603,0.00075</v>
      </c>
    </row>
    <row r="986" spans="1:7" x14ac:dyDescent="0.25">
      <c r="A986" s="1" t="s">
        <v>193</v>
      </c>
      <c r="B986" s="1" t="s">
        <v>1199</v>
      </c>
      <c r="C986" s="1" t="s">
        <v>2</v>
      </c>
      <c r="D986" t="str">
        <f>IFERROR(VLOOKUP(A986,depara!A:B,2,0),A986)</f>
        <v>P0001037</v>
      </c>
      <c r="E986">
        <f>VLOOKUP(B986,'inumos depara'!$A:$B,2,0)</f>
        <v>16298604</v>
      </c>
      <c r="F986" s="1" t="str">
        <f t="shared" si="30"/>
        <v>0.0007</v>
      </c>
      <c r="G986" t="str">
        <f t="shared" si="31"/>
        <v>P0001037,16298604,0.0007</v>
      </c>
    </row>
    <row r="987" spans="1:7" x14ac:dyDescent="0.25">
      <c r="A987" s="1" t="s">
        <v>193</v>
      </c>
      <c r="B987" s="1" t="s">
        <v>1195</v>
      </c>
      <c r="C987" s="1" t="s">
        <v>450</v>
      </c>
      <c r="D987" t="str">
        <f>IFERROR(VLOOKUP(A987,depara!A:B,2,0),A987)</f>
        <v>P0001037</v>
      </c>
      <c r="E987">
        <f>VLOOKUP(B987,'inumos depara'!$A:$B,2,0)</f>
        <v>16298601</v>
      </c>
      <c r="F987" s="1" t="str">
        <f t="shared" si="30"/>
        <v>0.35</v>
      </c>
      <c r="G987" t="str">
        <f t="shared" si="31"/>
        <v>P0001037,16298601,0.35</v>
      </c>
    </row>
    <row r="988" spans="1:7" x14ac:dyDescent="0.25">
      <c r="A988" s="1" t="s">
        <v>193</v>
      </c>
      <c r="B988" s="1" t="s">
        <v>1200</v>
      </c>
      <c r="C988" s="1" t="s">
        <v>66</v>
      </c>
      <c r="D988" t="str">
        <f>IFERROR(VLOOKUP(A988,depara!A:B,2,0),A988)</f>
        <v>P0001037</v>
      </c>
      <c r="E988">
        <f>VLOOKUP(B988,'inumos depara'!$A:$B,2,0)</f>
        <v>16298605</v>
      </c>
      <c r="F988" s="1" t="str">
        <f t="shared" si="30"/>
        <v>0.07</v>
      </c>
      <c r="G988" t="str">
        <f t="shared" si="31"/>
        <v>P0001037,16298605,0.07</v>
      </c>
    </row>
    <row r="989" spans="1:7" x14ac:dyDescent="0.25">
      <c r="A989" s="1" t="s">
        <v>193</v>
      </c>
      <c r="B989" s="1" t="s">
        <v>1180</v>
      </c>
      <c r="C989" s="1" t="s">
        <v>0</v>
      </c>
      <c r="D989" t="str">
        <f>IFERROR(VLOOKUP(A989,depara!A:B,2,0),A989)</f>
        <v>P0001037</v>
      </c>
      <c r="E989">
        <f>VLOOKUP(B989,'inumos depara'!$A:$B,2,0)</f>
        <v>16298588</v>
      </c>
      <c r="F989" s="1" t="str">
        <f t="shared" si="30"/>
        <v>0.05</v>
      </c>
      <c r="G989" t="str">
        <f t="shared" si="31"/>
        <v>P0001037,16298588,0.05</v>
      </c>
    </row>
    <row r="990" spans="1:7" x14ac:dyDescent="0.25">
      <c r="A990" s="1" t="s">
        <v>193</v>
      </c>
      <c r="B990" s="1" t="s">
        <v>1201</v>
      </c>
      <c r="C990" s="1" t="s">
        <v>4</v>
      </c>
      <c r="D990" t="str">
        <f>IFERROR(VLOOKUP(A990,depara!A:B,2,0),A990)</f>
        <v>P0001037</v>
      </c>
      <c r="E990">
        <f>VLOOKUP(B990,'inumos depara'!$A:$B,2,0)</f>
        <v>16298606</v>
      </c>
      <c r="F990" s="1" t="str">
        <f t="shared" si="30"/>
        <v>0.005</v>
      </c>
      <c r="G990" t="str">
        <f t="shared" si="31"/>
        <v>P0001037,16298606,0.005</v>
      </c>
    </row>
    <row r="991" spans="1:7" x14ac:dyDescent="0.25">
      <c r="A991" s="1" t="s">
        <v>193</v>
      </c>
      <c r="B991" s="1" t="s">
        <v>1193</v>
      </c>
      <c r="C991" s="1" t="s">
        <v>88</v>
      </c>
      <c r="D991" t="str">
        <f>IFERROR(VLOOKUP(A991,depara!A:B,2,0),A991)</f>
        <v>P0001037</v>
      </c>
      <c r="E991">
        <f>VLOOKUP(B991,'inumos depara'!$A:$B,2,0)</f>
        <v>16298599</v>
      </c>
      <c r="F991" s="1" t="str">
        <f t="shared" si="30"/>
        <v>0.015</v>
      </c>
      <c r="G991" t="str">
        <f t="shared" si="31"/>
        <v>P0001037,16298599,0.015</v>
      </c>
    </row>
    <row r="992" spans="1:7" x14ac:dyDescent="0.25">
      <c r="A992" s="1" t="s">
        <v>193</v>
      </c>
      <c r="B992" s="1" t="s">
        <v>1202</v>
      </c>
      <c r="C992" s="1" t="s">
        <v>64</v>
      </c>
      <c r="D992" t="str">
        <f>IFERROR(VLOOKUP(A992,depara!A:B,2,0),A992)</f>
        <v>P0001037</v>
      </c>
      <c r="E992">
        <f>VLOOKUP(B992,'inumos depara'!$A:$B,2,0)</f>
        <v>16298607</v>
      </c>
      <c r="F992" s="1" t="str">
        <f t="shared" si="30"/>
        <v>0.02</v>
      </c>
      <c r="G992" t="str">
        <f t="shared" si="31"/>
        <v>P0001037,16298607,0.02</v>
      </c>
    </row>
    <row r="993" spans="1:7" x14ac:dyDescent="0.25">
      <c r="A993" s="1" t="s">
        <v>193</v>
      </c>
      <c r="B993" s="1" t="s">
        <v>1203</v>
      </c>
      <c r="C993" s="1" t="s">
        <v>10</v>
      </c>
      <c r="D993" t="str">
        <f>IFERROR(VLOOKUP(A993,depara!A:B,2,0),A993)</f>
        <v>P0001037</v>
      </c>
      <c r="E993">
        <f>VLOOKUP(B993,'inumos depara'!$A:$B,2,0)</f>
        <v>16298608</v>
      </c>
      <c r="F993" s="1" t="str">
        <f t="shared" si="30"/>
        <v>0.001</v>
      </c>
      <c r="G993" t="str">
        <f t="shared" si="31"/>
        <v>P0001037,16298608,0.001</v>
      </c>
    </row>
    <row r="994" spans="1:7" x14ac:dyDescent="0.25">
      <c r="A994" s="1" t="s">
        <v>193</v>
      </c>
      <c r="B994" s="1" t="s">
        <v>1204</v>
      </c>
      <c r="C994" s="1" t="s">
        <v>10</v>
      </c>
      <c r="D994" t="str">
        <f>IFERROR(VLOOKUP(A994,depara!A:B,2,0),A994)</f>
        <v>P0001037</v>
      </c>
      <c r="E994">
        <f>VLOOKUP(B994,'inumos depara'!$A:$B,2,0)</f>
        <v>16298609</v>
      </c>
      <c r="F994" s="1" t="str">
        <f t="shared" si="30"/>
        <v>0.001</v>
      </c>
      <c r="G994" t="str">
        <f t="shared" si="31"/>
        <v>P0001037,16298609,0.001</v>
      </c>
    </row>
    <row r="995" spans="1:7" x14ac:dyDescent="0.25">
      <c r="A995" s="1" t="s">
        <v>193</v>
      </c>
      <c r="B995" s="1" t="s">
        <v>1205</v>
      </c>
      <c r="C995" s="1" t="s">
        <v>1</v>
      </c>
      <c r="D995" t="str">
        <f>IFERROR(VLOOKUP(A995,depara!A:B,2,0),A995)</f>
        <v>P0001037</v>
      </c>
      <c r="E995">
        <f>VLOOKUP(B995,'inumos depara'!$A:$B,2,0)</f>
        <v>16298610</v>
      </c>
      <c r="F995" s="1" t="str">
        <f t="shared" si="30"/>
        <v>0.003</v>
      </c>
      <c r="G995" t="str">
        <f t="shared" si="31"/>
        <v>P0001037,16298610,0.003</v>
      </c>
    </row>
    <row r="996" spans="1:7" x14ac:dyDescent="0.25">
      <c r="A996" s="1" t="s">
        <v>193</v>
      </c>
      <c r="B996" s="1" t="s">
        <v>1206</v>
      </c>
      <c r="C996" s="1" t="s">
        <v>6</v>
      </c>
      <c r="D996" t="str">
        <f>IFERROR(VLOOKUP(A996,depara!A:B,2,0),A996)</f>
        <v>P0001037</v>
      </c>
      <c r="E996">
        <f>VLOOKUP(B996,'inumos depara'!$A:$B,2,0)</f>
        <v>16298611</v>
      </c>
      <c r="F996" s="1" t="str">
        <f t="shared" si="30"/>
        <v>0.01</v>
      </c>
      <c r="G996" t="str">
        <f t="shared" si="31"/>
        <v>P0001037,16298611,0.01</v>
      </c>
    </row>
    <row r="997" spans="1:7" x14ac:dyDescent="0.25">
      <c r="A997" s="1" t="s">
        <v>193</v>
      </c>
      <c r="B997" s="1" t="s">
        <v>35</v>
      </c>
      <c r="C997" s="1" t="s">
        <v>64</v>
      </c>
      <c r="D997" t="str">
        <f>IFERROR(VLOOKUP(A997,depara!A:B,2,0),A997)</f>
        <v>P0001037</v>
      </c>
      <c r="E997">
        <f>VLOOKUP(B997,'inumos depara'!$A:$B,2,0)</f>
        <v>16298612</v>
      </c>
      <c r="F997" s="1" t="str">
        <f t="shared" si="30"/>
        <v>0.02</v>
      </c>
      <c r="G997" t="str">
        <f t="shared" si="31"/>
        <v>P0001037,16298612,0.02</v>
      </c>
    </row>
    <row r="998" spans="1:7" x14ac:dyDescent="0.25">
      <c r="A998" s="1" t="s">
        <v>193</v>
      </c>
      <c r="B998" s="1" t="s">
        <v>1207</v>
      </c>
      <c r="C998" s="1" t="s">
        <v>320</v>
      </c>
      <c r="D998" t="str">
        <f>IFERROR(VLOOKUP(A998,depara!A:B,2,0),A998)</f>
        <v>P0001037</v>
      </c>
      <c r="E998">
        <f>VLOOKUP(B998,'inumos depara'!$A:$B,2,0)</f>
        <v>16298613</v>
      </c>
      <c r="F998" s="1" t="str">
        <f t="shared" si="30"/>
        <v>0.0009</v>
      </c>
      <c r="G998" t="str">
        <f t="shared" si="31"/>
        <v>P0001037,16298613,0.0009</v>
      </c>
    </row>
    <row r="999" spans="1:7" x14ac:dyDescent="0.25">
      <c r="A999" s="1" t="s">
        <v>193</v>
      </c>
      <c r="B999" s="1" t="s">
        <v>1194</v>
      </c>
      <c r="C999" s="1" t="s">
        <v>0</v>
      </c>
      <c r="D999" t="str">
        <f>IFERROR(VLOOKUP(A999,depara!A:B,2,0),A999)</f>
        <v>P0001037</v>
      </c>
      <c r="E999">
        <f>VLOOKUP(B999,'inumos depara'!$A:$B,2,0)</f>
        <v>16298600</v>
      </c>
      <c r="F999" s="1" t="str">
        <f t="shared" si="30"/>
        <v>0.05</v>
      </c>
      <c r="G999" t="str">
        <f t="shared" si="31"/>
        <v>P0001037,16298600,0.05</v>
      </c>
    </row>
    <row r="1000" spans="1:7" x14ac:dyDescent="0.25">
      <c r="A1000" s="1" t="s">
        <v>193</v>
      </c>
      <c r="B1000" s="1" t="s">
        <v>1208</v>
      </c>
      <c r="C1000" s="1" t="s">
        <v>6</v>
      </c>
      <c r="D1000" t="str">
        <f>IFERROR(VLOOKUP(A1000,depara!A:B,2,0),A1000)</f>
        <v>P0001037</v>
      </c>
      <c r="E1000">
        <f>VLOOKUP(B1000,'inumos depara'!$A:$B,2,0)</f>
        <v>16298614</v>
      </c>
      <c r="F1000" s="1" t="str">
        <f t="shared" si="30"/>
        <v>0.01</v>
      </c>
      <c r="G1000" t="str">
        <f t="shared" si="31"/>
        <v>P0001037,16298614,0.01</v>
      </c>
    </row>
    <row r="1001" spans="1:7" x14ac:dyDescent="0.25">
      <c r="A1001" s="1" t="s">
        <v>258</v>
      </c>
      <c r="B1001" s="1" t="s">
        <v>1151</v>
      </c>
      <c r="C1001" s="1" t="s">
        <v>4</v>
      </c>
      <c r="D1001" t="str">
        <f>IFERROR(VLOOKUP(A1001,depara!A:B,2,0),A1001)</f>
        <v>P0001042</v>
      </c>
      <c r="E1001">
        <f>VLOOKUP(B1001,'inumos depara'!$A:$B,2,0)</f>
        <v>16298562</v>
      </c>
      <c r="F1001" s="1" t="str">
        <f t="shared" si="30"/>
        <v>0.005</v>
      </c>
      <c r="G1001" t="str">
        <f t="shared" si="31"/>
        <v>P0001042,16298562,0.005</v>
      </c>
    </row>
    <row r="1002" spans="1:7" x14ac:dyDescent="0.25">
      <c r="A1002" s="1" t="s">
        <v>258</v>
      </c>
      <c r="B1002" s="1" t="s">
        <v>1145</v>
      </c>
      <c r="C1002" s="1" t="s">
        <v>1</v>
      </c>
      <c r="D1002" t="str">
        <f>IFERROR(VLOOKUP(A1002,depara!A:B,2,0),A1002)</f>
        <v>P0001042</v>
      </c>
      <c r="E1002">
        <f>VLOOKUP(B1002,'inumos depara'!$A:$B,2,0)</f>
        <v>16298557</v>
      </c>
      <c r="F1002" s="1" t="str">
        <f t="shared" si="30"/>
        <v>0.003</v>
      </c>
      <c r="G1002" t="str">
        <f t="shared" si="31"/>
        <v>P0001042,16298557,0.003</v>
      </c>
    </row>
    <row r="1003" spans="1:7" x14ac:dyDescent="0.25">
      <c r="A1003" s="1" t="s">
        <v>258</v>
      </c>
      <c r="B1003" s="1" t="s">
        <v>1147</v>
      </c>
      <c r="C1003" s="1" t="s">
        <v>0</v>
      </c>
      <c r="D1003" t="str">
        <f>IFERROR(VLOOKUP(A1003,depara!A:B,2,0),A1003)</f>
        <v>P0001042</v>
      </c>
      <c r="E1003">
        <f>VLOOKUP(B1003,'inumos depara'!$A:$B,2,0)</f>
        <v>16298559</v>
      </c>
      <c r="F1003" s="1" t="str">
        <f t="shared" si="30"/>
        <v>0.05</v>
      </c>
      <c r="G1003" t="str">
        <f t="shared" si="31"/>
        <v>P0001042,16298559,0.05</v>
      </c>
    </row>
    <row r="1004" spans="1:7" x14ac:dyDescent="0.25">
      <c r="A1004" s="1" t="s">
        <v>258</v>
      </c>
      <c r="B1004" s="1" t="s">
        <v>1158</v>
      </c>
      <c r="C1004" s="1" t="s">
        <v>7</v>
      </c>
      <c r="D1004" t="str">
        <f>IFERROR(VLOOKUP(A1004,depara!A:B,2,0),A1004)</f>
        <v>P0001042</v>
      </c>
      <c r="E1004">
        <f>VLOOKUP(B1004,'inumos depara'!$A:$B,2,0)</f>
        <v>16298569</v>
      </c>
      <c r="F1004" s="1" t="str">
        <f t="shared" si="30"/>
        <v>0.025</v>
      </c>
      <c r="G1004" t="str">
        <f t="shared" si="31"/>
        <v>P0001042,16298569,0.025</v>
      </c>
    </row>
    <row r="1005" spans="1:7" x14ac:dyDescent="0.25">
      <c r="A1005" s="1" t="s">
        <v>258</v>
      </c>
      <c r="B1005" s="1" t="s">
        <v>1157</v>
      </c>
      <c r="C1005" s="1" t="s">
        <v>6</v>
      </c>
      <c r="D1005" t="str">
        <f>IFERROR(VLOOKUP(A1005,depara!A:B,2,0),A1005)</f>
        <v>P0001042</v>
      </c>
      <c r="E1005">
        <f>VLOOKUP(B1005,'inumos depara'!$A:$B,2,0)</f>
        <v>16298568</v>
      </c>
      <c r="F1005" s="1" t="str">
        <f t="shared" si="30"/>
        <v>0.01</v>
      </c>
      <c r="G1005" t="str">
        <f t="shared" si="31"/>
        <v>P0001042,16298568,0.01</v>
      </c>
    </row>
    <row r="1006" spans="1:7" x14ac:dyDescent="0.25">
      <c r="A1006" s="1" t="s">
        <v>258</v>
      </c>
      <c r="B1006" s="1" t="s">
        <v>1159</v>
      </c>
      <c r="C1006" s="1" t="s">
        <v>4</v>
      </c>
      <c r="D1006" t="str">
        <f>IFERROR(VLOOKUP(A1006,depara!A:B,2,0),A1006)</f>
        <v>P0001042</v>
      </c>
      <c r="E1006">
        <f>VLOOKUP(B1006,'inumos depara'!$A:$B,2,0)</f>
        <v>16298570</v>
      </c>
      <c r="F1006" s="1" t="str">
        <f t="shared" si="30"/>
        <v>0.005</v>
      </c>
      <c r="G1006" t="str">
        <f t="shared" si="31"/>
        <v>P0001042,16298570,0.005</v>
      </c>
    </row>
    <row r="1007" spans="1:7" x14ac:dyDescent="0.25">
      <c r="A1007" s="1" t="s">
        <v>258</v>
      </c>
      <c r="B1007" s="1" t="s">
        <v>1148</v>
      </c>
      <c r="C1007" s="1" t="s">
        <v>3</v>
      </c>
      <c r="D1007" t="str">
        <f>IFERROR(VLOOKUP(A1007,depara!A:B,2,0),A1007)</f>
        <v>P0001042</v>
      </c>
      <c r="E1007">
        <f>VLOOKUP(B1007,'inumos depara'!$A:$B,2,0)</f>
        <v>16298560</v>
      </c>
      <c r="F1007" s="1" t="str">
        <f t="shared" si="30"/>
        <v>0.055</v>
      </c>
      <c r="G1007" t="str">
        <f t="shared" si="31"/>
        <v>P0001042,16298560,0.055</v>
      </c>
    </row>
    <row r="1008" spans="1:7" x14ac:dyDescent="0.25">
      <c r="A1008" s="1" t="s">
        <v>258</v>
      </c>
      <c r="B1008" s="1" t="s">
        <v>1160</v>
      </c>
      <c r="C1008" s="1" t="s">
        <v>8</v>
      </c>
      <c r="D1008" t="str">
        <f>IFERROR(VLOOKUP(A1008,depara!A:B,2,0),A1008)</f>
        <v>P0001042</v>
      </c>
      <c r="E1008">
        <f>VLOOKUP(B1008,'inumos depara'!$A:$B,2,0)</f>
        <v>16298571</v>
      </c>
      <c r="F1008" s="1" t="str">
        <f t="shared" si="30"/>
        <v>0.06</v>
      </c>
      <c r="G1008" t="str">
        <f t="shared" si="31"/>
        <v>P0001042,16298571,0.06</v>
      </c>
    </row>
    <row r="1009" spans="1:7" x14ac:dyDescent="0.25">
      <c r="A1009" s="1" t="s">
        <v>258</v>
      </c>
      <c r="B1009" s="1" t="s">
        <v>1161</v>
      </c>
      <c r="C1009" s="1" t="s">
        <v>8</v>
      </c>
      <c r="D1009" t="str">
        <f>IFERROR(VLOOKUP(A1009,depara!A:B,2,0),A1009)</f>
        <v>P0001042</v>
      </c>
      <c r="E1009">
        <f>VLOOKUP(B1009,'inumos depara'!$A:$B,2,0)</f>
        <v>16298572</v>
      </c>
      <c r="F1009" s="1" t="str">
        <f t="shared" si="30"/>
        <v>0.06</v>
      </c>
      <c r="G1009" t="str">
        <f t="shared" si="31"/>
        <v>P0001042,16298572,0.06</v>
      </c>
    </row>
    <row r="1010" spans="1:7" x14ac:dyDescent="0.25">
      <c r="A1010" s="1" t="s">
        <v>258</v>
      </c>
      <c r="B1010" s="1" t="s">
        <v>1144</v>
      </c>
      <c r="C1010" s="1" t="s">
        <v>0</v>
      </c>
      <c r="D1010" t="str">
        <f>IFERROR(VLOOKUP(A1010,depara!A:B,2,0),A1010)</f>
        <v>P0001042</v>
      </c>
      <c r="E1010">
        <f>VLOOKUP(B1010,'inumos depara'!$A:$B,2,0)</f>
        <v>16298556</v>
      </c>
      <c r="F1010" s="1" t="str">
        <f t="shared" si="30"/>
        <v>0.05</v>
      </c>
      <c r="G1010" t="str">
        <f t="shared" si="31"/>
        <v>P0001042,16298556,0.05</v>
      </c>
    </row>
    <row r="1011" spans="1:7" x14ac:dyDescent="0.25">
      <c r="A1011" s="1" t="s">
        <v>258</v>
      </c>
      <c r="B1011" s="1" t="s">
        <v>1156</v>
      </c>
      <c r="C1011" s="1" t="s">
        <v>4</v>
      </c>
      <c r="D1011" t="str">
        <f>IFERROR(VLOOKUP(A1011,depara!A:B,2,0),A1011)</f>
        <v>P0001042</v>
      </c>
      <c r="E1011">
        <f>VLOOKUP(B1011,'inumos depara'!$A:$B,2,0)</f>
        <v>16298567</v>
      </c>
      <c r="F1011" s="1" t="str">
        <f t="shared" si="30"/>
        <v>0.005</v>
      </c>
      <c r="G1011" t="str">
        <f t="shared" si="31"/>
        <v>P0001042,16298567,0.005</v>
      </c>
    </row>
    <row r="1012" spans="1:7" x14ac:dyDescent="0.25">
      <c r="A1012" s="1" t="s">
        <v>258</v>
      </c>
      <c r="B1012" s="1" t="s">
        <v>1152</v>
      </c>
      <c r="C1012" s="1" t="s">
        <v>1</v>
      </c>
      <c r="D1012" t="str">
        <f>IFERROR(VLOOKUP(A1012,depara!A:B,2,0),A1012)</f>
        <v>P0001042</v>
      </c>
      <c r="E1012">
        <f>VLOOKUP(B1012,'inumos depara'!$A:$B,2,0)</f>
        <v>16298563</v>
      </c>
      <c r="F1012" s="1" t="str">
        <f t="shared" si="30"/>
        <v>0.003</v>
      </c>
      <c r="G1012" t="str">
        <f t="shared" si="31"/>
        <v>P0001042,16298563,0.003</v>
      </c>
    </row>
    <row r="1013" spans="1:7" x14ac:dyDescent="0.25">
      <c r="A1013" s="1" t="s">
        <v>258</v>
      </c>
      <c r="B1013" s="1" t="s">
        <v>1153</v>
      </c>
      <c r="C1013" s="1" t="s">
        <v>1</v>
      </c>
      <c r="D1013" t="str">
        <f>IFERROR(VLOOKUP(A1013,depara!A:B,2,0),A1013)</f>
        <v>P0001042</v>
      </c>
      <c r="E1013">
        <f>VLOOKUP(B1013,'inumos depara'!$A:$B,2,0)</f>
        <v>16298564</v>
      </c>
      <c r="F1013" s="1" t="str">
        <f t="shared" si="30"/>
        <v>0.003</v>
      </c>
      <c r="G1013" t="str">
        <f t="shared" si="31"/>
        <v>P0001042,16298564,0.003</v>
      </c>
    </row>
    <row r="1014" spans="1:7" x14ac:dyDescent="0.25">
      <c r="A1014" s="1" t="s">
        <v>258</v>
      </c>
      <c r="B1014" s="1" t="s">
        <v>1146</v>
      </c>
      <c r="C1014" s="1" t="s">
        <v>2</v>
      </c>
      <c r="D1014" t="str">
        <f>IFERROR(VLOOKUP(A1014,depara!A:B,2,0),A1014)</f>
        <v>P0001042</v>
      </c>
      <c r="E1014">
        <f>VLOOKUP(B1014,'inumos depara'!$A:$B,2,0)</f>
        <v>16298558</v>
      </c>
      <c r="F1014" s="1" t="str">
        <f t="shared" si="30"/>
        <v>0.0007</v>
      </c>
      <c r="G1014" t="str">
        <f t="shared" si="31"/>
        <v>P0001042,16298558,0.0007</v>
      </c>
    </row>
    <row r="1015" spans="1:7" x14ac:dyDescent="0.25">
      <c r="A1015" s="1" t="s">
        <v>258</v>
      </c>
      <c r="B1015" s="1" t="s">
        <v>1155</v>
      </c>
      <c r="C1015" s="1" t="s">
        <v>4</v>
      </c>
      <c r="D1015" t="str">
        <f>IFERROR(VLOOKUP(A1015,depara!A:B,2,0),A1015)</f>
        <v>P0001042</v>
      </c>
      <c r="E1015">
        <f>VLOOKUP(B1015,'inumos depara'!$A:$B,2,0)</f>
        <v>16298566</v>
      </c>
      <c r="F1015" s="1" t="str">
        <f t="shared" si="30"/>
        <v>0.005</v>
      </c>
      <c r="G1015" t="str">
        <f t="shared" si="31"/>
        <v>P0001042,16298566,0.005</v>
      </c>
    </row>
    <row r="1016" spans="1:7" x14ac:dyDescent="0.25">
      <c r="A1016" s="1" t="s">
        <v>258</v>
      </c>
      <c r="B1016" s="1" t="s">
        <v>1154</v>
      </c>
      <c r="C1016" s="1" t="s">
        <v>5</v>
      </c>
      <c r="D1016" t="str">
        <f>IFERROR(VLOOKUP(A1016,depara!A:B,2,0),A1016)</f>
        <v>P0001042</v>
      </c>
      <c r="E1016">
        <f>VLOOKUP(B1016,'inumos depara'!$A:$B,2,0)</f>
        <v>16298565</v>
      </c>
      <c r="F1016" s="1" t="str">
        <f t="shared" si="30"/>
        <v>0.002</v>
      </c>
      <c r="G1016" t="str">
        <f t="shared" si="31"/>
        <v>P0001042,16298565,0.002</v>
      </c>
    </row>
    <row r="1017" spans="1:7" x14ac:dyDescent="0.25">
      <c r="A1017" s="1" t="s">
        <v>165</v>
      </c>
      <c r="B1017" s="1" t="s">
        <v>1221</v>
      </c>
      <c r="C1017" s="1" t="s">
        <v>10</v>
      </c>
      <c r="D1017" t="str">
        <f>IFERROR(VLOOKUP(A1017,depara!A:B,2,0),A1017)</f>
        <v>P0001046</v>
      </c>
      <c r="E1017">
        <f>VLOOKUP(B1017,'inumos depara'!$A:$B,2,0)</f>
        <v>16298626</v>
      </c>
      <c r="F1017" s="1" t="str">
        <f t="shared" si="30"/>
        <v>0.001</v>
      </c>
      <c r="G1017" t="str">
        <f t="shared" si="31"/>
        <v>P0001046,16298626,0.001</v>
      </c>
    </row>
    <row r="1018" spans="1:7" x14ac:dyDescent="0.25">
      <c r="A1018" s="1" t="s">
        <v>165</v>
      </c>
      <c r="B1018" s="1" t="s">
        <v>1219</v>
      </c>
      <c r="C1018" s="1" t="s">
        <v>64</v>
      </c>
      <c r="D1018" t="str">
        <f>IFERROR(VLOOKUP(A1018,depara!A:B,2,0),A1018)</f>
        <v>P0001046</v>
      </c>
      <c r="E1018">
        <f>VLOOKUP(B1018,'inumos depara'!$A:$B,2,0)</f>
        <v>16298624</v>
      </c>
      <c r="F1018" s="1" t="str">
        <f t="shared" si="30"/>
        <v>0.02</v>
      </c>
      <c r="G1018" t="str">
        <f t="shared" si="31"/>
        <v>P0001046,16298624,0.02</v>
      </c>
    </row>
    <row r="1019" spans="1:7" x14ac:dyDescent="0.25">
      <c r="A1019" s="1" t="s">
        <v>165</v>
      </c>
      <c r="B1019" s="1" t="s">
        <v>1222</v>
      </c>
      <c r="C1019" s="1" t="s">
        <v>446</v>
      </c>
      <c r="D1019" t="str">
        <f>IFERROR(VLOOKUP(A1019,depara!A:B,2,0),A1019)</f>
        <v>P0001046</v>
      </c>
      <c r="E1019">
        <f>VLOOKUP(B1019,'inumos depara'!$A:$B,2,0)</f>
        <v>16298627</v>
      </c>
      <c r="F1019" s="1" t="str">
        <f t="shared" si="30"/>
        <v>0.0003</v>
      </c>
      <c r="G1019" t="str">
        <f t="shared" si="31"/>
        <v>P0001046,16298627,0.0003</v>
      </c>
    </row>
    <row r="1020" spans="1:7" x14ac:dyDescent="0.25">
      <c r="A1020" s="1" t="s">
        <v>165</v>
      </c>
      <c r="B1020" s="1" t="s">
        <v>1218</v>
      </c>
      <c r="C1020" s="1" t="s">
        <v>64</v>
      </c>
      <c r="D1020" t="str">
        <f>IFERROR(VLOOKUP(A1020,depara!A:B,2,0),A1020)</f>
        <v>P0001046</v>
      </c>
      <c r="E1020">
        <f>VLOOKUP(B1020,'inumos depara'!$A:$B,2,0)</f>
        <v>16298623</v>
      </c>
      <c r="F1020" s="1" t="str">
        <f t="shared" si="30"/>
        <v>0.02</v>
      </c>
      <c r="G1020" t="str">
        <f t="shared" si="31"/>
        <v>P0001046,16298623,0.02</v>
      </c>
    </row>
    <row r="1021" spans="1:7" x14ac:dyDescent="0.25">
      <c r="A1021" s="1" t="s">
        <v>165</v>
      </c>
      <c r="B1021" s="1" t="s">
        <v>1215</v>
      </c>
      <c r="C1021" s="1" t="s">
        <v>1</v>
      </c>
      <c r="D1021" t="str">
        <f>IFERROR(VLOOKUP(A1021,depara!A:B,2,0),A1021)</f>
        <v>P0001046</v>
      </c>
      <c r="E1021">
        <f>VLOOKUP(B1021,'inumos depara'!$A:$B,2,0)</f>
        <v>16298620</v>
      </c>
      <c r="F1021" s="1" t="str">
        <f t="shared" si="30"/>
        <v>0.003</v>
      </c>
      <c r="G1021" t="str">
        <f t="shared" si="31"/>
        <v>P0001046,16298620,0.003</v>
      </c>
    </row>
    <row r="1022" spans="1:7" x14ac:dyDescent="0.25">
      <c r="A1022" s="1" t="s">
        <v>165</v>
      </c>
      <c r="B1022" s="1" t="s">
        <v>1180</v>
      </c>
      <c r="C1022" s="1" t="s">
        <v>71</v>
      </c>
      <c r="D1022" t="str">
        <f>IFERROR(VLOOKUP(A1022,depara!A:B,2,0),A1022)</f>
        <v>P0001046</v>
      </c>
      <c r="E1022">
        <f>VLOOKUP(B1022,'inumos depara'!$A:$B,2,0)</f>
        <v>16298588</v>
      </c>
      <c r="F1022" s="1" t="str">
        <f t="shared" si="30"/>
        <v>0.04</v>
      </c>
      <c r="G1022" t="str">
        <f t="shared" si="31"/>
        <v>P0001046,16298588,0.04</v>
      </c>
    </row>
    <row r="1023" spans="1:7" x14ac:dyDescent="0.25">
      <c r="A1023" s="1" t="s">
        <v>165</v>
      </c>
      <c r="B1023" s="1" t="s">
        <v>1185</v>
      </c>
      <c r="C1023" s="1" t="s">
        <v>82</v>
      </c>
      <c r="D1023" t="str">
        <f>IFERROR(VLOOKUP(A1023,depara!A:B,2,0),A1023)</f>
        <v>P0001046</v>
      </c>
      <c r="E1023">
        <f>VLOOKUP(B1023,'inumos depara'!$A:$B,2,0)</f>
        <v>16298591</v>
      </c>
      <c r="F1023" s="1" t="str">
        <f t="shared" si="30"/>
        <v>0.0005</v>
      </c>
      <c r="G1023" t="str">
        <f t="shared" si="31"/>
        <v>P0001046,16298591,0.0005</v>
      </c>
    </row>
    <row r="1024" spans="1:7" x14ac:dyDescent="0.25">
      <c r="A1024" s="1" t="s">
        <v>165</v>
      </c>
      <c r="B1024" s="1" t="s">
        <v>1217</v>
      </c>
      <c r="C1024" s="1" t="s">
        <v>10</v>
      </c>
      <c r="D1024" t="str">
        <f>IFERROR(VLOOKUP(A1024,depara!A:B,2,0),A1024)</f>
        <v>P0001046</v>
      </c>
      <c r="E1024">
        <f>VLOOKUP(B1024,'inumos depara'!$A:$B,2,0)</f>
        <v>16298622</v>
      </c>
      <c r="F1024" s="1" t="str">
        <f t="shared" si="30"/>
        <v>0.001</v>
      </c>
      <c r="G1024" t="str">
        <f t="shared" si="31"/>
        <v>P0001046,16298622,0.001</v>
      </c>
    </row>
    <row r="1025" spans="1:7" x14ac:dyDescent="0.25">
      <c r="A1025" s="1" t="s">
        <v>165</v>
      </c>
      <c r="B1025" s="1" t="s">
        <v>1211</v>
      </c>
      <c r="C1025" s="1" t="s">
        <v>12</v>
      </c>
      <c r="D1025" t="str">
        <f>IFERROR(VLOOKUP(A1025,depara!A:B,2,0),A1025)</f>
        <v>P0001046</v>
      </c>
      <c r="E1025">
        <f>VLOOKUP(B1025,'inumos depara'!$A:$B,2,0)</f>
        <v>16298616</v>
      </c>
      <c r="F1025" s="1" t="str">
        <f t="shared" si="30"/>
        <v>0.0015</v>
      </c>
      <c r="G1025" t="str">
        <f t="shared" si="31"/>
        <v>P0001046,16298616,0.0015</v>
      </c>
    </row>
    <row r="1026" spans="1:7" x14ac:dyDescent="0.25">
      <c r="A1026" s="1" t="s">
        <v>165</v>
      </c>
      <c r="B1026" s="1" t="s">
        <v>1187</v>
      </c>
      <c r="C1026" s="1" t="s">
        <v>6</v>
      </c>
      <c r="D1026" t="str">
        <f>IFERROR(VLOOKUP(A1026,depara!A:B,2,0),A1026)</f>
        <v>P0001046</v>
      </c>
      <c r="E1026">
        <f>VLOOKUP(B1026,'inumos depara'!$A:$B,2,0)</f>
        <v>16298593</v>
      </c>
      <c r="F1026" s="1" t="str">
        <f t="shared" ref="F1026:F1089" si="32">C1026</f>
        <v>0.01</v>
      </c>
      <c r="G1026" t="str">
        <f t="shared" ref="G1026:G1089" si="33">D1026&amp;","&amp;E1026&amp;","&amp;F1026</f>
        <v>P0001046,16298593,0.01</v>
      </c>
    </row>
    <row r="1027" spans="1:7" x14ac:dyDescent="0.25">
      <c r="A1027" s="1" t="s">
        <v>165</v>
      </c>
      <c r="B1027" s="1" t="s">
        <v>1189</v>
      </c>
      <c r="C1027" s="1" t="s">
        <v>6</v>
      </c>
      <c r="D1027" t="str">
        <f>IFERROR(VLOOKUP(A1027,depara!A:B,2,0),A1027)</f>
        <v>P0001046</v>
      </c>
      <c r="E1027">
        <f>VLOOKUP(B1027,'inumos depara'!$A:$B,2,0)</f>
        <v>16298595</v>
      </c>
      <c r="F1027" s="1" t="str">
        <f t="shared" si="32"/>
        <v>0.01</v>
      </c>
      <c r="G1027" t="str">
        <f t="shared" si="33"/>
        <v>P0001046,16298595,0.01</v>
      </c>
    </row>
    <row r="1028" spans="1:7" x14ac:dyDescent="0.25">
      <c r="A1028" s="1" t="s">
        <v>165</v>
      </c>
      <c r="B1028" s="1" t="s">
        <v>1214</v>
      </c>
      <c r="C1028" s="1" t="s">
        <v>5</v>
      </c>
      <c r="D1028" t="str">
        <f>IFERROR(VLOOKUP(A1028,depara!A:B,2,0),A1028)</f>
        <v>P0001046</v>
      </c>
      <c r="E1028">
        <f>VLOOKUP(B1028,'inumos depara'!$A:$B,2,0)</f>
        <v>16298619</v>
      </c>
      <c r="F1028" s="1" t="str">
        <f t="shared" si="32"/>
        <v>0.002</v>
      </c>
      <c r="G1028" t="str">
        <f t="shared" si="33"/>
        <v>P0001046,16298619,0.002</v>
      </c>
    </row>
    <row r="1029" spans="1:7" x14ac:dyDescent="0.25">
      <c r="A1029" s="1" t="s">
        <v>165</v>
      </c>
      <c r="B1029" s="1" t="s">
        <v>1212</v>
      </c>
      <c r="C1029" s="1" t="s">
        <v>426</v>
      </c>
      <c r="D1029" t="str">
        <f>IFERROR(VLOOKUP(A1029,depara!A:B,2,0),A1029)</f>
        <v>P0001046</v>
      </c>
      <c r="E1029">
        <f>VLOOKUP(B1029,'inumos depara'!$A:$B,2,0)</f>
        <v>16298617</v>
      </c>
      <c r="F1029" s="1" t="str">
        <f t="shared" si="32"/>
        <v>0.006</v>
      </c>
      <c r="G1029" t="str">
        <f t="shared" si="33"/>
        <v>P0001046,16298617,0.006</v>
      </c>
    </row>
    <row r="1030" spans="1:7" x14ac:dyDescent="0.25">
      <c r="A1030" s="1" t="s">
        <v>165</v>
      </c>
      <c r="B1030" s="1" t="s">
        <v>1200</v>
      </c>
      <c r="C1030" s="1" t="s">
        <v>66</v>
      </c>
      <c r="D1030" t="str">
        <f>IFERROR(VLOOKUP(A1030,depara!A:B,2,0),A1030)</f>
        <v>P0001046</v>
      </c>
      <c r="E1030">
        <f>VLOOKUP(B1030,'inumos depara'!$A:$B,2,0)</f>
        <v>16298605</v>
      </c>
      <c r="F1030" s="1" t="str">
        <f t="shared" si="32"/>
        <v>0.07</v>
      </c>
      <c r="G1030" t="str">
        <f t="shared" si="33"/>
        <v>P0001046,16298605,0.07</v>
      </c>
    </row>
    <row r="1031" spans="1:7" x14ac:dyDescent="0.25">
      <c r="A1031" s="1" t="s">
        <v>165</v>
      </c>
      <c r="B1031" s="1" t="s">
        <v>1213</v>
      </c>
      <c r="C1031" s="1" t="s">
        <v>6</v>
      </c>
      <c r="D1031" t="str">
        <f>IFERROR(VLOOKUP(A1031,depara!A:B,2,0),A1031)</f>
        <v>P0001046</v>
      </c>
      <c r="E1031">
        <f>VLOOKUP(B1031,'inumos depara'!$A:$B,2,0)</f>
        <v>16298618</v>
      </c>
      <c r="F1031" s="1" t="str">
        <f t="shared" si="32"/>
        <v>0.01</v>
      </c>
      <c r="G1031" t="str">
        <f t="shared" si="33"/>
        <v>P0001046,16298618,0.01</v>
      </c>
    </row>
    <row r="1032" spans="1:7" x14ac:dyDescent="0.25">
      <c r="A1032" s="1" t="s">
        <v>165</v>
      </c>
      <c r="B1032" s="1" t="s">
        <v>1216</v>
      </c>
      <c r="C1032" s="1" t="s">
        <v>68</v>
      </c>
      <c r="D1032" t="str">
        <f>IFERROR(VLOOKUP(A1032,depara!A:B,2,0),A1032)</f>
        <v>P0001046</v>
      </c>
      <c r="E1032">
        <f>VLOOKUP(B1032,'inumos depara'!$A:$B,2,0)</f>
        <v>16298621</v>
      </c>
      <c r="F1032" s="1" t="str">
        <f t="shared" si="32"/>
        <v>0.004</v>
      </c>
      <c r="G1032" t="str">
        <f t="shared" si="33"/>
        <v>P0001046,16298621,0.004</v>
      </c>
    </row>
    <row r="1033" spans="1:7" x14ac:dyDescent="0.25">
      <c r="A1033" s="1" t="s">
        <v>165</v>
      </c>
      <c r="B1033" s="1" t="s">
        <v>1192</v>
      </c>
      <c r="C1033" s="1" t="s">
        <v>64</v>
      </c>
      <c r="D1033" t="str">
        <f>IFERROR(VLOOKUP(A1033,depara!A:B,2,0),A1033)</f>
        <v>P0001046</v>
      </c>
      <c r="E1033">
        <f>VLOOKUP(B1033,'inumos depara'!$A:$B,2,0)</f>
        <v>16298598</v>
      </c>
      <c r="F1033" s="1" t="str">
        <f t="shared" si="32"/>
        <v>0.02</v>
      </c>
      <c r="G1033" t="str">
        <f t="shared" si="33"/>
        <v>P0001046,16298598,0.02</v>
      </c>
    </row>
    <row r="1034" spans="1:7" x14ac:dyDescent="0.25">
      <c r="A1034" s="1" t="s">
        <v>165</v>
      </c>
      <c r="B1034" s="1" t="s">
        <v>1199</v>
      </c>
      <c r="C1034" s="1" t="s">
        <v>76</v>
      </c>
      <c r="D1034" t="str">
        <f>IFERROR(VLOOKUP(A1034,depara!A:B,2,0),A1034)</f>
        <v>P0001046</v>
      </c>
      <c r="E1034">
        <f>VLOOKUP(B1034,'inumos depara'!$A:$B,2,0)</f>
        <v>16298604</v>
      </c>
      <c r="F1034" s="1" t="str">
        <f t="shared" si="32"/>
        <v>0.03</v>
      </c>
      <c r="G1034" t="str">
        <f t="shared" si="33"/>
        <v>P0001046,16298604,0.03</v>
      </c>
    </row>
    <row r="1035" spans="1:7" x14ac:dyDescent="0.25">
      <c r="A1035" s="1" t="s">
        <v>165</v>
      </c>
      <c r="B1035" s="1" t="s">
        <v>1193</v>
      </c>
      <c r="C1035" s="1" t="s">
        <v>4</v>
      </c>
      <c r="D1035" t="str">
        <f>IFERROR(VLOOKUP(A1035,depara!A:B,2,0),A1035)</f>
        <v>P0001046</v>
      </c>
      <c r="E1035">
        <f>VLOOKUP(B1035,'inumos depara'!$A:$B,2,0)</f>
        <v>16298599</v>
      </c>
      <c r="F1035" s="1" t="str">
        <f t="shared" si="32"/>
        <v>0.005</v>
      </c>
      <c r="G1035" t="str">
        <f t="shared" si="33"/>
        <v>P0001046,16298599,0.005</v>
      </c>
    </row>
    <row r="1036" spans="1:7" x14ac:dyDescent="0.25">
      <c r="A1036" s="1" t="s">
        <v>165</v>
      </c>
      <c r="B1036" s="1" t="s">
        <v>1220</v>
      </c>
      <c r="C1036" s="1" t="s">
        <v>10</v>
      </c>
      <c r="D1036" t="str">
        <f>IFERROR(VLOOKUP(A1036,depara!A:B,2,0),A1036)</f>
        <v>P0001046</v>
      </c>
      <c r="E1036">
        <f>VLOOKUP(B1036,'inumos depara'!$A:$B,2,0)</f>
        <v>16298625</v>
      </c>
      <c r="F1036" s="1" t="str">
        <f t="shared" si="32"/>
        <v>0.001</v>
      </c>
      <c r="G1036" t="str">
        <f t="shared" si="33"/>
        <v>P0001046,16298625,0.001</v>
      </c>
    </row>
    <row r="1037" spans="1:7" x14ac:dyDescent="0.25">
      <c r="A1037" s="1" t="s">
        <v>165</v>
      </c>
      <c r="B1037" s="1" t="s">
        <v>1165</v>
      </c>
      <c r="C1037" s="1" t="s">
        <v>76</v>
      </c>
      <c r="D1037" t="str">
        <f>IFERROR(VLOOKUP(A1037,depara!A:B,2,0),A1037)</f>
        <v>P0001046</v>
      </c>
      <c r="E1037">
        <f>VLOOKUP(B1037,'inumos depara'!$A:$B,2,0)</f>
        <v>16298574</v>
      </c>
      <c r="F1037" s="1" t="str">
        <f t="shared" si="32"/>
        <v>0.03</v>
      </c>
      <c r="G1037" t="str">
        <f t="shared" si="33"/>
        <v>P0001046,16298574,0.03</v>
      </c>
    </row>
    <row r="1038" spans="1:7" x14ac:dyDescent="0.25">
      <c r="A1038" s="1" t="s">
        <v>165</v>
      </c>
      <c r="B1038" s="1" t="s">
        <v>1210</v>
      </c>
      <c r="C1038" s="1" t="s">
        <v>320</v>
      </c>
      <c r="D1038" t="str">
        <f>IFERROR(VLOOKUP(A1038,depara!A:B,2,0),A1038)</f>
        <v>P0001046</v>
      </c>
      <c r="E1038">
        <f>VLOOKUP(B1038,'inumos depara'!$A:$B,2,0)</f>
        <v>16298615</v>
      </c>
      <c r="F1038" s="1" t="str">
        <f t="shared" si="32"/>
        <v>0.0009</v>
      </c>
      <c r="G1038" t="str">
        <f t="shared" si="33"/>
        <v>P0001046,16298615,0.0009</v>
      </c>
    </row>
    <row r="1039" spans="1:7" x14ac:dyDescent="0.25">
      <c r="A1039" s="1" t="s">
        <v>165</v>
      </c>
      <c r="B1039" s="1" t="s">
        <v>1194</v>
      </c>
      <c r="C1039" s="1" t="s">
        <v>76</v>
      </c>
      <c r="D1039" t="str">
        <f>IFERROR(VLOOKUP(A1039,depara!A:B,2,0),A1039)</f>
        <v>P0001046</v>
      </c>
      <c r="E1039">
        <f>VLOOKUP(B1039,'inumos depara'!$A:$B,2,0)</f>
        <v>16298600</v>
      </c>
      <c r="F1039" s="1" t="str">
        <f t="shared" si="32"/>
        <v>0.03</v>
      </c>
      <c r="G1039" t="str">
        <f t="shared" si="33"/>
        <v>P0001046,16298600,0.03</v>
      </c>
    </row>
    <row r="1040" spans="1:7" x14ac:dyDescent="0.25">
      <c r="A1040" s="1" t="s">
        <v>165</v>
      </c>
      <c r="B1040" s="1" t="s">
        <v>1195</v>
      </c>
      <c r="C1040" s="1" t="s">
        <v>451</v>
      </c>
      <c r="D1040" t="str">
        <f>IFERROR(VLOOKUP(A1040,depara!A:B,2,0),A1040)</f>
        <v>P0001046</v>
      </c>
      <c r="E1040">
        <f>VLOOKUP(B1040,'inumos depara'!$A:$B,2,0)</f>
        <v>16298601</v>
      </c>
      <c r="F1040" s="1" t="str">
        <f t="shared" si="32"/>
        <v>0.33</v>
      </c>
      <c r="G1040" t="str">
        <f t="shared" si="33"/>
        <v>P0001046,16298601,0.33</v>
      </c>
    </row>
    <row r="1041" spans="1:7" x14ac:dyDescent="0.25">
      <c r="A1041" s="1" t="s">
        <v>107</v>
      </c>
      <c r="B1041" s="1" t="s">
        <v>1549</v>
      </c>
      <c r="C1041" s="1" t="s">
        <v>5</v>
      </c>
      <c r="D1041" t="str">
        <f>IFERROR(VLOOKUP(A1041,depara!A:B,2,0),A1041)</f>
        <v>P0001048</v>
      </c>
      <c r="E1041">
        <f>VLOOKUP(B1041,'inumos depara'!$A:$B,2,0)</f>
        <v>16298912</v>
      </c>
      <c r="F1041" s="1" t="str">
        <f t="shared" si="32"/>
        <v>0.002</v>
      </c>
      <c r="G1041" t="str">
        <f t="shared" si="33"/>
        <v>P0001048,16298912,0.002</v>
      </c>
    </row>
    <row r="1042" spans="1:7" x14ac:dyDescent="0.25">
      <c r="A1042" s="1" t="s">
        <v>107</v>
      </c>
      <c r="B1042" s="1" t="s">
        <v>1550</v>
      </c>
      <c r="C1042" s="1" t="s">
        <v>10</v>
      </c>
      <c r="D1042" t="str">
        <f>IFERROR(VLOOKUP(A1042,depara!A:B,2,0),A1042)</f>
        <v>P0001048</v>
      </c>
      <c r="E1042">
        <f>VLOOKUP(B1042,'inumos depara'!$A:$B,2,0)</f>
        <v>16298913</v>
      </c>
      <c r="F1042" s="1" t="str">
        <f t="shared" si="32"/>
        <v>0.001</v>
      </c>
      <c r="G1042" t="str">
        <f t="shared" si="33"/>
        <v>P0001048,16298913,0.001</v>
      </c>
    </row>
    <row r="1043" spans="1:7" x14ac:dyDescent="0.25">
      <c r="A1043" s="1" t="s">
        <v>107</v>
      </c>
      <c r="B1043" s="1" t="s">
        <v>1551</v>
      </c>
      <c r="C1043" s="1" t="s">
        <v>10</v>
      </c>
      <c r="D1043" t="str">
        <f>IFERROR(VLOOKUP(A1043,depara!A:B,2,0),A1043)</f>
        <v>P0001048</v>
      </c>
      <c r="E1043">
        <f>VLOOKUP(B1043,'inumos depara'!$A:$B,2,0)</f>
        <v>16298914</v>
      </c>
      <c r="F1043" s="1" t="str">
        <f t="shared" si="32"/>
        <v>0.001</v>
      </c>
      <c r="G1043" t="str">
        <f t="shared" si="33"/>
        <v>P0001048,16298914,0.001</v>
      </c>
    </row>
    <row r="1044" spans="1:7" x14ac:dyDescent="0.25">
      <c r="A1044" s="1" t="s">
        <v>107</v>
      </c>
      <c r="B1044" s="1" t="s">
        <v>1552</v>
      </c>
      <c r="C1044" s="1" t="s">
        <v>10</v>
      </c>
      <c r="D1044" t="str">
        <f>IFERROR(VLOOKUP(A1044,depara!A:B,2,0),A1044)</f>
        <v>P0001048</v>
      </c>
      <c r="E1044">
        <f>VLOOKUP(B1044,'inumos depara'!$A:$B,2,0)</f>
        <v>16298915</v>
      </c>
      <c r="F1044" s="1" t="str">
        <f t="shared" si="32"/>
        <v>0.001</v>
      </c>
      <c r="G1044" t="str">
        <f t="shared" si="33"/>
        <v>P0001048,16298915,0.001</v>
      </c>
    </row>
    <row r="1045" spans="1:7" x14ac:dyDescent="0.25">
      <c r="A1045" s="1" t="s">
        <v>107</v>
      </c>
      <c r="B1045" s="1" t="s">
        <v>1553</v>
      </c>
      <c r="C1045" s="1" t="s">
        <v>82</v>
      </c>
      <c r="D1045" t="str">
        <f>IFERROR(VLOOKUP(A1045,depara!A:B,2,0),A1045)</f>
        <v>P0001048</v>
      </c>
      <c r="E1045">
        <f>VLOOKUP(B1045,'inumos depara'!$A:$B,2,0)</f>
        <v>16298916</v>
      </c>
      <c r="F1045" s="1" t="str">
        <f t="shared" si="32"/>
        <v>0.0005</v>
      </c>
      <c r="G1045" t="str">
        <f t="shared" si="33"/>
        <v>P0001048,16298916,0.0005</v>
      </c>
    </row>
    <row r="1046" spans="1:7" x14ac:dyDescent="0.25">
      <c r="A1046" s="1" t="s">
        <v>107</v>
      </c>
      <c r="B1046" s="1" t="s">
        <v>1554</v>
      </c>
      <c r="C1046" s="1" t="s">
        <v>4</v>
      </c>
      <c r="D1046" t="str">
        <f>IFERROR(VLOOKUP(A1046,depara!A:B,2,0),A1046)</f>
        <v>P0001048</v>
      </c>
      <c r="E1046">
        <f>VLOOKUP(B1046,'inumos depara'!$A:$B,2,0)</f>
        <v>16298917</v>
      </c>
      <c r="F1046" s="1" t="str">
        <f t="shared" si="32"/>
        <v>0.005</v>
      </c>
      <c r="G1046" t="str">
        <f t="shared" si="33"/>
        <v>P0001048,16298917,0.005</v>
      </c>
    </row>
    <row r="1047" spans="1:7" x14ac:dyDescent="0.25">
      <c r="A1047" s="1" t="s">
        <v>107</v>
      </c>
      <c r="B1047" s="1" t="s">
        <v>1555</v>
      </c>
      <c r="C1047" s="1" t="s">
        <v>1</v>
      </c>
      <c r="D1047" t="str">
        <f>IFERROR(VLOOKUP(A1047,depara!A:B,2,0),A1047)</f>
        <v>P0001048</v>
      </c>
      <c r="E1047">
        <f>VLOOKUP(B1047,'inumos depara'!$A:$B,2,0)</f>
        <v>16298918</v>
      </c>
      <c r="F1047" s="1" t="str">
        <f t="shared" si="32"/>
        <v>0.003</v>
      </c>
      <c r="G1047" t="str">
        <f t="shared" si="33"/>
        <v>P0001048,16298918,0.003</v>
      </c>
    </row>
    <row r="1048" spans="1:7" x14ac:dyDescent="0.25">
      <c r="A1048" s="1" t="s">
        <v>107</v>
      </c>
      <c r="B1048" s="1" t="s">
        <v>1556</v>
      </c>
      <c r="C1048" s="1" t="s">
        <v>10</v>
      </c>
      <c r="D1048" t="str">
        <f>IFERROR(VLOOKUP(A1048,depara!A:B,2,0),A1048)</f>
        <v>P0001048</v>
      </c>
      <c r="E1048">
        <f>VLOOKUP(B1048,'inumos depara'!$A:$B,2,0)</f>
        <v>16298919</v>
      </c>
      <c r="F1048" s="1" t="str">
        <f t="shared" si="32"/>
        <v>0.001</v>
      </c>
      <c r="G1048" t="str">
        <f t="shared" si="33"/>
        <v>P0001048,16298919,0.001</v>
      </c>
    </row>
    <row r="1049" spans="1:7" x14ac:dyDescent="0.25">
      <c r="A1049" s="1" t="s">
        <v>107</v>
      </c>
      <c r="B1049" s="1" t="s">
        <v>1557</v>
      </c>
      <c r="C1049" s="1" t="s">
        <v>416</v>
      </c>
      <c r="D1049" t="str">
        <f>IFERROR(VLOOKUP(A1049,depara!A:B,2,0),A1049)</f>
        <v>P0001048</v>
      </c>
      <c r="E1049">
        <f>VLOOKUP(B1049,'inumos depara'!$A:$B,2,0)</f>
        <v>16298920</v>
      </c>
      <c r="F1049" s="1" t="str">
        <f t="shared" si="32"/>
        <v>0.085</v>
      </c>
      <c r="G1049" t="str">
        <f t="shared" si="33"/>
        <v>P0001048,16298920,0.085</v>
      </c>
    </row>
    <row r="1050" spans="1:7" x14ac:dyDescent="0.25">
      <c r="A1050" s="1" t="s">
        <v>107</v>
      </c>
      <c r="B1050" s="1" t="s">
        <v>1242</v>
      </c>
      <c r="C1050" s="1" t="s">
        <v>76</v>
      </c>
      <c r="D1050" t="str">
        <f>IFERROR(VLOOKUP(A1050,depara!A:B,2,0),A1050)</f>
        <v>P0001048</v>
      </c>
      <c r="E1050">
        <f>VLOOKUP(B1050,'inumos depara'!$A:$B,2,0)</f>
        <v>16298643</v>
      </c>
      <c r="F1050" s="1" t="str">
        <f t="shared" si="32"/>
        <v>0.03</v>
      </c>
      <c r="G1050" t="str">
        <f t="shared" si="33"/>
        <v>P0001048,16298643,0.03</v>
      </c>
    </row>
    <row r="1051" spans="1:7" x14ac:dyDescent="0.25">
      <c r="A1051" s="1" t="s">
        <v>107</v>
      </c>
      <c r="B1051" s="1" t="s">
        <v>1558</v>
      </c>
      <c r="C1051" s="1" t="s">
        <v>71</v>
      </c>
      <c r="D1051" t="str">
        <f>IFERROR(VLOOKUP(A1051,depara!A:B,2,0),A1051)</f>
        <v>P0001048</v>
      </c>
      <c r="E1051">
        <f>VLOOKUP(B1051,'inumos depara'!$A:$B,2,0)</f>
        <v>16298921</v>
      </c>
      <c r="F1051" s="1" t="str">
        <f t="shared" si="32"/>
        <v>0.04</v>
      </c>
      <c r="G1051" t="str">
        <f t="shared" si="33"/>
        <v>P0001048,16298921,0.04</v>
      </c>
    </row>
    <row r="1052" spans="1:7" x14ac:dyDescent="0.25">
      <c r="A1052" s="1" t="s">
        <v>107</v>
      </c>
      <c r="B1052" s="1" t="s">
        <v>1246</v>
      </c>
      <c r="C1052" s="1" t="s">
        <v>417</v>
      </c>
      <c r="D1052" t="str">
        <f>IFERROR(VLOOKUP(A1052,depara!A:B,2,0),A1052)</f>
        <v>P0001048</v>
      </c>
      <c r="E1052">
        <f>VLOOKUP(B1052,'inumos depara'!$A:$B,2,0)</f>
        <v>16298648</v>
      </c>
      <c r="F1052" s="1" t="str">
        <f t="shared" si="32"/>
        <v>0.018</v>
      </c>
      <c r="G1052" t="str">
        <f t="shared" si="33"/>
        <v>P0001048,16298648,0.018</v>
      </c>
    </row>
    <row r="1053" spans="1:7" x14ac:dyDescent="0.25">
      <c r="A1053" s="1" t="s">
        <v>107</v>
      </c>
      <c r="B1053" s="1" t="s">
        <v>1559</v>
      </c>
      <c r="C1053" s="1" t="s">
        <v>76</v>
      </c>
      <c r="D1053" t="str">
        <f>IFERROR(VLOOKUP(A1053,depara!A:B,2,0),A1053)</f>
        <v>P0001048</v>
      </c>
      <c r="E1053">
        <f>VLOOKUP(B1053,'inumos depara'!$A:$B,2,0)</f>
        <v>16298922</v>
      </c>
      <c r="F1053" s="1" t="str">
        <f t="shared" si="32"/>
        <v>0.03</v>
      </c>
      <c r="G1053" t="str">
        <f t="shared" si="33"/>
        <v>P0001048,16298922,0.03</v>
      </c>
    </row>
    <row r="1054" spans="1:7" x14ac:dyDescent="0.25">
      <c r="A1054" s="1" t="s">
        <v>107</v>
      </c>
      <c r="B1054" s="1" t="s">
        <v>1560</v>
      </c>
      <c r="C1054" s="1" t="s">
        <v>4</v>
      </c>
      <c r="D1054" t="str">
        <f>IFERROR(VLOOKUP(A1054,depara!A:B,2,0),A1054)</f>
        <v>P0001048</v>
      </c>
      <c r="E1054">
        <f>VLOOKUP(B1054,'inumos depara'!$A:$B,2,0)</f>
        <v>16298923</v>
      </c>
      <c r="F1054" s="1" t="str">
        <f t="shared" si="32"/>
        <v>0.005</v>
      </c>
      <c r="G1054" t="str">
        <f t="shared" si="33"/>
        <v>P0001048,16298923,0.005</v>
      </c>
    </row>
    <row r="1055" spans="1:7" x14ac:dyDescent="0.25">
      <c r="A1055" s="1" t="s">
        <v>107</v>
      </c>
      <c r="B1055" s="1" t="s">
        <v>1252</v>
      </c>
      <c r="C1055" s="1" t="s">
        <v>10</v>
      </c>
      <c r="D1055" t="str">
        <f>IFERROR(VLOOKUP(A1055,depara!A:B,2,0),A1055)</f>
        <v>P0001048</v>
      </c>
      <c r="E1055">
        <f>VLOOKUP(B1055,'inumos depara'!$A:$B,2,0)</f>
        <v>16298656</v>
      </c>
      <c r="F1055" s="1" t="str">
        <f t="shared" si="32"/>
        <v>0.001</v>
      </c>
      <c r="G1055" t="str">
        <f t="shared" si="33"/>
        <v>P0001048,16298656,0.001</v>
      </c>
    </row>
    <row r="1056" spans="1:7" x14ac:dyDescent="0.25">
      <c r="A1056" s="1" t="s">
        <v>107</v>
      </c>
      <c r="B1056" s="1" t="s">
        <v>1253</v>
      </c>
      <c r="C1056" s="1" t="s">
        <v>64</v>
      </c>
      <c r="D1056" t="str">
        <f>IFERROR(VLOOKUP(A1056,depara!A:B,2,0),A1056)</f>
        <v>P0001048</v>
      </c>
      <c r="E1056">
        <f>VLOOKUP(B1056,'inumos depara'!$A:$B,2,0)</f>
        <v>16298657</v>
      </c>
      <c r="F1056" s="1" t="str">
        <f t="shared" si="32"/>
        <v>0.02</v>
      </c>
      <c r="G1056" t="str">
        <f t="shared" si="33"/>
        <v>P0001048,16298657,0.02</v>
      </c>
    </row>
    <row r="1057" spans="1:7" x14ac:dyDescent="0.25">
      <c r="A1057" s="1" t="s">
        <v>107</v>
      </c>
      <c r="B1057" s="1" t="s">
        <v>1561</v>
      </c>
      <c r="C1057" s="1" t="s">
        <v>64</v>
      </c>
      <c r="D1057" t="str">
        <f>IFERROR(VLOOKUP(A1057,depara!A:B,2,0),A1057)</f>
        <v>P0001048</v>
      </c>
      <c r="E1057">
        <f>VLOOKUP(B1057,'inumos depara'!$A:$B,2,0)</f>
        <v>16298924</v>
      </c>
      <c r="F1057" s="1" t="str">
        <f t="shared" si="32"/>
        <v>0.02</v>
      </c>
      <c r="G1057" t="str">
        <f t="shared" si="33"/>
        <v>P0001048,16298924,0.02</v>
      </c>
    </row>
    <row r="1058" spans="1:7" x14ac:dyDescent="0.25">
      <c r="A1058" s="1" t="s">
        <v>107</v>
      </c>
      <c r="B1058" s="1" t="s">
        <v>1151</v>
      </c>
      <c r="C1058" s="1" t="s">
        <v>87</v>
      </c>
      <c r="D1058" t="str">
        <f>IFERROR(VLOOKUP(A1058,depara!A:B,2,0),A1058)</f>
        <v>P0001048</v>
      </c>
      <c r="E1058">
        <f>VLOOKUP(B1058,'inumos depara'!$A:$B,2,0)</f>
        <v>16298562</v>
      </c>
      <c r="F1058" s="1" t="str">
        <f t="shared" si="32"/>
        <v>0.0035</v>
      </c>
      <c r="G1058" t="str">
        <f t="shared" si="33"/>
        <v>P0001048,16298562,0.0035</v>
      </c>
    </row>
    <row r="1059" spans="1:7" x14ac:dyDescent="0.25">
      <c r="A1059" s="1" t="s">
        <v>107</v>
      </c>
      <c r="B1059" s="1" t="s">
        <v>1562</v>
      </c>
      <c r="C1059" s="1" t="s">
        <v>418</v>
      </c>
      <c r="D1059" t="str">
        <f>IFERROR(VLOOKUP(A1059,depara!A:B,2,0),A1059)</f>
        <v>P0001048</v>
      </c>
      <c r="E1059">
        <f>VLOOKUP(B1059,'inumos depara'!$A:$B,2,0)</f>
        <v>16298925</v>
      </c>
      <c r="F1059" s="1" t="str">
        <f t="shared" si="32"/>
        <v>0.0025</v>
      </c>
      <c r="G1059" t="str">
        <f t="shared" si="33"/>
        <v>P0001048,16298925,0.0025</v>
      </c>
    </row>
    <row r="1060" spans="1:7" x14ac:dyDescent="0.25">
      <c r="A1060" s="1" t="s">
        <v>107</v>
      </c>
      <c r="B1060" s="1" t="s">
        <v>1251</v>
      </c>
      <c r="C1060" s="1" t="s">
        <v>10</v>
      </c>
      <c r="D1060" t="str">
        <f>IFERROR(VLOOKUP(A1060,depara!A:B,2,0),A1060)</f>
        <v>P0001048</v>
      </c>
      <c r="E1060">
        <f>VLOOKUP(B1060,'inumos depara'!$A:$B,2,0)</f>
        <v>16298653</v>
      </c>
      <c r="F1060" s="1" t="str">
        <f t="shared" si="32"/>
        <v>0.001</v>
      </c>
      <c r="G1060" t="str">
        <f t="shared" si="33"/>
        <v>P0001048,16298653,0.001</v>
      </c>
    </row>
    <row r="1061" spans="1:7" x14ac:dyDescent="0.25">
      <c r="A1061" s="1" t="s">
        <v>107</v>
      </c>
      <c r="B1061" s="1" t="s">
        <v>1176</v>
      </c>
      <c r="C1061" s="1" t="s">
        <v>5</v>
      </c>
      <c r="D1061" t="str">
        <f>IFERROR(VLOOKUP(A1061,depara!A:B,2,0),A1061)</f>
        <v>P0001048</v>
      </c>
      <c r="E1061">
        <f>VLOOKUP(B1061,'inumos depara'!$A:$B,2,0)</f>
        <v>16298585</v>
      </c>
      <c r="F1061" s="1" t="str">
        <f t="shared" si="32"/>
        <v>0.002</v>
      </c>
      <c r="G1061" t="str">
        <f t="shared" si="33"/>
        <v>P0001048,16298585,0.002</v>
      </c>
    </row>
    <row r="1062" spans="1:7" x14ac:dyDescent="0.25">
      <c r="A1062" s="1" t="s">
        <v>107</v>
      </c>
      <c r="B1062" s="1" t="s">
        <v>1147</v>
      </c>
      <c r="C1062" s="1" t="s">
        <v>4</v>
      </c>
      <c r="D1062" t="str">
        <f>IFERROR(VLOOKUP(A1062,depara!A:B,2,0),A1062)</f>
        <v>P0001048</v>
      </c>
      <c r="E1062">
        <f>VLOOKUP(B1062,'inumos depara'!$A:$B,2,0)</f>
        <v>16298559</v>
      </c>
      <c r="F1062" s="1" t="str">
        <f t="shared" si="32"/>
        <v>0.005</v>
      </c>
      <c r="G1062" t="str">
        <f t="shared" si="33"/>
        <v>P0001048,16298559,0.005</v>
      </c>
    </row>
    <row r="1063" spans="1:7" x14ac:dyDescent="0.25">
      <c r="A1063" s="1" t="s">
        <v>107</v>
      </c>
      <c r="B1063" s="1" t="s">
        <v>1146</v>
      </c>
      <c r="C1063" s="1" t="s">
        <v>5</v>
      </c>
      <c r="D1063" t="str">
        <f>IFERROR(VLOOKUP(A1063,depara!A:B,2,0),A1063)</f>
        <v>P0001048</v>
      </c>
      <c r="E1063">
        <f>VLOOKUP(B1063,'inumos depara'!$A:$B,2,0)</f>
        <v>16298558</v>
      </c>
      <c r="F1063" s="1" t="str">
        <f t="shared" si="32"/>
        <v>0.002</v>
      </c>
      <c r="G1063" t="str">
        <f t="shared" si="33"/>
        <v>P0001048,16298558,0.002</v>
      </c>
    </row>
    <row r="1064" spans="1:7" x14ac:dyDescent="0.25">
      <c r="A1064" s="1" t="s">
        <v>107</v>
      </c>
      <c r="B1064" s="1" t="s">
        <v>1174</v>
      </c>
      <c r="C1064" s="1" t="s">
        <v>4</v>
      </c>
      <c r="D1064" t="str">
        <f>IFERROR(VLOOKUP(A1064,depara!A:B,2,0),A1064)</f>
        <v>P0001048</v>
      </c>
      <c r="E1064">
        <f>VLOOKUP(B1064,'inumos depara'!$A:$B,2,0)</f>
        <v>16298583</v>
      </c>
      <c r="F1064" s="1" t="str">
        <f t="shared" si="32"/>
        <v>0.005</v>
      </c>
      <c r="G1064" t="str">
        <f t="shared" si="33"/>
        <v>P0001048,16298583,0.005</v>
      </c>
    </row>
    <row r="1065" spans="1:7" x14ac:dyDescent="0.25">
      <c r="A1065" s="1" t="s">
        <v>452</v>
      </c>
      <c r="B1065" s="1" t="s">
        <v>1554</v>
      </c>
      <c r="C1065" s="1" t="s">
        <v>0</v>
      </c>
      <c r="D1065" t="str">
        <f>IFERROR(VLOOKUP(A1065,depara!A:B,2,0),A1065)</f>
        <v>P0001057</v>
      </c>
      <c r="E1065">
        <f>VLOOKUP(B1065,'inumos depara'!$A:$B,2,0)</f>
        <v>16298917</v>
      </c>
      <c r="F1065" s="1" t="str">
        <f t="shared" si="32"/>
        <v>0.05</v>
      </c>
      <c r="G1065" t="str">
        <f t="shared" si="33"/>
        <v>P0001057,16298917,0.05</v>
      </c>
    </row>
    <row r="1066" spans="1:7" x14ac:dyDescent="0.25">
      <c r="A1066" s="1" t="s">
        <v>452</v>
      </c>
      <c r="B1066" s="1" t="s">
        <v>1215</v>
      </c>
      <c r="C1066" s="1" t="s">
        <v>81</v>
      </c>
      <c r="D1066" t="str">
        <f>IFERROR(VLOOKUP(A1066,depara!A:B,2,0),A1066)</f>
        <v>P0001057</v>
      </c>
      <c r="E1066">
        <f>VLOOKUP(B1066,'inumos depara'!$A:$B,2,0)</f>
        <v>16298620</v>
      </c>
      <c r="F1066" s="1" t="str">
        <f t="shared" si="32"/>
        <v>0.035</v>
      </c>
      <c r="G1066" t="str">
        <f t="shared" si="33"/>
        <v>P0001057,16298620,0.035</v>
      </c>
    </row>
    <row r="1067" spans="1:7" x14ac:dyDescent="0.25">
      <c r="A1067" s="1" t="s">
        <v>452</v>
      </c>
      <c r="B1067" s="1" t="s">
        <v>453</v>
      </c>
      <c r="C1067" s="1" t="s">
        <v>6</v>
      </c>
      <c r="D1067" t="str">
        <f>IFERROR(VLOOKUP(A1067,depara!A:B,2,0),A1067)</f>
        <v>P0001057</v>
      </c>
      <c r="E1067">
        <f>VLOOKUP(B1067,'inumos depara'!$A:$B,2,0)</f>
        <v>16298938</v>
      </c>
      <c r="F1067" s="1" t="str">
        <f t="shared" si="32"/>
        <v>0.01</v>
      </c>
      <c r="G1067" t="str">
        <f t="shared" si="33"/>
        <v>P0001057,16298938,0.01</v>
      </c>
    </row>
    <row r="1068" spans="1:7" x14ac:dyDescent="0.25">
      <c r="A1068" s="1" t="s">
        <v>452</v>
      </c>
      <c r="B1068" s="1" t="s">
        <v>1147</v>
      </c>
      <c r="C1068" s="1" t="s">
        <v>9</v>
      </c>
      <c r="D1068" t="str">
        <f>IFERROR(VLOOKUP(A1068,depara!A:B,2,0),A1068)</f>
        <v>P0001057</v>
      </c>
      <c r="E1068">
        <f>VLOOKUP(B1068,'inumos depara'!$A:$B,2,0)</f>
        <v>16298559</v>
      </c>
      <c r="F1068" s="1" t="str">
        <f t="shared" si="32"/>
        <v>0.09</v>
      </c>
      <c r="G1068" t="str">
        <f t="shared" si="33"/>
        <v>P0001057,16298559,0.09</v>
      </c>
    </row>
    <row r="1069" spans="1:7" x14ac:dyDescent="0.25">
      <c r="A1069" s="1" t="s">
        <v>452</v>
      </c>
      <c r="B1069" s="1" t="s">
        <v>1565</v>
      </c>
      <c r="C1069" s="1" t="s">
        <v>10</v>
      </c>
      <c r="D1069" t="str">
        <f>IFERROR(VLOOKUP(A1069,depara!A:B,2,0),A1069)</f>
        <v>P0001057</v>
      </c>
      <c r="E1069">
        <f>VLOOKUP(B1069,'inumos depara'!$A:$B,2,0)</f>
        <v>16298939</v>
      </c>
      <c r="F1069" s="1" t="str">
        <f t="shared" si="32"/>
        <v>0.001</v>
      </c>
      <c r="G1069" t="str">
        <f t="shared" si="33"/>
        <v>P0001057,16298939,0.001</v>
      </c>
    </row>
    <row r="1070" spans="1:7" x14ac:dyDescent="0.25">
      <c r="A1070" s="1" t="s">
        <v>452</v>
      </c>
      <c r="B1070" s="1" t="s">
        <v>454</v>
      </c>
      <c r="C1070" s="1" t="s">
        <v>455</v>
      </c>
      <c r="D1070" t="str">
        <f>IFERROR(VLOOKUP(A1070,depara!A:B,2,0),A1070)</f>
        <v>P0001057</v>
      </c>
      <c r="E1070">
        <f>VLOOKUP(B1070,'inumos depara'!$A:$B,2,0)</f>
        <v>16298940</v>
      </c>
      <c r="F1070" s="1" t="str">
        <f t="shared" si="32"/>
        <v>0.0055</v>
      </c>
      <c r="G1070" t="str">
        <f t="shared" si="33"/>
        <v>P0001057,16298940,0.0055</v>
      </c>
    </row>
    <row r="1071" spans="1:7" x14ac:dyDescent="0.25">
      <c r="A1071" s="1" t="s">
        <v>452</v>
      </c>
      <c r="B1071" s="1" t="s">
        <v>456</v>
      </c>
      <c r="C1071" s="1" t="s">
        <v>1</v>
      </c>
      <c r="D1071" t="str">
        <f>IFERROR(VLOOKUP(A1071,depara!A:B,2,0),A1071)</f>
        <v>P0001057</v>
      </c>
      <c r="E1071">
        <f>VLOOKUP(B1071,'inumos depara'!$A:$B,2,0)</f>
        <v>16298941</v>
      </c>
      <c r="F1071" s="1" t="str">
        <f t="shared" si="32"/>
        <v>0.003</v>
      </c>
      <c r="G1071" t="str">
        <f t="shared" si="33"/>
        <v>P0001057,16298941,0.003</v>
      </c>
    </row>
    <row r="1072" spans="1:7" x14ac:dyDescent="0.25">
      <c r="A1072" s="1" t="s">
        <v>452</v>
      </c>
      <c r="B1072" s="1" t="s">
        <v>1213</v>
      </c>
      <c r="C1072" s="1" t="s">
        <v>4</v>
      </c>
      <c r="D1072" t="str">
        <f>IFERROR(VLOOKUP(A1072,depara!A:B,2,0),A1072)</f>
        <v>P0001057</v>
      </c>
      <c r="E1072">
        <f>VLOOKUP(B1072,'inumos depara'!$A:$B,2,0)</f>
        <v>16298618</v>
      </c>
      <c r="F1072" s="1" t="str">
        <f t="shared" si="32"/>
        <v>0.005</v>
      </c>
      <c r="G1072" t="str">
        <f t="shared" si="33"/>
        <v>P0001057,16298618,0.005</v>
      </c>
    </row>
    <row r="1073" spans="1:7" x14ac:dyDescent="0.25">
      <c r="A1073" s="1" t="s">
        <v>452</v>
      </c>
      <c r="B1073" s="1" t="s">
        <v>1219</v>
      </c>
      <c r="C1073" s="1" t="s">
        <v>64</v>
      </c>
      <c r="D1073" t="str">
        <f>IFERROR(VLOOKUP(A1073,depara!A:B,2,0),A1073)</f>
        <v>P0001057</v>
      </c>
      <c r="E1073">
        <f>VLOOKUP(B1073,'inumos depara'!$A:$B,2,0)</f>
        <v>16298624</v>
      </c>
      <c r="F1073" s="1" t="str">
        <f t="shared" si="32"/>
        <v>0.02</v>
      </c>
      <c r="G1073" t="str">
        <f t="shared" si="33"/>
        <v>P0001057,16298624,0.02</v>
      </c>
    </row>
    <row r="1074" spans="1:7" x14ac:dyDescent="0.25">
      <c r="A1074" s="1" t="s">
        <v>452</v>
      </c>
      <c r="B1074" s="1" t="s">
        <v>1233</v>
      </c>
      <c r="C1074" s="1" t="s">
        <v>88</v>
      </c>
      <c r="D1074" t="str">
        <f>IFERROR(VLOOKUP(A1074,depara!A:B,2,0),A1074)</f>
        <v>P0001057</v>
      </c>
      <c r="E1074">
        <f>VLOOKUP(B1074,'inumos depara'!$A:$B,2,0)</f>
        <v>16298636</v>
      </c>
      <c r="F1074" s="1" t="str">
        <f t="shared" si="32"/>
        <v>0.015</v>
      </c>
      <c r="G1074" t="str">
        <f t="shared" si="33"/>
        <v>P0001057,16298636,0.015</v>
      </c>
    </row>
    <row r="1075" spans="1:7" x14ac:dyDescent="0.25">
      <c r="A1075" s="1" t="s">
        <v>452</v>
      </c>
      <c r="B1075" s="1" t="s">
        <v>457</v>
      </c>
      <c r="C1075" s="1" t="s">
        <v>458</v>
      </c>
      <c r="D1075" t="str">
        <f>IFERROR(VLOOKUP(A1075,depara!A:B,2,0),A1075)</f>
        <v>P0001057</v>
      </c>
      <c r="E1075">
        <f>VLOOKUP(B1075,'inumos depara'!$A:$B,2,0)</f>
        <v>16298942</v>
      </c>
      <c r="F1075" s="1" t="str">
        <f t="shared" si="32"/>
        <v>0.4</v>
      </c>
      <c r="G1075" t="str">
        <f t="shared" si="33"/>
        <v>P0001057,16298942,0.4</v>
      </c>
    </row>
    <row r="1076" spans="1:7" x14ac:dyDescent="0.25">
      <c r="A1076" s="1" t="s">
        <v>452</v>
      </c>
      <c r="B1076" s="1" t="s">
        <v>1239</v>
      </c>
      <c r="C1076" s="1" t="s">
        <v>4</v>
      </c>
      <c r="D1076" t="str">
        <f>IFERROR(VLOOKUP(A1076,depara!A:B,2,0),A1076)</f>
        <v>P0001057</v>
      </c>
      <c r="E1076">
        <f>VLOOKUP(B1076,'inumos depara'!$A:$B,2,0)</f>
        <v>16298641</v>
      </c>
      <c r="F1076" s="1" t="str">
        <f t="shared" si="32"/>
        <v>0.005</v>
      </c>
      <c r="G1076" t="str">
        <f t="shared" si="33"/>
        <v>P0001057,16298641,0.005</v>
      </c>
    </row>
    <row r="1077" spans="1:7" x14ac:dyDescent="0.25">
      <c r="A1077" s="1" t="s">
        <v>452</v>
      </c>
      <c r="B1077" s="1" t="s">
        <v>459</v>
      </c>
      <c r="C1077" s="1" t="s">
        <v>71</v>
      </c>
      <c r="D1077" t="str">
        <f>IFERROR(VLOOKUP(A1077,depara!A:B,2,0),A1077)</f>
        <v>P0001057</v>
      </c>
      <c r="E1077">
        <f>VLOOKUP(B1077,'inumos depara'!$A:$B,2,0)</f>
        <v>16298943</v>
      </c>
      <c r="F1077" s="1" t="str">
        <f t="shared" si="32"/>
        <v>0.04</v>
      </c>
      <c r="G1077" t="str">
        <f t="shared" si="33"/>
        <v>P0001057,16298943,0.04</v>
      </c>
    </row>
    <row r="1078" spans="1:7" x14ac:dyDescent="0.25">
      <c r="A1078" s="1" t="s">
        <v>452</v>
      </c>
      <c r="B1078" s="1" t="s">
        <v>1212</v>
      </c>
      <c r="C1078" s="1" t="s">
        <v>4</v>
      </c>
      <c r="D1078" t="str">
        <f>IFERROR(VLOOKUP(A1078,depara!A:B,2,0),A1078)</f>
        <v>P0001057</v>
      </c>
      <c r="E1078">
        <f>VLOOKUP(B1078,'inumos depara'!$A:$B,2,0)</f>
        <v>16298617</v>
      </c>
      <c r="F1078" s="1" t="str">
        <f t="shared" si="32"/>
        <v>0.005</v>
      </c>
      <c r="G1078" t="str">
        <f t="shared" si="33"/>
        <v>P0001057,16298617,0.005</v>
      </c>
    </row>
    <row r="1079" spans="1:7" x14ac:dyDescent="0.25">
      <c r="A1079" s="1" t="s">
        <v>129</v>
      </c>
      <c r="B1079" s="1" t="s">
        <v>1170</v>
      </c>
      <c r="C1079" s="1" t="s">
        <v>10</v>
      </c>
      <c r="D1079" t="str">
        <f>IFERROR(VLOOKUP(A1079,depara!A:B,2,0),A1079)</f>
        <v>P0001060</v>
      </c>
      <c r="E1079">
        <f>VLOOKUP(B1079,'inumos depara'!$A:$B,2,0)</f>
        <v>16298579</v>
      </c>
      <c r="F1079" s="1" t="str">
        <f t="shared" si="32"/>
        <v>0.001</v>
      </c>
      <c r="G1079" t="str">
        <f t="shared" si="33"/>
        <v>P0001060,16298579,0.001</v>
      </c>
    </row>
    <row r="1080" spans="1:7" x14ac:dyDescent="0.25">
      <c r="A1080" s="1" t="s">
        <v>129</v>
      </c>
      <c r="B1080" s="1" t="s">
        <v>1236</v>
      </c>
      <c r="C1080" s="1" t="s">
        <v>460</v>
      </c>
      <c r="D1080" t="str">
        <f>IFERROR(VLOOKUP(A1080,depara!A:B,2,0),A1080)</f>
        <v>P0001060</v>
      </c>
      <c r="E1080">
        <f>VLOOKUP(B1080,'inumos depara'!$A:$B,2,0)</f>
        <v>16298638</v>
      </c>
      <c r="F1080" s="1" t="str">
        <f t="shared" si="32"/>
        <v>0.013</v>
      </c>
      <c r="G1080" t="str">
        <f t="shared" si="33"/>
        <v>P0001060,16298638,0.013</v>
      </c>
    </row>
    <row r="1081" spans="1:7" x14ac:dyDescent="0.25">
      <c r="A1081" s="1" t="s">
        <v>129</v>
      </c>
      <c r="B1081" s="1" t="s">
        <v>1151</v>
      </c>
      <c r="C1081" s="1" t="s">
        <v>1</v>
      </c>
      <c r="D1081" t="str">
        <f>IFERROR(VLOOKUP(A1081,depara!A:B,2,0),A1081)</f>
        <v>P0001060</v>
      </c>
      <c r="E1081">
        <f>VLOOKUP(B1081,'inumos depara'!$A:$B,2,0)</f>
        <v>16298562</v>
      </c>
      <c r="F1081" s="1" t="str">
        <f t="shared" si="32"/>
        <v>0.003</v>
      </c>
      <c r="G1081" t="str">
        <f t="shared" si="33"/>
        <v>P0001060,16298562,0.003</v>
      </c>
    </row>
    <row r="1082" spans="1:7" x14ac:dyDescent="0.25">
      <c r="A1082" s="1" t="s">
        <v>129</v>
      </c>
      <c r="B1082" s="1" t="s">
        <v>1239</v>
      </c>
      <c r="C1082" s="1" t="s">
        <v>10</v>
      </c>
      <c r="D1082" t="str">
        <f>IFERROR(VLOOKUP(A1082,depara!A:B,2,0),A1082)</f>
        <v>P0001060</v>
      </c>
      <c r="E1082">
        <f>VLOOKUP(B1082,'inumos depara'!$A:$B,2,0)</f>
        <v>16298641</v>
      </c>
      <c r="F1082" s="1" t="str">
        <f t="shared" si="32"/>
        <v>0.001</v>
      </c>
      <c r="G1082" t="str">
        <f t="shared" si="33"/>
        <v>P0001060,16298641,0.001</v>
      </c>
    </row>
    <row r="1083" spans="1:7" x14ac:dyDescent="0.25">
      <c r="A1083" s="1" t="s">
        <v>129</v>
      </c>
      <c r="B1083" s="1" t="s">
        <v>1240</v>
      </c>
      <c r="C1083" s="1" t="s">
        <v>461</v>
      </c>
      <c r="D1083" t="str">
        <f>IFERROR(VLOOKUP(A1083,depara!A:B,2,0),A1083)</f>
        <v>P0001060</v>
      </c>
      <c r="E1083">
        <f>VLOOKUP(B1083,'inumos depara'!$A:$B,2,0)</f>
        <v>16298642</v>
      </c>
      <c r="F1083" s="1" t="str">
        <f t="shared" si="32"/>
        <v>0.0006</v>
      </c>
      <c r="G1083" t="str">
        <f t="shared" si="33"/>
        <v>P0001060,16298642,0.0006</v>
      </c>
    </row>
    <row r="1084" spans="1:7" x14ac:dyDescent="0.25">
      <c r="A1084" s="1" t="s">
        <v>129</v>
      </c>
      <c r="B1084" s="1" t="s">
        <v>1238</v>
      </c>
      <c r="C1084" s="1" t="s">
        <v>0</v>
      </c>
      <c r="D1084" t="str">
        <f>IFERROR(VLOOKUP(A1084,depara!A:B,2,0),A1084)</f>
        <v>P0001060</v>
      </c>
      <c r="E1084">
        <f>VLOOKUP(B1084,'inumos depara'!$A:$B,2,0)</f>
        <v>16298640</v>
      </c>
      <c r="F1084" s="1" t="str">
        <f t="shared" si="32"/>
        <v>0.05</v>
      </c>
      <c r="G1084" t="str">
        <f t="shared" si="33"/>
        <v>P0001060,16298640,0.05</v>
      </c>
    </row>
    <row r="1085" spans="1:7" x14ac:dyDescent="0.25">
      <c r="A1085" s="1" t="s">
        <v>129</v>
      </c>
      <c r="B1085" s="1" t="s">
        <v>1231</v>
      </c>
      <c r="C1085" s="1" t="s">
        <v>66</v>
      </c>
      <c r="D1085" t="str">
        <f>IFERROR(VLOOKUP(A1085,depara!A:B,2,0),A1085)</f>
        <v>P0001060</v>
      </c>
      <c r="E1085">
        <f>VLOOKUP(B1085,'inumos depara'!$A:$B,2,0)</f>
        <v>16298634</v>
      </c>
      <c r="F1085" s="1" t="str">
        <f t="shared" si="32"/>
        <v>0.07</v>
      </c>
      <c r="G1085" t="str">
        <f t="shared" si="33"/>
        <v>P0001060,16298634,0.07</v>
      </c>
    </row>
    <row r="1086" spans="1:7" x14ac:dyDescent="0.25">
      <c r="A1086" s="1" t="s">
        <v>129</v>
      </c>
      <c r="B1086" s="1" t="s">
        <v>1237</v>
      </c>
      <c r="C1086" s="1" t="s">
        <v>4</v>
      </c>
      <c r="D1086" t="str">
        <f>IFERROR(VLOOKUP(A1086,depara!A:B,2,0),A1086)</f>
        <v>P0001060</v>
      </c>
      <c r="E1086">
        <f>VLOOKUP(B1086,'inumos depara'!$A:$B,2,0)</f>
        <v>16298639</v>
      </c>
      <c r="F1086" s="1" t="str">
        <f t="shared" si="32"/>
        <v>0.005</v>
      </c>
      <c r="G1086" t="str">
        <f t="shared" si="33"/>
        <v>P0001060,16298639,0.005</v>
      </c>
    </row>
    <row r="1087" spans="1:7" x14ac:dyDescent="0.25">
      <c r="A1087" s="1" t="s">
        <v>129</v>
      </c>
      <c r="B1087" s="1" t="s">
        <v>1219</v>
      </c>
      <c r="C1087" s="1" t="s">
        <v>10</v>
      </c>
      <c r="D1087" t="str">
        <f>IFERROR(VLOOKUP(A1087,depara!A:B,2,0),A1087)</f>
        <v>P0001060</v>
      </c>
      <c r="E1087">
        <f>VLOOKUP(B1087,'inumos depara'!$A:$B,2,0)</f>
        <v>16298624</v>
      </c>
      <c r="F1087" s="1" t="str">
        <f t="shared" si="32"/>
        <v>0.001</v>
      </c>
      <c r="G1087" t="str">
        <f t="shared" si="33"/>
        <v>P0001060,16298624,0.001</v>
      </c>
    </row>
    <row r="1088" spans="1:7" x14ac:dyDescent="0.25">
      <c r="A1088" s="1" t="s">
        <v>129</v>
      </c>
      <c r="B1088" s="1" t="s">
        <v>1146</v>
      </c>
      <c r="C1088" s="1" t="s">
        <v>64</v>
      </c>
      <c r="D1088" t="str">
        <f>IFERROR(VLOOKUP(A1088,depara!A:B,2,0),A1088)</f>
        <v>P0001060</v>
      </c>
      <c r="E1088">
        <f>VLOOKUP(B1088,'inumos depara'!$A:$B,2,0)</f>
        <v>16298558</v>
      </c>
      <c r="F1088" s="1" t="str">
        <f t="shared" si="32"/>
        <v>0.02</v>
      </c>
      <c r="G1088" t="str">
        <f t="shared" si="33"/>
        <v>P0001060,16298558,0.02</v>
      </c>
    </row>
    <row r="1089" spans="1:7" x14ac:dyDescent="0.25">
      <c r="A1089" s="1" t="s">
        <v>129</v>
      </c>
      <c r="B1089" s="1" t="s">
        <v>1174</v>
      </c>
      <c r="C1089" s="1" t="s">
        <v>4</v>
      </c>
      <c r="D1089" t="str">
        <f>IFERROR(VLOOKUP(A1089,depara!A:B,2,0),A1089)</f>
        <v>P0001060</v>
      </c>
      <c r="E1089">
        <f>VLOOKUP(B1089,'inumos depara'!$A:$B,2,0)</f>
        <v>16298583</v>
      </c>
      <c r="F1089" s="1" t="str">
        <f t="shared" si="32"/>
        <v>0.005</v>
      </c>
      <c r="G1089" t="str">
        <f t="shared" si="33"/>
        <v>P0001060,16298583,0.005</v>
      </c>
    </row>
    <row r="1090" spans="1:7" x14ac:dyDescent="0.25">
      <c r="A1090" s="1" t="s">
        <v>150</v>
      </c>
      <c r="B1090" s="1" t="s">
        <v>1228</v>
      </c>
      <c r="C1090" s="1" t="s">
        <v>64</v>
      </c>
      <c r="D1090" t="str">
        <f>IFERROR(VLOOKUP(A1090,depara!A:B,2,0),A1090)</f>
        <v>P0001061</v>
      </c>
      <c r="E1090">
        <f>VLOOKUP(B1090,'inumos depara'!$A:$B,2,0)</f>
        <v>16298631</v>
      </c>
      <c r="F1090" s="1" t="str">
        <f t="shared" ref="F1090:F1153" si="34">C1090</f>
        <v>0.02</v>
      </c>
      <c r="G1090" t="str">
        <f t="shared" ref="G1090:G1153" si="35">D1090&amp;","&amp;E1090&amp;","&amp;F1090</f>
        <v>P0001061,16298631,0.02</v>
      </c>
    </row>
    <row r="1091" spans="1:7" x14ac:dyDescent="0.25">
      <c r="A1091" s="1" t="s">
        <v>150</v>
      </c>
      <c r="B1091" s="1" t="s">
        <v>1227</v>
      </c>
      <c r="C1091" s="1" t="s">
        <v>63</v>
      </c>
      <c r="D1091" t="str">
        <f>IFERROR(VLOOKUP(A1091,depara!A:B,2,0),A1091)</f>
        <v>P0001061</v>
      </c>
      <c r="E1091">
        <f>VLOOKUP(B1091,'inumos depara'!$A:$B,2,0)</f>
        <v>16298630</v>
      </c>
      <c r="F1091" s="1" t="str">
        <f t="shared" si="34"/>
        <v>0.15</v>
      </c>
      <c r="G1091" t="str">
        <f t="shared" si="35"/>
        <v>P0001061,16298630,0.15</v>
      </c>
    </row>
    <row r="1092" spans="1:7" x14ac:dyDescent="0.25">
      <c r="A1092" s="1" t="s">
        <v>150</v>
      </c>
      <c r="B1092" s="1" t="s">
        <v>1226</v>
      </c>
      <c r="C1092" s="1" t="s">
        <v>8</v>
      </c>
      <c r="D1092" t="str">
        <f>IFERROR(VLOOKUP(A1092,depara!A:B,2,0),A1092)</f>
        <v>P0001061</v>
      </c>
      <c r="E1092">
        <f>VLOOKUP(B1092,'inumos depara'!$A:$B,2,0)</f>
        <v>16298629</v>
      </c>
      <c r="F1092" s="1" t="str">
        <f t="shared" si="34"/>
        <v>0.06</v>
      </c>
      <c r="G1092" t="str">
        <f t="shared" si="35"/>
        <v>P0001061,16298629,0.06</v>
      </c>
    </row>
    <row r="1093" spans="1:7" x14ac:dyDescent="0.25">
      <c r="A1093" s="1" t="s">
        <v>150</v>
      </c>
      <c r="B1093" s="1" t="s">
        <v>1230</v>
      </c>
      <c r="C1093" s="1" t="s">
        <v>6</v>
      </c>
      <c r="D1093" t="str">
        <f>IFERROR(VLOOKUP(A1093,depara!A:B,2,0),A1093)</f>
        <v>P0001061</v>
      </c>
      <c r="E1093">
        <f>VLOOKUP(B1093,'inumos depara'!$A:$B,2,0)</f>
        <v>16298633</v>
      </c>
      <c r="F1093" s="1" t="str">
        <f t="shared" si="34"/>
        <v>0.01</v>
      </c>
      <c r="G1093" t="str">
        <f t="shared" si="35"/>
        <v>P0001061,16298633,0.01</v>
      </c>
    </row>
    <row r="1094" spans="1:7" x14ac:dyDescent="0.25">
      <c r="A1094" s="1" t="s">
        <v>150</v>
      </c>
      <c r="B1094" s="1" t="s">
        <v>1233</v>
      </c>
      <c r="C1094" s="1" t="s">
        <v>6</v>
      </c>
      <c r="D1094" t="str">
        <f>IFERROR(VLOOKUP(A1094,depara!A:B,2,0),A1094)</f>
        <v>P0001061</v>
      </c>
      <c r="E1094">
        <f>VLOOKUP(B1094,'inumos depara'!$A:$B,2,0)</f>
        <v>16298636</v>
      </c>
      <c r="F1094" s="1" t="str">
        <f t="shared" si="34"/>
        <v>0.01</v>
      </c>
      <c r="G1094" t="str">
        <f t="shared" si="35"/>
        <v>P0001061,16298636,0.01</v>
      </c>
    </row>
    <row r="1095" spans="1:7" x14ac:dyDescent="0.25">
      <c r="A1095" s="1" t="s">
        <v>150</v>
      </c>
      <c r="B1095" s="1" t="s">
        <v>1147</v>
      </c>
      <c r="C1095" s="1" t="s">
        <v>67</v>
      </c>
      <c r="D1095" t="str">
        <f>IFERROR(VLOOKUP(A1095,depara!A:B,2,0),A1095)</f>
        <v>P0001061</v>
      </c>
      <c r="E1095">
        <f>VLOOKUP(B1095,'inumos depara'!$A:$B,2,0)</f>
        <v>16298559</v>
      </c>
      <c r="F1095" s="1" t="str">
        <f t="shared" si="34"/>
        <v>0.1</v>
      </c>
      <c r="G1095" t="str">
        <f t="shared" si="35"/>
        <v>P0001061,16298559,0.1</v>
      </c>
    </row>
    <row r="1096" spans="1:7" x14ac:dyDescent="0.25">
      <c r="A1096" s="1" t="s">
        <v>150</v>
      </c>
      <c r="B1096" s="1" t="s">
        <v>1232</v>
      </c>
      <c r="C1096" s="1" t="s">
        <v>66</v>
      </c>
      <c r="D1096" t="str">
        <f>IFERROR(VLOOKUP(A1096,depara!A:B,2,0),A1096)</f>
        <v>P0001061</v>
      </c>
      <c r="E1096">
        <f>VLOOKUP(B1096,'inumos depara'!$A:$B,2,0)</f>
        <v>16298635</v>
      </c>
      <c r="F1096" s="1" t="str">
        <f t="shared" si="34"/>
        <v>0.07</v>
      </c>
      <c r="G1096" t="str">
        <f t="shared" si="35"/>
        <v>P0001061,16298635,0.07</v>
      </c>
    </row>
    <row r="1097" spans="1:7" x14ac:dyDescent="0.25">
      <c r="A1097" s="1" t="s">
        <v>150</v>
      </c>
      <c r="B1097" s="1" t="s">
        <v>1231</v>
      </c>
      <c r="C1097" s="1" t="s">
        <v>65</v>
      </c>
      <c r="D1097" t="str">
        <f>IFERROR(VLOOKUP(A1097,depara!A:B,2,0),A1097)</f>
        <v>P0001061</v>
      </c>
      <c r="E1097">
        <f>VLOOKUP(B1097,'inumos depara'!$A:$B,2,0)</f>
        <v>16298634</v>
      </c>
      <c r="F1097" s="1" t="str">
        <f t="shared" si="34"/>
        <v>0.0526</v>
      </c>
      <c r="G1097" t="str">
        <f t="shared" si="35"/>
        <v>P0001061,16298634,0.0526</v>
      </c>
    </row>
    <row r="1098" spans="1:7" x14ac:dyDescent="0.25">
      <c r="A1098" s="1" t="s">
        <v>150</v>
      </c>
      <c r="B1098" s="1" t="s">
        <v>1234</v>
      </c>
      <c r="C1098" s="1" t="s">
        <v>68</v>
      </c>
      <c r="D1098" t="str">
        <f>IFERROR(VLOOKUP(A1098,depara!A:B,2,0),A1098)</f>
        <v>P0001061</v>
      </c>
      <c r="E1098">
        <f>VLOOKUP(B1098,'inumos depara'!$A:$B,2,0)</f>
        <v>16298637</v>
      </c>
      <c r="F1098" s="1" t="str">
        <f t="shared" si="34"/>
        <v>0.004</v>
      </c>
      <c r="G1098" t="str">
        <f t="shared" si="35"/>
        <v>P0001061,16298637,0.004</v>
      </c>
    </row>
    <row r="1099" spans="1:7" x14ac:dyDescent="0.25">
      <c r="A1099" s="1" t="s">
        <v>150</v>
      </c>
      <c r="B1099" s="1" t="s">
        <v>1146</v>
      </c>
      <c r="C1099" s="1" t="s">
        <v>6</v>
      </c>
      <c r="D1099" t="str">
        <f>IFERROR(VLOOKUP(A1099,depara!A:B,2,0),A1099)</f>
        <v>P0001061</v>
      </c>
      <c r="E1099">
        <f>VLOOKUP(B1099,'inumos depara'!$A:$B,2,0)</f>
        <v>16298558</v>
      </c>
      <c r="F1099" s="1" t="str">
        <f t="shared" si="34"/>
        <v>0.01</v>
      </c>
      <c r="G1099" t="str">
        <f t="shared" si="35"/>
        <v>P0001061,16298558,0.01</v>
      </c>
    </row>
    <row r="1100" spans="1:7" x14ac:dyDescent="0.25">
      <c r="A1100" s="1" t="s">
        <v>147</v>
      </c>
      <c r="B1100" s="1" t="s">
        <v>1219</v>
      </c>
      <c r="C1100" s="1" t="s">
        <v>64</v>
      </c>
      <c r="D1100" t="str">
        <f>IFERROR(VLOOKUP(A1100,depara!A:B,2,0),A1100)</f>
        <v>P0001062</v>
      </c>
      <c r="E1100">
        <f>VLOOKUP(B1100,'inumos depara'!$A:$B,2,0)</f>
        <v>16298624</v>
      </c>
      <c r="F1100" s="1" t="str">
        <f t="shared" si="34"/>
        <v>0.02</v>
      </c>
      <c r="G1100" t="str">
        <f t="shared" si="35"/>
        <v>P0001062,16298624,0.02</v>
      </c>
    </row>
    <row r="1101" spans="1:7" x14ac:dyDescent="0.25">
      <c r="A1101" s="1" t="s">
        <v>147</v>
      </c>
      <c r="B1101" s="1" t="s">
        <v>1222</v>
      </c>
      <c r="C1101" s="1" t="s">
        <v>82</v>
      </c>
      <c r="D1101" t="str">
        <f>IFERROR(VLOOKUP(A1101,depara!A:B,2,0),A1101)</f>
        <v>P0001062</v>
      </c>
      <c r="E1101">
        <f>VLOOKUP(B1101,'inumos depara'!$A:$B,2,0)</f>
        <v>16298627</v>
      </c>
      <c r="F1101" s="1" t="str">
        <f t="shared" si="34"/>
        <v>0.0005</v>
      </c>
      <c r="G1101" t="str">
        <f t="shared" si="35"/>
        <v>P0001062,16298627,0.0005</v>
      </c>
    </row>
    <row r="1102" spans="1:7" x14ac:dyDescent="0.25">
      <c r="A1102" s="1" t="s">
        <v>147</v>
      </c>
      <c r="B1102" s="1" t="s">
        <v>1215</v>
      </c>
      <c r="C1102" s="1" t="s">
        <v>1</v>
      </c>
      <c r="D1102" t="str">
        <f>IFERROR(VLOOKUP(A1102,depara!A:B,2,0),A1102)</f>
        <v>P0001062</v>
      </c>
      <c r="E1102">
        <f>VLOOKUP(B1102,'inumos depara'!$A:$B,2,0)</f>
        <v>16298620</v>
      </c>
      <c r="F1102" s="1" t="str">
        <f t="shared" si="34"/>
        <v>0.003</v>
      </c>
      <c r="G1102" t="str">
        <f t="shared" si="35"/>
        <v>P0001062,16298620,0.003</v>
      </c>
    </row>
    <row r="1103" spans="1:7" x14ac:dyDescent="0.25">
      <c r="A1103" s="1" t="s">
        <v>147</v>
      </c>
      <c r="B1103" s="1" t="s">
        <v>1180</v>
      </c>
      <c r="C1103" s="1" t="s">
        <v>0</v>
      </c>
      <c r="D1103" t="str">
        <f>IFERROR(VLOOKUP(A1103,depara!A:B,2,0),A1103)</f>
        <v>P0001062</v>
      </c>
      <c r="E1103">
        <f>VLOOKUP(B1103,'inumos depara'!$A:$B,2,0)</f>
        <v>16298588</v>
      </c>
      <c r="F1103" s="1" t="str">
        <f t="shared" si="34"/>
        <v>0.05</v>
      </c>
      <c r="G1103" t="str">
        <f t="shared" si="35"/>
        <v>P0001062,16298588,0.05</v>
      </c>
    </row>
    <row r="1104" spans="1:7" x14ac:dyDescent="0.25">
      <c r="A1104" s="1" t="s">
        <v>147</v>
      </c>
      <c r="B1104" s="1" t="s">
        <v>1566</v>
      </c>
      <c r="C1104" s="1" t="s">
        <v>0</v>
      </c>
      <c r="D1104" t="str">
        <f>IFERROR(VLOOKUP(A1104,depara!A:B,2,0),A1104)</f>
        <v>P0001062</v>
      </c>
      <c r="E1104">
        <f>VLOOKUP(B1104,'inumos depara'!$A:$B,2,0)</f>
        <v>16298944</v>
      </c>
      <c r="F1104" s="1" t="str">
        <f t="shared" si="34"/>
        <v>0.05</v>
      </c>
      <c r="G1104" t="str">
        <f t="shared" si="35"/>
        <v>P0001062,16298944,0.05</v>
      </c>
    </row>
    <row r="1105" spans="1:7" x14ac:dyDescent="0.25">
      <c r="A1105" s="1" t="s">
        <v>147</v>
      </c>
      <c r="B1105" s="1" t="s">
        <v>1185</v>
      </c>
      <c r="C1105" s="1" t="s">
        <v>82</v>
      </c>
      <c r="D1105" t="str">
        <f>IFERROR(VLOOKUP(A1105,depara!A:B,2,0),A1105)</f>
        <v>P0001062</v>
      </c>
      <c r="E1105">
        <f>VLOOKUP(B1105,'inumos depara'!$A:$B,2,0)</f>
        <v>16298591</v>
      </c>
      <c r="F1105" s="1" t="str">
        <f t="shared" si="34"/>
        <v>0.0005</v>
      </c>
      <c r="G1105" t="str">
        <f t="shared" si="35"/>
        <v>P0001062,16298591,0.0005</v>
      </c>
    </row>
    <row r="1106" spans="1:7" x14ac:dyDescent="0.25">
      <c r="A1106" s="1" t="s">
        <v>147</v>
      </c>
      <c r="B1106" s="1" t="s">
        <v>1217</v>
      </c>
      <c r="C1106" s="1" t="s">
        <v>64</v>
      </c>
      <c r="D1106" t="str">
        <f>IFERROR(VLOOKUP(A1106,depara!A:B,2,0),A1106)</f>
        <v>P0001062</v>
      </c>
      <c r="E1106">
        <f>VLOOKUP(B1106,'inumos depara'!$A:$B,2,0)</f>
        <v>16298622</v>
      </c>
      <c r="F1106" s="1" t="str">
        <f t="shared" si="34"/>
        <v>0.02</v>
      </c>
      <c r="G1106" t="str">
        <f t="shared" si="35"/>
        <v>P0001062,16298622,0.02</v>
      </c>
    </row>
    <row r="1107" spans="1:7" x14ac:dyDescent="0.25">
      <c r="A1107" s="1" t="s">
        <v>147</v>
      </c>
      <c r="B1107" s="1" t="s">
        <v>1187</v>
      </c>
      <c r="C1107" s="1" t="s">
        <v>6</v>
      </c>
      <c r="D1107" t="str">
        <f>IFERROR(VLOOKUP(A1107,depara!A:B,2,0),A1107)</f>
        <v>P0001062</v>
      </c>
      <c r="E1107">
        <f>VLOOKUP(B1107,'inumos depara'!$A:$B,2,0)</f>
        <v>16298593</v>
      </c>
      <c r="F1107" s="1" t="str">
        <f t="shared" si="34"/>
        <v>0.01</v>
      </c>
      <c r="G1107" t="str">
        <f t="shared" si="35"/>
        <v>P0001062,16298593,0.01</v>
      </c>
    </row>
    <row r="1108" spans="1:7" x14ac:dyDescent="0.25">
      <c r="A1108" s="1" t="s">
        <v>147</v>
      </c>
      <c r="B1108" s="1" t="s">
        <v>1189</v>
      </c>
      <c r="C1108" s="1" t="s">
        <v>68</v>
      </c>
      <c r="D1108" t="str">
        <f>IFERROR(VLOOKUP(A1108,depara!A:B,2,0),A1108)</f>
        <v>P0001062</v>
      </c>
      <c r="E1108">
        <f>VLOOKUP(B1108,'inumos depara'!$A:$B,2,0)</f>
        <v>16298595</v>
      </c>
      <c r="F1108" s="1" t="str">
        <f t="shared" si="34"/>
        <v>0.004</v>
      </c>
      <c r="G1108" t="str">
        <f t="shared" si="35"/>
        <v>P0001062,16298595,0.004</v>
      </c>
    </row>
    <row r="1109" spans="1:7" x14ac:dyDescent="0.25">
      <c r="A1109" s="1" t="s">
        <v>147</v>
      </c>
      <c r="B1109" s="1" t="s">
        <v>1212</v>
      </c>
      <c r="C1109" s="1" t="s">
        <v>7</v>
      </c>
      <c r="D1109" t="str">
        <f>IFERROR(VLOOKUP(A1109,depara!A:B,2,0),A1109)</f>
        <v>P0001062</v>
      </c>
      <c r="E1109">
        <f>VLOOKUP(B1109,'inumos depara'!$A:$B,2,0)</f>
        <v>16298617</v>
      </c>
      <c r="F1109" s="1" t="str">
        <f t="shared" si="34"/>
        <v>0.025</v>
      </c>
      <c r="G1109" t="str">
        <f t="shared" si="35"/>
        <v>P0001062,16298617,0.025</v>
      </c>
    </row>
    <row r="1110" spans="1:7" x14ac:dyDescent="0.25">
      <c r="A1110" s="1" t="s">
        <v>147</v>
      </c>
      <c r="B1110" s="1" t="s">
        <v>1200</v>
      </c>
      <c r="C1110" s="1" t="s">
        <v>8</v>
      </c>
      <c r="D1110" t="str">
        <f>IFERROR(VLOOKUP(A1110,depara!A:B,2,0),A1110)</f>
        <v>P0001062</v>
      </c>
      <c r="E1110">
        <f>VLOOKUP(B1110,'inumos depara'!$A:$B,2,0)</f>
        <v>16298605</v>
      </c>
      <c r="F1110" s="1" t="str">
        <f t="shared" si="34"/>
        <v>0.06</v>
      </c>
      <c r="G1110" t="str">
        <f t="shared" si="35"/>
        <v>P0001062,16298605,0.06</v>
      </c>
    </row>
    <row r="1111" spans="1:7" x14ac:dyDescent="0.25">
      <c r="A1111" s="1" t="s">
        <v>147</v>
      </c>
      <c r="B1111" s="1" t="s">
        <v>1213</v>
      </c>
      <c r="C1111" s="1" t="s">
        <v>4</v>
      </c>
      <c r="D1111" t="str">
        <f>IFERROR(VLOOKUP(A1111,depara!A:B,2,0),A1111)</f>
        <v>P0001062</v>
      </c>
      <c r="E1111">
        <f>VLOOKUP(B1111,'inumos depara'!$A:$B,2,0)</f>
        <v>16298618</v>
      </c>
      <c r="F1111" s="1" t="str">
        <f t="shared" si="34"/>
        <v>0.005</v>
      </c>
      <c r="G1111" t="str">
        <f t="shared" si="35"/>
        <v>P0001062,16298618,0.005</v>
      </c>
    </row>
    <row r="1112" spans="1:7" x14ac:dyDescent="0.25">
      <c r="A1112" s="1" t="s">
        <v>147</v>
      </c>
      <c r="B1112" s="1" t="s">
        <v>1565</v>
      </c>
      <c r="C1112" s="1" t="s">
        <v>10</v>
      </c>
      <c r="D1112" t="str">
        <f>IFERROR(VLOOKUP(A1112,depara!A:B,2,0),A1112)</f>
        <v>P0001062</v>
      </c>
      <c r="E1112">
        <f>VLOOKUP(B1112,'inumos depara'!$A:$B,2,0)</f>
        <v>16298939</v>
      </c>
      <c r="F1112" s="1" t="str">
        <f t="shared" si="34"/>
        <v>0.001</v>
      </c>
      <c r="G1112" t="str">
        <f t="shared" si="35"/>
        <v>P0001062,16298939,0.001</v>
      </c>
    </row>
    <row r="1113" spans="1:7" x14ac:dyDescent="0.25">
      <c r="A1113" s="1" t="s">
        <v>147</v>
      </c>
      <c r="B1113" s="1" t="s">
        <v>1216</v>
      </c>
      <c r="C1113" s="1" t="s">
        <v>68</v>
      </c>
      <c r="D1113" t="str">
        <f>IFERROR(VLOOKUP(A1113,depara!A:B,2,0),A1113)</f>
        <v>P0001062</v>
      </c>
      <c r="E1113">
        <f>VLOOKUP(B1113,'inumos depara'!$A:$B,2,0)</f>
        <v>16298621</v>
      </c>
      <c r="F1113" s="1" t="str">
        <f t="shared" si="34"/>
        <v>0.004</v>
      </c>
      <c r="G1113" t="str">
        <f t="shared" si="35"/>
        <v>P0001062,16298621,0.004</v>
      </c>
    </row>
    <row r="1114" spans="1:7" x14ac:dyDescent="0.25">
      <c r="A1114" s="1" t="s">
        <v>147</v>
      </c>
      <c r="B1114" s="1" t="s">
        <v>1192</v>
      </c>
      <c r="C1114" s="1" t="s">
        <v>64</v>
      </c>
      <c r="D1114" t="str">
        <f>IFERROR(VLOOKUP(A1114,depara!A:B,2,0),A1114)</f>
        <v>P0001062</v>
      </c>
      <c r="E1114">
        <f>VLOOKUP(B1114,'inumos depara'!$A:$B,2,0)</f>
        <v>16298598</v>
      </c>
      <c r="F1114" s="1" t="str">
        <f t="shared" si="34"/>
        <v>0.02</v>
      </c>
      <c r="G1114" t="str">
        <f t="shared" si="35"/>
        <v>P0001062,16298598,0.02</v>
      </c>
    </row>
    <row r="1115" spans="1:7" x14ac:dyDescent="0.25">
      <c r="A1115" s="1" t="s">
        <v>147</v>
      </c>
      <c r="B1115" s="1" t="s">
        <v>1199</v>
      </c>
      <c r="C1115" s="1" t="s">
        <v>1</v>
      </c>
      <c r="D1115" t="str">
        <f>IFERROR(VLOOKUP(A1115,depara!A:B,2,0),A1115)</f>
        <v>P0001062</v>
      </c>
      <c r="E1115">
        <f>VLOOKUP(B1115,'inumos depara'!$A:$B,2,0)</f>
        <v>16298604</v>
      </c>
      <c r="F1115" s="1" t="str">
        <f t="shared" si="34"/>
        <v>0.003</v>
      </c>
      <c r="G1115" t="str">
        <f t="shared" si="35"/>
        <v>P0001062,16298604,0.003</v>
      </c>
    </row>
    <row r="1116" spans="1:7" x14ac:dyDescent="0.25">
      <c r="A1116" s="1" t="s">
        <v>147</v>
      </c>
      <c r="B1116" s="1" t="s">
        <v>1193</v>
      </c>
      <c r="C1116" s="1" t="s">
        <v>76</v>
      </c>
      <c r="D1116" t="str">
        <f>IFERROR(VLOOKUP(A1116,depara!A:B,2,0),A1116)</f>
        <v>P0001062</v>
      </c>
      <c r="E1116">
        <f>VLOOKUP(B1116,'inumos depara'!$A:$B,2,0)</f>
        <v>16298599</v>
      </c>
      <c r="F1116" s="1" t="str">
        <f t="shared" si="34"/>
        <v>0.03</v>
      </c>
      <c r="G1116" t="str">
        <f t="shared" si="35"/>
        <v>P0001062,16298599,0.03</v>
      </c>
    </row>
    <row r="1117" spans="1:7" x14ac:dyDescent="0.25">
      <c r="A1117" s="1" t="s">
        <v>147</v>
      </c>
      <c r="B1117" s="1" t="s">
        <v>1210</v>
      </c>
      <c r="C1117" s="1" t="s">
        <v>446</v>
      </c>
      <c r="D1117" t="str">
        <f>IFERROR(VLOOKUP(A1117,depara!A:B,2,0),A1117)</f>
        <v>P0001062</v>
      </c>
      <c r="E1117">
        <f>VLOOKUP(B1117,'inumos depara'!$A:$B,2,0)</f>
        <v>16298615</v>
      </c>
      <c r="F1117" s="1" t="str">
        <f t="shared" si="34"/>
        <v>0.0003</v>
      </c>
      <c r="G1117" t="str">
        <f t="shared" si="35"/>
        <v>P0001062,16298615,0.0003</v>
      </c>
    </row>
    <row r="1118" spans="1:7" x14ac:dyDescent="0.25">
      <c r="A1118" s="1" t="s">
        <v>147</v>
      </c>
      <c r="B1118" s="1" t="s">
        <v>1233</v>
      </c>
      <c r="C1118" s="1" t="s">
        <v>462</v>
      </c>
      <c r="D1118" t="str">
        <f>IFERROR(VLOOKUP(A1118,depara!A:B,2,0),A1118)</f>
        <v>P0001062</v>
      </c>
      <c r="E1118">
        <f>VLOOKUP(B1118,'inumos depara'!$A:$B,2,0)</f>
        <v>16298636</v>
      </c>
      <c r="F1118" s="1" t="str">
        <f t="shared" si="34"/>
        <v>0.0125</v>
      </c>
      <c r="G1118" t="str">
        <f t="shared" si="35"/>
        <v>P0001062,16298636,0.0125</v>
      </c>
    </row>
    <row r="1119" spans="1:7" x14ac:dyDescent="0.25">
      <c r="A1119" s="1" t="s">
        <v>147</v>
      </c>
      <c r="B1119" s="1" t="s">
        <v>1194</v>
      </c>
      <c r="C1119" s="1" t="s">
        <v>0</v>
      </c>
      <c r="D1119" t="str">
        <f>IFERROR(VLOOKUP(A1119,depara!A:B,2,0),A1119)</f>
        <v>P0001062</v>
      </c>
      <c r="E1119">
        <f>VLOOKUP(B1119,'inumos depara'!$A:$B,2,0)</f>
        <v>16298600</v>
      </c>
      <c r="F1119" s="1" t="str">
        <f t="shared" si="34"/>
        <v>0.05</v>
      </c>
      <c r="G1119" t="str">
        <f t="shared" si="35"/>
        <v>P0001062,16298600,0.05</v>
      </c>
    </row>
    <row r="1120" spans="1:7" x14ac:dyDescent="0.25">
      <c r="A1120" s="1" t="s">
        <v>147</v>
      </c>
      <c r="B1120" s="1" t="s">
        <v>1195</v>
      </c>
      <c r="C1120" s="1" t="s">
        <v>450</v>
      </c>
      <c r="D1120" t="str">
        <f>IFERROR(VLOOKUP(A1120,depara!A:B,2,0),A1120)</f>
        <v>P0001062</v>
      </c>
      <c r="E1120">
        <f>VLOOKUP(B1120,'inumos depara'!$A:$B,2,0)</f>
        <v>16298601</v>
      </c>
      <c r="F1120" s="1" t="str">
        <f t="shared" si="34"/>
        <v>0.35</v>
      </c>
      <c r="G1120" t="str">
        <f t="shared" si="35"/>
        <v>P0001062,16298601,0.35</v>
      </c>
    </row>
    <row r="1121" spans="1:7" x14ac:dyDescent="0.25">
      <c r="A1121" s="1" t="s">
        <v>186</v>
      </c>
      <c r="B1121" s="1" t="s">
        <v>1205</v>
      </c>
      <c r="C1121" s="1" t="s">
        <v>4</v>
      </c>
      <c r="D1121" t="str">
        <f>IFERROR(VLOOKUP(A1121,depara!A:B,2,0),A1121)</f>
        <v>P0001069</v>
      </c>
      <c r="E1121">
        <f>VLOOKUP(B1121,'inumos depara'!$A:$B,2,0)</f>
        <v>16298610</v>
      </c>
      <c r="F1121" s="1" t="str">
        <f t="shared" si="34"/>
        <v>0.005</v>
      </c>
      <c r="G1121" t="str">
        <f t="shared" si="35"/>
        <v>P0001069,16298610,0.005</v>
      </c>
    </row>
    <row r="1122" spans="1:7" x14ac:dyDescent="0.25">
      <c r="A1122" s="1" t="s">
        <v>186</v>
      </c>
      <c r="B1122" s="1" t="s">
        <v>1195</v>
      </c>
      <c r="C1122" s="1" t="s">
        <v>387</v>
      </c>
      <c r="D1122" t="str">
        <f>IFERROR(VLOOKUP(A1122,depara!A:B,2,0),A1122)</f>
        <v>P0001069</v>
      </c>
      <c r="E1122">
        <f>VLOOKUP(B1122,'inumos depara'!$A:$B,2,0)</f>
        <v>16298601</v>
      </c>
      <c r="F1122" s="1" t="str">
        <f t="shared" si="34"/>
        <v>0.2</v>
      </c>
      <c r="G1122" t="str">
        <f t="shared" si="35"/>
        <v>P0001069,16298601,0.2</v>
      </c>
    </row>
    <row r="1123" spans="1:7" x14ac:dyDescent="0.25">
      <c r="A1123" s="1" t="s">
        <v>186</v>
      </c>
      <c r="B1123" s="1" t="s">
        <v>1567</v>
      </c>
      <c r="C1123" s="1" t="s">
        <v>73</v>
      </c>
      <c r="D1123" t="str">
        <f>IFERROR(VLOOKUP(A1123,depara!A:B,2,0),A1123)</f>
        <v>P0001069</v>
      </c>
      <c r="E1123">
        <f>VLOOKUP(B1123,'inumos depara'!$A:$B,2,0)</f>
        <v>16298945</v>
      </c>
      <c r="F1123" s="1" t="str">
        <f t="shared" si="34"/>
        <v>0.08</v>
      </c>
      <c r="G1123" t="str">
        <f t="shared" si="35"/>
        <v>P0001069,16298945,0.08</v>
      </c>
    </row>
    <row r="1124" spans="1:7" x14ac:dyDescent="0.25">
      <c r="A1124" s="1" t="s">
        <v>186</v>
      </c>
      <c r="B1124" s="1" t="s">
        <v>1568</v>
      </c>
      <c r="C1124" s="1" t="s">
        <v>6</v>
      </c>
      <c r="D1124" t="str">
        <f>IFERROR(VLOOKUP(A1124,depara!A:B,2,0),A1124)</f>
        <v>P0001069</v>
      </c>
      <c r="E1124">
        <f>VLOOKUP(B1124,'inumos depara'!$A:$B,2,0)</f>
        <v>16298946</v>
      </c>
      <c r="F1124" s="1" t="str">
        <f t="shared" si="34"/>
        <v>0.01</v>
      </c>
      <c r="G1124" t="str">
        <f t="shared" si="35"/>
        <v>P0001069,16298946,0.01</v>
      </c>
    </row>
    <row r="1125" spans="1:7" x14ac:dyDescent="0.25">
      <c r="A1125" s="1" t="s">
        <v>186</v>
      </c>
      <c r="B1125" s="1" t="s">
        <v>1180</v>
      </c>
      <c r="C1125" s="1" t="s">
        <v>71</v>
      </c>
      <c r="D1125" t="str">
        <f>IFERROR(VLOOKUP(A1125,depara!A:B,2,0),A1125)</f>
        <v>P0001069</v>
      </c>
      <c r="E1125">
        <f>VLOOKUP(B1125,'inumos depara'!$A:$B,2,0)</f>
        <v>16298588</v>
      </c>
      <c r="F1125" s="1" t="str">
        <f t="shared" si="34"/>
        <v>0.04</v>
      </c>
      <c r="G1125" t="str">
        <f t="shared" si="35"/>
        <v>P0001069,16298588,0.04</v>
      </c>
    </row>
    <row r="1126" spans="1:7" x14ac:dyDescent="0.25">
      <c r="A1126" s="1" t="s">
        <v>186</v>
      </c>
      <c r="B1126" s="1" t="s">
        <v>1569</v>
      </c>
      <c r="C1126" s="1" t="s">
        <v>64</v>
      </c>
      <c r="D1126" t="str">
        <f>IFERROR(VLOOKUP(A1126,depara!A:B,2,0),A1126)</f>
        <v>P0001069</v>
      </c>
      <c r="E1126">
        <f>VLOOKUP(B1126,'inumos depara'!$A:$B,2,0)</f>
        <v>16298947</v>
      </c>
      <c r="F1126" s="1" t="str">
        <f t="shared" si="34"/>
        <v>0.02</v>
      </c>
      <c r="G1126" t="str">
        <f t="shared" si="35"/>
        <v>P0001069,16298947,0.02</v>
      </c>
    </row>
    <row r="1127" spans="1:7" x14ac:dyDescent="0.25">
      <c r="A1127" s="1" t="s">
        <v>186</v>
      </c>
      <c r="B1127" s="1" t="s">
        <v>1201</v>
      </c>
      <c r="C1127" s="1" t="s">
        <v>4</v>
      </c>
      <c r="D1127" t="str">
        <f>IFERROR(VLOOKUP(A1127,depara!A:B,2,0),A1127)</f>
        <v>P0001069</v>
      </c>
      <c r="E1127">
        <f>VLOOKUP(B1127,'inumos depara'!$A:$B,2,0)</f>
        <v>16298606</v>
      </c>
      <c r="F1127" s="1" t="str">
        <f t="shared" si="34"/>
        <v>0.005</v>
      </c>
      <c r="G1127" t="str">
        <f t="shared" si="35"/>
        <v>P0001069,16298606,0.005</v>
      </c>
    </row>
    <row r="1128" spans="1:7" x14ac:dyDescent="0.25">
      <c r="A1128" s="1" t="s">
        <v>186</v>
      </c>
      <c r="B1128" s="1" t="s">
        <v>1570</v>
      </c>
      <c r="C1128" s="1" t="s">
        <v>82</v>
      </c>
      <c r="D1128" t="str">
        <f>IFERROR(VLOOKUP(A1128,depara!A:B,2,0),A1128)</f>
        <v>P0001069</v>
      </c>
      <c r="E1128">
        <f>VLOOKUP(B1128,'inumos depara'!$A:$B,2,0)</f>
        <v>16298948</v>
      </c>
      <c r="F1128" s="1" t="str">
        <f t="shared" si="34"/>
        <v>0.0005</v>
      </c>
      <c r="G1128" t="str">
        <f t="shared" si="35"/>
        <v>P0001069,16298948,0.0005</v>
      </c>
    </row>
    <row r="1129" spans="1:7" x14ac:dyDescent="0.25">
      <c r="A1129" s="1" t="s">
        <v>186</v>
      </c>
      <c r="B1129" s="1" t="s">
        <v>1571</v>
      </c>
      <c r="C1129" s="1" t="s">
        <v>6</v>
      </c>
      <c r="D1129" t="str">
        <f>IFERROR(VLOOKUP(A1129,depara!A:B,2,0),A1129)</f>
        <v>P0001069</v>
      </c>
      <c r="E1129">
        <f>VLOOKUP(B1129,'inumos depara'!$A:$B,2,0)</f>
        <v>16298949</v>
      </c>
      <c r="F1129" s="1" t="str">
        <f t="shared" si="34"/>
        <v>0.01</v>
      </c>
      <c r="G1129" t="str">
        <f t="shared" si="35"/>
        <v>P0001069,16298949,0.01</v>
      </c>
    </row>
    <row r="1130" spans="1:7" x14ac:dyDescent="0.25">
      <c r="A1130" s="1" t="s">
        <v>186</v>
      </c>
      <c r="B1130" s="1" t="s">
        <v>1224</v>
      </c>
      <c r="C1130" s="1" t="s">
        <v>64</v>
      </c>
      <c r="D1130" t="str">
        <f>IFERROR(VLOOKUP(A1130,depara!A:B,2,0),A1130)</f>
        <v>P0001069</v>
      </c>
      <c r="E1130">
        <f>VLOOKUP(B1130,'inumos depara'!$A:$B,2,0)</f>
        <v>16298628</v>
      </c>
      <c r="F1130" s="1" t="str">
        <f t="shared" si="34"/>
        <v>0.02</v>
      </c>
      <c r="G1130" t="str">
        <f t="shared" si="35"/>
        <v>P0001069,16298628,0.02</v>
      </c>
    </row>
    <row r="1131" spans="1:7" x14ac:dyDescent="0.25">
      <c r="A1131" s="1" t="s">
        <v>186</v>
      </c>
      <c r="B1131" s="1" t="s">
        <v>1572</v>
      </c>
      <c r="C1131" s="1" t="s">
        <v>64</v>
      </c>
      <c r="D1131" t="str">
        <f>IFERROR(VLOOKUP(A1131,depara!A:B,2,0),A1131)</f>
        <v>P0001069</v>
      </c>
      <c r="E1131">
        <f>VLOOKUP(B1131,'inumos depara'!$A:$B,2,0)</f>
        <v>16298950</v>
      </c>
      <c r="F1131" s="1" t="str">
        <f t="shared" si="34"/>
        <v>0.02</v>
      </c>
      <c r="G1131" t="str">
        <f t="shared" si="35"/>
        <v>P0001069,16298950,0.02</v>
      </c>
    </row>
    <row r="1132" spans="1:7" x14ac:dyDescent="0.25">
      <c r="A1132" s="1" t="s">
        <v>186</v>
      </c>
      <c r="B1132" s="1" t="s">
        <v>1215</v>
      </c>
      <c r="C1132" s="1" t="s">
        <v>0</v>
      </c>
      <c r="D1132" t="str">
        <f>IFERROR(VLOOKUP(A1132,depara!A:B,2,0),A1132)</f>
        <v>P0001069</v>
      </c>
      <c r="E1132">
        <f>VLOOKUP(B1132,'inumos depara'!$A:$B,2,0)</f>
        <v>16298620</v>
      </c>
      <c r="F1132" s="1" t="str">
        <f t="shared" si="34"/>
        <v>0.05</v>
      </c>
      <c r="G1132" t="str">
        <f t="shared" si="35"/>
        <v>P0001069,16298620,0.05</v>
      </c>
    </row>
    <row r="1133" spans="1:7" x14ac:dyDescent="0.25">
      <c r="A1133" s="1" t="s">
        <v>186</v>
      </c>
      <c r="B1133" s="1" t="s">
        <v>1207</v>
      </c>
      <c r="C1133" s="1" t="s">
        <v>461</v>
      </c>
      <c r="D1133" t="str">
        <f>IFERROR(VLOOKUP(A1133,depara!A:B,2,0),A1133)</f>
        <v>P0001069</v>
      </c>
      <c r="E1133">
        <f>VLOOKUP(B1133,'inumos depara'!$A:$B,2,0)</f>
        <v>16298613</v>
      </c>
      <c r="F1133" s="1" t="str">
        <f t="shared" si="34"/>
        <v>0.0006</v>
      </c>
      <c r="G1133" t="str">
        <f t="shared" si="35"/>
        <v>P0001069,16298613,0.0006</v>
      </c>
    </row>
    <row r="1134" spans="1:7" x14ac:dyDescent="0.25">
      <c r="A1134" s="1" t="s">
        <v>166</v>
      </c>
      <c r="B1134" s="1" t="s">
        <v>1221</v>
      </c>
      <c r="C1134" s="1" t="s">
        <v>5</v>
      </c>
      <c r="D1134" t="str">
        <f>IFERROR(VLOOKUP(A1134,depara!A:B,2,0),A1134)</f>
        <v>P0001070</v>
      </c>
      <c r="E1134">
        <f>VLOOKUP(B1134,'inumos depara'!$A:$B,2,0)</f>
        <v>16298626</v>
      </c>
      <c r="F1134" s="1" t="str">
        <f t="shared" si="34"/>
        <v>0.002</v>
      </c>
      <c r="G1134" t="str">
        <f t="shared" si="35"/>
        <v>P0001070,16298626,0.002</v>
      </c>
    </row>
    <row r="1135" spans="1:7" x14ac:dyDescent="0.25">
      <c r="A1135" s="1" t="s">
        <v>166</v>
      </c>
      <c r="B1135" s="1" t="s">
        <v>1222</v>
      </c>
      <c r="C1135" s="1" t="s">
        <v>446</v>
      </c>
      <c r="D1135" t="str">
        <f>IFERROR(VLOOKUP(A1135,depara!A:B,2,0),A1135)</f>
        <v>P0001070</v>
      </c>
      <c r="E1135">
        <f>VLOOKUP(B1135,'inumos depara'!$A:$B,2,0)</f>
        <v>16298627</v>
      </c>
      <c r="F1135" s="1" t="str">
        <f t="shared" si="34"/>
        <v>0.0003</v>
      </c>
      <c r="G1135" t="str">
        <f t="shared" si="35"/>
        <v>P0001070,16298627,0.0003</v>
      </c>
    </row>
    <row r="1136" spans="1:7" x14ac:dyDescent="0.25">
      <c r="A1136" s="1" t="s">
        <v>166</v>
      </c>
      <c r="B1136" s="1" t="s">
        <v>1215</v>
      </c>
      <c r="C1136" s="1" t="s">
        <v>1</v>
      </c>
      <c r="D1136" t="str">
        <f>IFERROR(VLOOKUP(A1136,depara!A:B,2,0),A1136)</f>
        <v>P0001070</v>
      </c>
      <c r="E1136">
        <f>VLOOKUP(B1136,'inumos depara'!$A:$B,2,0)</f>
        <v>16298620</v>
      </c>
      <c r="F1136" s="1" t="str">
        <f t="shared" si="34"/>
        <v>0.003</v>
      </c>
      <c r="G1136" t="str">
        <f t="shared" si="35"/>
        <v>P0001070,16298620,0.003</v>
      </c>
    </row>
    <row r="1137" spans="1:7" x14ac:dyDescent="0.25">
      <c r="A1137" s="1" t="s">
        <v>166</v>
      </c>
      <c r="B1137" s="1" t="s">
        <v>1180</v>
      </c>
      <c r="C1137" s="1" t="s">
        <v>0</v>
      </c>
      <c r="D1137" t="str">
        <f>IFERROR(VLOOKUP(A1137,depara!A:B,2,0),A1137)</f>
        <v>P0001070</v>
      </c>
      <c r="E1137">
        <f>VLOOKUP(B1137,'inumos depara'!$A:$B,2,0)</f>
        <v>16298588</v>
      </c>
      <c r="F1137" s="1" t="str">
        <f t="shared" si="34"/>
        <v>0.05</v>
      </c>
      <c r="G1137" t="str">
        <f t="shared" si="35"/>
        <v>P0001070,16298588,0.05</v>
      </c>
    </row>
    <row r="1138" spans="1:7" x14ac:dyDescent="0.25">
      <c r="A1138" s="1" t="s">
        <v>166</v>
      </c>
      <c r="B1138" s="1" t="s">
        <v>1185</v>
      </c>
      <c r="C1138" s="1" t="s">
        <v>82</v>
      </c>
      <c r="D1138" t="str">
        <f>IFERROR(VLOOKUP(A1138,depara!A:B,2,0),A1138)</f>
        <v>P0001070</v>
      </c>
      <c r="E1138">
        <f>VLOOKUP(B1138,'inumos depara'!$A:$B,2,0)</f>
        <v>16298591</v>
      </c>
      <c r="F1138" s="1" t="str">
        <f t="shared" si="34"/>
        <v>0.0005</v>
      </c>
      <c r="G1138" t="str">
        <f t="shared" si="35"/>
        <v>P0001070,16298591,0.0005</v>
      </c>
    </row>
    <row r="1139" spans="1:7" x14ac:dyDescent="0.25">
      <c r="A1139" s="1" t="s">
        <v>166</v>
      </c>
      <c r="B1139" s="1" t="s">
        <v>1211</v>
      </c>
      <c r="C1139" s="1" t="s">
        <v>5</v>
      </c>
      <c r="D1139" t="str">
        <f>IFERROR(VLOOKUP(A1139,depara!A:B,2,0),A1139)</f>
        <v>P0001070</v>
      </c>
      <c r="E1139">
        <f>VLOOKUP(B1139,'inumos depara'!$A:$B,2,0)</f>
        <v>16298616</v>
      </c>
      <c r="F1139" s="1" t="str">
        <f t="shared" si="34"/>
        <v>0.002</v>
      </c>
      <c r="G1139" t="str">
        <f t="shared" si="35"/>
        <v>P0001070,16298616,0.002</v>
      </c>
    </row>
    <row r="1140" spans="1:7" x14ac:dyDescent="0.25">
      <c r="A1140" s="1" t="s">
        <v>166</v>
      </c>
      <c r="B1140" s="1" t="s">
        <v>1187</v>
      </c>
      <c r="C1140" s="1" t="s">
        <v>64</v>
      </c>
      <c r="D1140" t="str">
        <f>IFERROR(VLOOKUP(A1140,depara!A:B,2,0),A1140)</f>
        <v>P0001070</v>
      </c>
      <c r="E1140">
        <f>VLOOKUP(B1140,'inumos depara'!$A:$B,2,0)</f>
        <v>16298593</v>
      </c>
      <c r="F1140" s="1" t="str">
        <f t="shared" si="34"/>
        <v>0.02</v>
      </c>
      <c r="G1140" t="str">
        <f t="shared" si="35"/>
        <v>P0001070,16298593,0.02</v>
      </c>
    </row>
    <row r="1141" spans="1:7" x14ac:dyDescent="0.25">
      <c r="A1141" s="1" t="s">
        <v>166</v>
      </c>
      <c r="B1141" s="1" t="s">
        <v>1212</v>
      </c>
      <c r="C1141" s="1" t="s">
        <v>1</v>
      </c>
      <c r="D1141" t="str">
        <f>IFERROR(VLOOKUP(A1141,depara!A:B,2,0),A1141)</f>
        <v>P0001070</v>
      </c>
      <c r="E1141">
        <f>VLOOKUP(B1141,'inumos depara'!$A:$B,2,0)</f>
        <v>16298617</v>
      </c>
      <c r="F1141" s="1" t="str">
        <f t="shared" si="34"/>
        <v>0.003</v>
      </c>
      <c r="G1141" t="str">
        <f t="shared" si="35"/>
        <v>P0001070,16298617,0.003</v>
      </c>
    </row>
    <row r="1142" spans="1:7" x14ac:dyDescent="0.25">
      <c r="A1142" s="1" t="s">
        <v>166</v>
      </c>
      <c r="B1142" s="1" t="s">
        <v>1200</v>
      </c>
      <c r="C1142" s="1" t="s">
        <v>66</v>
      </c>
      <c r="D1142" t="str">
        <f>IFERROR(VLOOKUP(A1142,depara!A:B,2,0),A1142)</f>
        <v>P0001070</v>
      </c>
      <c r="E1142">
        <f>VLOOKUP(B1142,'inumos depara'!$A:$B,2,0)</f>
        <v>16298605</v>
      </c>
      <c r="F1142" s="1" t="str">
        <f t="shared" si="34"/>
        <v>0.07</v>
      </c>
      <c r="G1142" t="str">
        <f t="shared" si="35"/>
        <v>P0001070,16298605,0.07</v>
      </c>
    </row>
    <row r="1143" spans="1:7" x14ac:dyDescent="0.25">
      <c r="A1143" s="1" t="s">
        <v>166</v>
      </c>
      <c r="B1143" s="1" t="s">
        <v>1216</v>
      </c>
      <c r="C1143" s="1" t="s">
        <v>68</v>
      </c>
      <c r="D1143" t="str">
        <f>IFERROR(VLOOKUP(A1143,depara!A:B,2,0),A1143)</f>
        <v>P0001070</v>
      </c>
      <c r="E1143">
        <f>VLOOKUP(B1143,'inumos depara'!$A:$B,2,0)</f>
        <v>16298621</v>
      </c>
      <c r="F1143" s="1" t="str">
        <f t="shared" si="34"/>
        <v>0.004</v>
      </c>
      <c r="G1143" t="str">
        <f t="shared" si="35"/>
        <v>P0001070,16298621,0.004</v>
      </c>
    </row>
    <row r="1144" spans="1:7" x14ac:dyDescent="0.25">
      <c r="A1144" s="1" t="s">
        <v>166</v>
      </c>
      <c r="B1144" s="1" t="s">
        <v>1192</v>
      </c>
      <c r="C1144" s="1" t="s">
        <v>64</v>
      </c>
      <c r="D1144" t="str">
        <f>IFERROR(VLOOKUP(A1144,depara!A:B,2,0),A1144)</f>
        <v>P0001070</v>
      </c>
      <c r="E1144">
        <f>VLOOKUP(B1144,'inumos depara'!$A:$B,2,0)</f>
        <v>16298598</v>
      </c>
      <c r="F1144" s="1" t="str">
        <f t="shared" si="34"/>
        <v>0.02</v>
      </c>
      <c r="G1144" t="str">
        <f t="shared" si="35"/>
        <v>P0001070,16298598,0.02</v>
      </c>
    </row>
    <row r="1145" spans="1:7" x14ac:dyDescent="0.25">
      <c r="A1145" s="1" t="s">
        <v>166</v>
      </c>
      <c r="B1145" s="1" t="s">
        <v>1199</v>
      </c>
      <c r="C1145" s="1" t="s">
        <v>4</v>
      </c>
      <c r="D1145" t="str">
        <f>IFERROR(VLOOKUP(A1145,depara!A:B,2,0),A1145)</f>
        <v>P0001070</v>
      </c>
      <c r="E1145">
        <f>VLOOKUP(B1145,'inumos depara'!$A:$B,2,0)</f>
        <v>16298604</v>
      </c>
      <c r="F1145" s="1" t="str">
        <f t="shared" si="34"/>
        <v>0.005</v>
      </c>
      <c r="G1145" t="str">
        <f t="shared" si="35"/>
        <v>P0001070,16298604,0.005</v>
      </c>
    </row>
    <row r="1146" spans="1:7" x14ac:dyDescent="0.25">
      <c r="A1146" s="1" t="s">
        <v>166</v>
      </c>
      <c r="B1146" s="1" t="s">
        <v>1193</v>
      </c>
      <c r="C1146" s="1" t="s">
        <v>76</v>
      </c>
      <c r="D1146" t="str">
        <f>IFERROR(VLOOKUP(A1146,depara!A:B,2,0),A1146)</f>
        <v>P0001070</v>
      </c>
      <c r="E1146">
        <f>VLOOKUP(B1146,'inumos depara'!$A:$B,2,0)</f>
        <v>16298599</v>
      </c>
      <c r="F1146" s="1" t="str">
        <f t="shared" si="34"/>
        <v>0.03</v>
      </c>
      <c r="G1146" t="str">
        <f t="shared" si="35"/>
        <v>P0001070,16298599,0.03</v>
      </c>
    </row>
    <row r="1147" spans="1:7" x14ac:dyDescent="0.25">
      <c r="A1147" s="1" t="s">
        <v>166</v>
      </c>
      <c r="B1147" s="1" t="s">
        <v>1165</v>
      </c>
      <c r="C1147" s="1" t="s">
        <v>76</v>
      </c>
      <c r="D1147" t="str">
        <f>IFERROR(VLOOKUP(A1147,depara!A:B,2,0),A1147)</f>
        <v>P0001070</v>
      </c>
      <c r="E1147">
        <f>VLOOKUP(B1147,'inumos depara'!$A:$B,2,0)</f>
        <v>16298574</v>
      </c>
      <c r="F1147" s="1" t="str">
        <f t="shared" si="34"/>
        <v>0.03</v>
      </c>
      <c r="G1147" t="str">
        <f t="shared" si="35"/>
        <v>P0001070,16298574,0.03</v>
      </c>
    </row>
    <row r="1148" spans="1:7" x14ac:dyDescent="0.25">
      <c r="A1148" s="1" t="s">
        <v>166</v>
      </c>
      <c r="B1148" s="1" t="s">
        <v>1210</v>
      </c>
      <c r="C1148" s="1" t="s">
        <v>10</v>
      </c>
      <c r="D1148" t="str">
        <f>IFERROR(VLOOKUP(A1148,depara!A:B,2,0),A1148)</f>
        <v>P0001070</v>
      </c>
      <c r="E1148">
        <f>VLOOKUP(B1148,'inumos depara'!$A:$B,2,0)</f>
        <v>16298615</v>
      </c>
      <c r="F1148" s="1" t="str">
        <f t="shared" si="34"/>
        <v>0.001</v>
      </c>
      <c r="G1148" t="str">
        <f t="shared" si="35"/>
        <v>P0001070,16298615,0.001</v>
      </c>
    </row>
    <row r="1149" spans="1:7" x14ac:dyDescent="0.25">
      <c r="A1149" s="1" t="s">
        <v>166</v>
      </c>
      <c r="B1149" s="1" t="s">
        <v>1224</v>
      </c>
      <c r="C1149" s="1" t="s">
        <v>4</v>
      </c>
      <c r="D1149" t="str">
        <f>IFERROR(VLOOKUP(A1149,depara!A:B,2,0),A1149)</f>
        <v>P0001070</v>
      </c>
      <c r="E1149">
        <f>VLOOKUP(B1149,'inumos depara'!$A:$B,2,0)</f>
        <v>16298628</v>
      </c>
      <c r="F1149" s="1" t="str">
        <f t="shared" si="34"/>
        <v>0.005</v>
      </c>
      <c r="G1149" t="str">
        <f t="shared" si="35"/>
        <v>P0001070,16298628,0.005</v>
      </c>
    </row>
    <row r="1150" spans="1:7" x14ac:dyDescent="0.25">
      <c r="A1150" s="1" t="s">
        <v>166</v>
      </c>
      <c r="B1150" s="1" t="s">
        <v>1194</v>
      </c>
      <c r="C1150" s="1" t="s">
        <v>76</v>
      </c>
      <c r="D1150" t="str">
        <f>IFERROR(VLOOKUP(A1150,depara!A:B,2,0),A1150)</f>
        <v>P0001070</v>
      </c>
      <c r="E1150">
        <f>VLOOKUP(B1150,'inumos depara'!$A:$B,2,0)</f>
        <v>16298600</v>
      </c>
      <c r="F1150" s="1" t="str">
        <f t="shared" si="34"/>
        <v>0.03</v>
      </c>
      <c r="G1150" t="str">
        <f t="shared" si="35"/>
        <v>P0001070,16298600,0.03</v>
      </c>
    </row>
    <row r="1151" spans="1:7" x14ac:dyDescent="0.25">
      <c r="A1151" s="1" t="s">
        <v>166</v>
      </c>
      <c r="B1151" s="1" t="s">
        <v>1195</v>
      </c>
      <c r="C1151" s="1" t="s">
        <v>450</v>
      </c>
      <c r="D1151" t="str">
        <f>IFERROR(VLOOKUP(A1151,depara!A:B,2,0),A1151)</f>
        <v>P0001070</v>
      </c>
      <c r="E1151">
        <f>VLOOKUP(B1151,'inumos depara'!$A:$B,2,0)</f>
        <v>16298601</v>
      </c>
      <c r="F1151" s="1" t="str">
        <f t="shared" si="34"/>
        <v>0.35</v>
      </c>
      <c r="G1151" t="str">
        <f t="shared" si="35"/>
        <v>P0001070,16298601,0.35</v>
      </c>
    </row>
    <row r="1152" spans="1:7" x14ac:dyDescent="0.25">
      <c r="A1152" s="1" t="s">
        <v>463</v>
      </c>
      <c r="B1152" s="1" t="s">
        <v>1316</v>
      </c>
      <c r="C1152" s="1" t="s">
        <v>464</v>
      </c>
      <c r="D1152">
        <f>IFERROR(VLOOKUP(A1152,depara!A:B,2,0),A1152)</f>
        <v>16598565</v>
      </c>
      <c r="E1152">
        <f>VLOOKUP(B1152,'inumos depara'!$A:$B,2,0)</f>
        <v>16298714</v>
      </c>
      <c r="F1152" s="1" t="str">
        <f t="shared" si="34"/>
        <v>0.00202040610162643</v>
      </c>
      <c r="G1152" t="str">
        <f t="shared" si="35"/>
        <v>16598565,16298714,0.00202040610162643</v>
      </c>
    </row>
    <row r="1153" spans="1:7" x14ac:dyDescent="0.25">
      <c r="A1153" s="1" t="s">
        <v>463</v>
      </c>
      <c r="B1153" s="1" t="s">
        <v>378</v>
      </c>
      <c r="C1153" s="1" t="s">
        <v>465</v>
      </c>
      <c r="D1153">
        <f>IFERROR(VLOOKUP(A1153,depara!A:B,2,0),A1153)</f>
        <v>16598565</v>
      </c>
      <c r="E1153">
        <f>VLOOKUP(B1153,'inumos depara'!$A:$B,2,0)</f>
        <v>16298878</v>
      </c>
      <c r="F1153" s="1" t="str">
        <f t="shared" si="34"/>
        <v>0.00101020305081321</v>
      </c>
      <c r="G1153" t="str">
        <f t="shared" si="35"/>
        <v>16598565,16298878,0.00101020305081321</v>
      </c>
    </row>
    <row r="1154" spans="1:7" x14ac:dyDescent="0.25">
      <c r="A1154" s="1" t="s">
        <v>463</v>
      </c>
      <c r="B1154" s="1" t="s">
        <v>1528</v>
      </c>
      <c r="C1154" s="1" t="s">
        <v>466</v>
      </c>
      <c r="D1154">
        <f>IFERROR(VLOOKUP(A1154,depara!A:B,2,0),A1154)</f>
        <v>16598565</v>
      </c>
      <c r="E1154">
        <f>VLOOKUP(B1154,'inumos depara'!$A:$B,2,0)</f>
        <v>16298879</v>
      </c>
      <c r="F1154" s="1" t="str">
        <f t="shared" ref="F1154:F1217" si="36">C1154</f>
        <v>0.000101020305081321</v>
      </c>
      <c r="G1154" t="str">
        <f t="shared" ref="G1154:G1217" si="37">D1154&amp;","&amp;E1154&amp;","&amp;F1154</f>
        <v>16598565,16298879,0.000101020305081321</v>
      </c>
    </row>
    <row r="1155" spans="1:7" x14ac:dyDescent="0.25">
      <c r="A1155" s="1" t="s">
        <v>463</v>
      </c>
      <c r="B1155" s="1" t="s">
        <v>380</v>
      </c>
      <c r="C1155" s="1" t="s">
        <v>467</v>
      </c>
      <c r="D1155">
        <f>IFERROR(VLOOKUP(A1155,depara!A:B,2,0),A1155)</f>
        <v>16598565</v>
      </c>
      <c r="E1155">
        <f>VLOOKUP(B1155,'inumos depara'!$A:$B,2,0)</f>
        <v>16298880</v>
      </c>
      <c r="F1155" s="1" t="str">
        <f t="shared" si="36"/>
        <v>0.0968784725729872</v>
      </c>
      <c r="G1155" t="str">
        <f t="shared" si="37"/>
        <v>16598565,16298880,0.0968784725729872</v>
      </c>
    </row>
    <row r="1156" spans="1:7" x14ac:dyDescent="0.25">
      <c r="A1156" s="1" t="s">
        <v>463</v>
      </c>
      <c r="B1156" s="1" t="s">
        <v>382</v>
      </c>
      <c r="C1156" s="1" t="s">
        <v>465</v>
      </c>
      <c r="D1156">
        <f>IFERROR(VLOOKUP(A1156,depara!A:B,2,0),A1156)</f>
        <v>16598565</v>
      </c>
      <c r="E1156">
        <f>VLOOKUP(B1156,'inumos depara'!$A:$B,2,0)</f>
        <v>16298881</v>
      </c>
      <c r="F1156" s="1" t="str">
        <f t="shared" si="36"/>
        <v>0.00101020305081321</v>
      </c>
      <c r="G1156" t="str">
        <f t="shared" si="37"/>
        <v>16598565,16298881,0.00101020305081321</v>
      </c>
    </row>
    <row r="1157" spans="1:7" x14ac:dyDescent="0.25">
      <c r="A1157" s="1" t="s">
        <v>463</v>
      </c>
      <c r="B1157" s="1" t="s">
        <v>468</v>
      </c>
      <c r="C1157" s="1" t="s">
        <v>1573</v>
      </c>
      <c r="D1157">
        <f>IFERROR(VLOOKUP(A1157,depara!A:B,2,0),A1157)</f>
        <v>16598565</v>
      </c>
      <c r="E1157">
        <f>VLOOKUP(B1157,'inumos depara'!$A:$B,2,0)</f>
        <v>16298951</v>
      </c>
      <c r="F1157" s="1" t="str">
        <f t="shared" si="36"/>
        <v>1.01000101020305</v>
      </c>
      <c r="G1157" t="str">
        <f t="shared" si="37"/>
        <v>16598565,16298951,1.01000101020305</v>
      </c>
    </row>
    <row r="1158" spans="1:7" x14ac:dyDescent="0.25">
      <c r="A1158" s="1" t="s">
        <v>463</v>
      </c>
      <c r="B1158" s="1" t="s">
        <v>1360</v>
      </c>
      <c r="C1158" s="1" t="s">
        <v>1150</v>
      </c>
      <c r="D1158">
        <f>IFERROR(VLOOKUP(A1158,depara!A:B,2,0),A1158)</f>
        <v>16598565</v>
      </c>
      <c r="E1158">
        <f>VLOOKUP(B1158,'inumos depara'!$A:$B,2,0)</f>
        <v>16298747</v>
      </c>
      <c r="F1158" s="1" t="str">
        <f t="shared" si="36"/>
        <v>1</v>
      </c>
      <c r="G1158" t="str">
        <f t="shared" si="37"/>
        <v>16598565,16298747,1</v>
      </c>
    </row>
    <row r="1159" spans="1:7" x14ac:dyDescent="0.25">
      <c r="A1159" s="1" t="s">
        <v>463</v>
      </c>
      <c r="B1159" s="1" t="s">
        <v>163</v>
      </c>
      <c r="C1159" s="1" t="s">
        <v>469</v>
      </c>
      <c r="D1159">
        <f>IFERROR(VLOOKUP(A1159,depara!A:B,2,0),A1159)</f>
        <v>16598565</v>
      </c>
      <c r="E1159">
        <f>VLOOKUP(B1159,'inumos depara'!$A:$B,2,0)</f>
        <v>16298748</v>
      </c>
      <c r="F1159" s="1" t="str">
        <f t="shared" si="36"/>
        <v>0.0841499141327407</v>
      </c>
      <c r="G1159" t="str">
        <f t="shared" si="37"/>
        <v>16598565,16298748,0.0841499141327407</v>
      </c>
    </row>
    <row r="1160" spans="1:7" x14ac:dyDescent="0.25">
      <c r="A1160" s="1" t="s">
        <v>463</v>
      </c>
      <c r="B1160" s="1" t="s">
        <v>160</v>
      </c>
      <c r="C1160" s="1" t="s">
        <v>470</v>
      </c>
      <c r="D1160">
        <f>IFERROR(VLOOKUP(A1160,depara!A:B,2,0),A1160)</f>
        <v>16598565</v>
      </c>
      <c r="E1160">
        <f>VLOOKUP(B1160,'inumos depara'!$A:$B,2,0)</f>
        <v>16298745</v>
      </c>
      <c r="F1160" s="1" t="str">
        <f t="shared" si="36"/>
        <v>0.000909182745731892</v>
      </c>
      <c r="G1160" t="str">
        <f t="shared" si="37"/>
        <v>16598565,16298745,0.000909182745731892</v>
      </c>
    </row>
    <row r="1161" spans="1:7" x14ac:dyDescent="0.25">
      <c r="A1161" s="1" t="s">
        <v>471</v>
      </c>
      <c r="B1161" s="1" t="s">
        <v>1574</v>
      </c>
      <c r="C1161" s="1" t="s">
        <v>472</v>
      </c>
      <c r="D1161">
        <f>IFERROR(VLOOKUP(A1161,depara!A:B,2,0),A1161)</f>
        <v>16598566</v>
      </c>
      <c r="E1161">
        <f>VLOOKUP(B1161,'inumos depara'!$A:$B,2,0)</f>
        <v>16298952</v>
      </c>
      <c r="F1161" s="1" t="str">
        <f t="shared" si="36"/>
        <v>0.0879509834858525</v>
      </c>
      <c r="G1161" t="str">
        <f t="shared" si="37"/>
        <v>16598566,16298952,0.0879509834858525</v>
      </c>
    </row>
    <row r="1162" spans="1:7" x14ac:dyDescent="0.25">
      <c r="A1162" s="1" t="s">
        <v>471</v>
      </c>
      <c r="B1162" s="1" t="s">
        <v>1575</v>
      </c>
      <c r="C1162" s="1" t="s">
        <v>473</v>
      </c>
      <c r="D1162">
        <f>IFERROR(VLOOKUP(A1162,depara!A:B,2,0),A1162)</f>
        <v>16598566</v>
      </c>
      <c r="E1162">
        <f>VLOOKUP(B1162,'inumos depara'!$A:$B,2,0)</f>
        <v>16298953</v>
      </c>
      <c r="F1162" s="1" t="str">
        <f t="shared" si="36"/>
        <v>0.000184074892184706</v>
      </c>
      <c r="G1162" t="str">
        <f t="shared" si="37"/>
        <v>16598566,16298953,0.000184074892184706</v>
      </c>
    </row>
    <row r="1163" spans="1:7" x14ac:dyDescent="0.25">
      <c r="A1163" s="1" t="s">
        <v>471</v>
      </c>
      <c r="B1163" s="1" t="s">
        <v>1576</v>
      </c>
      <c r="C1163" s="1" t="s">
        <v>1577</v>
      </c>
      <c r="D1163">
        <f>IFERROR(VLOOKUP(A1163,depara!A:B,2,0),A1163)</f>
        <v>16598566</v>
      </c>
      <c r="E1163">
        <f>VLOOKUP(B1163,'inumos depara'!$A:$B,2,0)</f>
        <v>16298954</v>
      </c>
      <c r="F1163" s="1" t="str">
        <f t="shared" si="36"/>
        <v>1.84074892184706E-05</v>
      </c>
      <c r="G1163" t="str">
        <f t="shared" si="37"/>
        <v>16598566,16298954,1.84074892184706E-05</v>
      </c>
    </row>
    <row r="1164" spans="1:7" x14ac:dyDescent="0.25">
      <c r="A1164" s="1" t="s">
        <v>471</v>
      </c>
      <c r="B1164" s="1" t="s">
        <v>1228</v>
      </c>
      <c r="C1164" s="1" t="s">
        <v>1578</v>
      </c>
      <c r="D1164">
        <f>IFERROR(VLOOKUP(A1164,depara!A:B,2,0),A1164)</f>
        <v>16598566</v>
      </c>
      <c r="E1164">
        <f>VLOOKUP(B1164,'inumos depara'!$A:$B,2,0)</f>
        <v>16298631</v>
      </c>
      <c r="F1164" s="1" t="str">
        <f t="shared" si="36"/>
        <v>3.68149784369412E-05</v>
      </c>
      <c r="G1164" t="str">
        <f t="shared" si="37"/>
        <v>16598566,16298631,3.68149784369412E-05</v>
      </c>
    </row>
    <row r="1165" spans="1:7" x14ac:dyDescent="0.25">
      <c r="A1165" s="1" t="s">
        <v>471</v>
      </c>
      <c r="B1165" s="1" t="s">
        <v>1148</v>
      </c>
      <c r="C1165" s="1" t="s">
        <v>474</v>
      </c>
      <c r="D1165">
        <f>IFERROR(VLOOKUP(A1165,depara!A:B,2,0),A1165)</f>
        <v>16598566</v>
      </c>
      <c r="E1165">
        <f>VLOOKUP(B1165,'inumos depara'!$A:$B,2,0)</f>
        <v>16298560</v>
      </c>
      <c r="F1165" s="1" t="str">
        <f t="shared" si="36"/>
        <v>0.000901966971705059</v>
      </c>
      <c r="G1165" t="str">
        <f t="shared" si="37"/>
        <v>16598566,16298560,0.000901966971705059</v>
      </c>
    </row>
    <row r="1166" spans="1:7" x14ac:dyDescent="0.25">
      <c r="A1166" s="1" t="s">
        <v>471</v>
      </c>
      <c r="B1166" s="1" t="s">
        <v>475</v>
      </c>
      <c r="C1166" s="1" t="s">
        <v>476</v>
      </c>
      <c r="D1166">
        <f>IFERROR(VLOOKUP(A1166,depara!A:B,2,0),A1166)</f>
        <v>16598566</v>
      </c>
      <c r="E1166">
        <f>VLOOKUP(B1166,'inumos depara'!$A:$B,2,0)</f>
        <v>16298955</v>
      </c>
      <c r="F1166" s="1" t="str">
        <f t="shared" si="36"/>
        <v>0.00092037446092353</v>
      </c>
      <c r="G1166" t="str">
        <f t="shared" si="37"/>
        <v>16598566,16298955,0.00092037446092353</v>
      </c>
    </row>
    <row r="1167" spans="1:7" x14ac:dyDescent="0.25">
      <c r="A1167" s="1" t="s">
        <v>471</v>
      </c>
      <c r="B1167" s="1" t="s">
        <v>1156</v>
      </c>
      <c r="C1167" s="1" t="s">
        <v>477</v>
      </c>
      <c r="D1167">
        <f>IFERROR(VLOOKUP(A1167,depara!A:B,2,0),A1167)</f>
        <v>16598566</v>
      </c>
      <c r="E1167">
        <f>VLOOKUP(B1167,'inumos depara'!$A:$B,2,0)</f>
        <v>16298567</v>
      </c>
      <c r="F1167" s="1" t="str">
        <f t="shared" si="36"/>
        <v>0.000092037446092353</v>
      </c>
      <c r="G1167" t="str">
        <f t="shared" si="37"/>
        <v>16598566,16298567,0.000092037446092353</v>
      </c>
    </row>
    <row r="1168" spans="1:7" x14ac:dyDescent="0.25">
      <c r="A1168" s="1" t="s">
        <v>471</v>
      </c>
      <c r="B1168" s="1" t="s">
        <v>382</v>
      </c>
      <c r="C1168" s="1" t="s">
        <v>476</v>
      </c>
      <c r="D1168">
        <f>IFERROR(VLOOKUP(A1168,depara!A:B,2,0),A1168)</f>
        <v>16598566</v>
      </c>
      <c r="E1168">
        <f>VLOOKUP(B1168,'inumos depara'!$A:$B,2,0)</f>
        <v>16298881</v>
      </c>
      <c r="F1168" s="1" t="str">
        <f t="shared" si="36"/>
        <v>0.00092037446092353</v>
      </c>
      <c r="G1168" t="str">
        <f t="shared" si="37"/>
        <v>16598566,16298881,0.00092037446092353</v>
      </c>
    </row>
    <row r="1169" spans="1:7" x14ac:dyDescent="0.25">
      <c r="A1169" s="1" t="s">
        <v>471</v>
      </c>
      <c r="B1169" s="1" t="s">
        <v>1379</v>
      </c>
      <c r="C1169" s="1" t="s">
        <v>477</v>
      </c>
      <c r="D1169">
        <f>IFERROR(VLOOKUP(A1169,depara!A:B,2,0),A1169)</f>
        <v>16598566</v>
      </c>
      <c r="E1169">
        <f>VLOOKUP(B1169,'inumos depara'!$A:$B,2,0)</f>
        <v>16298763</v>
      </c>
      <c r="F1169" s="1" t="str">
        <f t="shared" si="36"/>
        <v>0.000092037446092353</v>
      </c>
      <c r="G1169" t="str">
        <f t="shared" si="37"/>
        <v>16598566,16298763,0.000092037446092353</v>
      </c>
    </row>
    <row r="1170" spans="1:7" x14ac:dyDescent="0.25">
      <c r="A1170" s="1" t="s">
        <v>471</v>
      </c>
      <c r="B1170" s="1" t="s">
        <v>478</v>
      </c>
      <c r="C1170" s="1" t="s">
        <v>476</v>
      </c>
      <c r="D1170">
        <f>IFERROR(VLOOKUP(A1170,depara!A:B,2,0),A1170)</f>
        <v>16598566</v>
      </c>
      <c r="E1170">
        <f>VLOOKUP(B1170,'inumos depara'!$A:$B,2,0)</f>
        <v>16298956</v>
      </c>
      <c r="F1170" s="1" t="str">
        <f t="shared" si="36"/>
        <v>0.00092037446092353</v>
      </c>
      <c r="G1170" t="str">
        <f t="shared" si="37"/>
        <v>16598566,16298956,0.00092037446092353</v>
      </c>
    </row>
    <row r="1171" spans="1:7" x14ac:dyDescent="0.25">
      <c r="A1171" s="1" t="s">
        <v>471</v>
      </c>
      <c r="B1171" s="1" t="s">
        <v>1579</v>
      </c>
      <c r="C1171" s="1" t="s">
        <v>479</v>
      </c>
      <c r="D1171">
        <f>IFERROR(VLOOKUP(A1171,depara!A:B,2,0),A1171)</f>
        <v>16598566</v>
      </c>
      <c r="E1171">
        <f>VLOOKUP(B1171,'inumos depara'!$A:$B,2,0)</f>
        <v>16298957</v>
      </c>
      <c r="F1171" s="1" t="str">
        <f t="shared" si="36"/>
        <v>0.00105185652676975</v>
      </c>
      <c r="G1171" t="str">
        <f t="shared" si="37"/>
        <v>16598566,16298957,0.00105185652676975</v>
      </c>
    </row>
    <row r="1172" spans="1:7" x14ac:dyDescent="0.25">
      <c r="A1172" s="1" t="s">
        <v>471</v>
      </c>
      <c r="B1172" s="1" t="s">
        <v>480</v>
      </c>
      <c r="C1172" s="1" t="s">
        <v>1580</v>
      </c>
      <c r="D1172">
        <f>IFERROR(VLOOKUP(A1172,depara!A:B,2,0),A1172)</f>
        <v>16598566</v>
      </c>
      <c r="E1172">
        <f>VLOOKUP(B1172,'inumos depara'!$A:$B,2,0)</f>
        <v>16298958</v>
      </c>
      <c r="F1172" s="1" t="str">
        <f t="shared" si="36"/>
        <v>1.02040601661933</v>
      </c>
      <c r="G1172" t="str">
        <f t="shared" si="37"/>
        <v>16598566,16298958,1.02040601661933</v>
      </c>
    </row>
    <row r="1173" spans="1:7" x14ac:dyDescent="0.25">
      <c r="A1173" s="1" t="s">
        <v>471</v>
      </c>
      <c r="B1173" s="1" t="s">
        <v>163</v>
      </c>
      <c r="C1173" s="1" t="s">
        <v>481</v>
      </c>
      <c r="D1173">
        <f>IFERROR(VLOOKUP(A1173,depara!A:B,2,0),A1173)</f>
        <v>16598566</v>
      </c>
      <c r="E1173">
        <f>VLOOKUP(B1173,'inumos depara'!$A:$B,2,0)</f>
        <v>16298748</v>
      </c>
      <c r="F1173" s="1" t="str">
        <f t="shared" si="36"/>
        <v>0.0849900073629957</v>
      </c>
      <c r="G1173" t="str">
        <f t="shared" si="37"/>
        <v>16598566,16298748,0.0849900073629957</v>
      </c>
    </row>
    <row r="1174" spans="1:7" x14ac:dyDescent="0.25">
      <c r="A1174" s="1" t="s">
        <v>471</v>
      </c>
      <c r="B1174" s="1" t="s">
        <v>482</v>
      </c>
      <c r="C1174" s="1" t="s">
        <v>1580</v>
      </c>
      <c r="D1174">
        <f>IFERROR(VLOOKUP(A1174,depara!A:B,2,0),A1174)</f>
        <v>16598566</v>
      </c>
      <c r="E1174">
        <f>VLOOKUP(B1174,'inumos depara'!$A:$B,2,0)</f>
        <v>16298959</v>
      </c>
      <c r="F1174" s="1" t="str">
        <f t="shared" si="36"/>
        <v>1.02040601661933</v>
      </c>
      <c r="G1174" t="str">
        <f t="shared" si="37"/>
        <v>16598566,16298959,1.02040601661933</v>
      </c>
    </row>
    <row r="1175" spans="1:7" x14ac:dyDescent="0.25">
      <c r="A1175" s="1" t="s">
        <v>483</v>
      </c>
      <c r="B1175" s="1" t="s">
        <v>1574</v>
      </c>
      <c r="C1175" s="1" t="s">
        <v>484</v>
      </c>
      <c r="D1175">
        <f>IFERROR(VLOOKUP(A1175,depara!A:B,2,0),A1175)</f>
        <v>16598567</v>
      </c>
      <c r="E1175">
        <f>VLOOKUP(B1175,'inumos depara'!$A:$B,2,0)</f>
        <v>16298952</v>
      </c>
      <c r="F1175" s="1" t="str">
        <f t="shared" si="36"/>
        <v>0.0185270396029366</v>
      </c>
      <c r="G1175" t="str">
        <f t="shared" si="37"/>
        <v>16598567,16298952,0.0185270396029366</v>
      </c>
    </row>
    <row r="1176" spans="1:7" x14ac:dyDescent="0.25">
      <c r="A1176" s="1" t="s">
        <v>483</v>
      </c>
      <c r="B1176" s="1" t="s">
        <v>1575</v>
      </c>
      <c r="C1176" s="1" t="s">
        <v>1581</v>
      </c>
      <c r="D1176">
        <f>IFERROR(VLOOKUP(A1176,depara!A:B,2,0),A1176)</f>
        <v>16598567</v>
      </c>
      <c r="E1176">
        <f>VLOOKUP(B1176,'inumos depara'!$A:$B,2,0)</f>
        <v>16298953</v>
      </c>
      <c r="F1176" s="1" t="str">
        <f t="shared" si="36"/>
        <v>3.87757212284148E-05</v>
      </c>
      <c r="G1176" t="str">
        <f t="shared" si="37"/>
        <v>16598567,16298953,3.87757212284148E-05</v>
      </c>
    </row>
    <row r="1177" spans="1:7" x14ac:dyDescent="0.25">
      <c r="A1177" s="1" t="s">
        <v>483</v>
      </c>
      <c r="B1177" s="1" t="s">
        <v>1576</v>
      </c>
      <c r="C1177" s="1" t="s">
        <v>1582</v>
      </c>
      <c r="D1177">
        <f>IFERROR(VLOOKUP(A1177,depara!A:B,2,0),A1177)</f>
        <v>16598567</v>
      </c>
      <c r="E1177">
        <f>VLOOKUP(B1177,'inumos depara'!$A:$B,2,0)</f>
        <v>16298954</v>
      </c>
      <c r="F1177" s="1" t="str">
        <f t="shared" si="36"/>
        <v>3.87757212284149E-06</v>
      </c>
      <c r="G1177" t="str">
        <f t="shared" si="37"/>
        <v>16598567,16298954,3.87757212284149E-06</v>
      </c>
    </row>
    <row r="1178" spans="1:7" x14ac:dyDescent="0.25">
      <c r="A1178" s="1" t="s">
        <v>483</v>
      </c>
      <c r="B1178" s="1" t="s">
        <v>1228</v>
      </c>
      <c r="C1178" s="1" t="s">
        <v>1583</v>
      </c>
      <c r="D1178">
        <f>IFERROR(VLOOKUP(A1178,depara!A:B,2,0),A1178)</f>
        <v>16598567</v>
      </c>
      <c r="E1178">
        <f>VLOOKUP(B1178,'inumos depara'!$A:$B,2,0)</f>
        <v>16298631</v>
      </c>
      <c r="F1178" s="1" t="str">
        <f t="shared" si="36"/>
        <v>7.75514424568297E-06</v>
      </c>
      <c r="G1178" t="str">
        <f t="shared" si="37"/>
        <v>16598567,16298631,7.75514424568297E-06</v>
      </c>
    </row>
    <row r="1179" spans="1:7" x14ac:dyDescent="0.25">
      <c r="A1179" s="1" t="s">
        <v>483</v>
      </c>
      <c r="B1179" s="1" t="s">
        <v>1148</v>
      </c>
      <c r="C1179" s="1" t="s">
        <v>485</v>
      </c>
      <c r="D1179">
        <f>IFERROR(VLOOKUP(A1179,depara!A:B,2,0),A1179)</f>
        <v>16598567</v>
      </c>
      <c r="E1179">
        <f>VLOOKUP(B1179,'inumos depara'!$A:$B,2,0)</f>
        <v>16298560</v>
      </c>
      <c r="F1179" s="1" t="str">
        <f t="shared" si="36"/>
        <v>0.000190001034019233</v>
      </c>
      <c r="G1179" t="str">
        <f t="shared" si="37"/>
        <v>16598567,16298560,0.000190001034019233</v>
      </c>
    </row>
    <row r="1180" spans="1:7" x14ac:dyDescent="0.25">
      <c r="A1180" s="1" t="s">
        <v>483</v>
      </c>
      <c r="B1180" s="1" t="s">
        <v>475</v>
      </c>
      <c r="C1180" s="1" t="s">
        <v>486</v>
      </c>
      <c r="D1180">
        <f>IFERROR(VLOOKUP(A1180,depara!A:B,2,0),A1180)</f>
        <v>16598567</v>
      </c>
      <c r="E1180">
        <f>VLOOKUP(B1180,'inumos depara'!$A:$B,2,0)</f>
        <v>16298955</v>
      </c>
      <c r="F1180" s="1" t="str">
        <f t="shared" si="36"/>
        <v>0.000193878606142074</v>
      </c>
      <c r="G1180" t="str">
        <f t="shared" si="37"/>
        <v>16598567,16298955,0.000193878606142074</v>
      </c>
    </row>
    <row r="1181" spans="1:7" x14ac:dyDescent="0.25">
      <c r="A1181" s="1" t="s">
        <v>483</v>
      </c>
      <c r="B1181" s="1" t="s">
        <v>1156</v>
      </c>
      <c r="C1181" s="1" t="s">
        <v>1584</v>
      </c>
      <c r="D1181">
        <f>IFERROR(VLOOKUP(A1181,depara!A:B,2,0),A1181)</f>
        <v>16598567</v>
      </c>
      <c r="E1181">
        <f>VLOOKUP(B1181,'inumos depara'!$A:$B,2,0)</f>
        <v>16298567</v>
      </c>
      <c r="F1181" s="1" t="str">
        <f t="shared" si="36"/>
        <v>1.93878606142074E-05</v>
      </c>
      <c r="G1181" t="str">
        <f t="shared" si="37"/>
        <v>16598567,16298567,1.93878606142074E-05</v>
      </c>
    </row>
    <row r="1182" spans="1:7" x14ac:dyDescent="0.25">
      <c r="A1182" s="1" t="s">
        <v>483</v>
      </c>
      <c r="B1182" s="1" t="s">
        <v>382</v>
      </c>
      <c r="C1182" s="1" t="s">
        <v>486</v>
      </c>
      <c r="D1182">
        <f>IFERROR(VLOOKUP(A1182,depara!A:B,2,0),A1182)</f>
        <v>16598567</v>
      </c>
      <c r="E1182">
        <f>VLOOKUP(B1182,'inumos depara'!$A:$B,2,0)</f>
        <v>16298881</v>
      </c>
      <c r="F1182" s="1" t="str">
        <f t="shared" si="36"/>
        <v>0.000193878606142074</v>
      </c>
      <c r="G1182" t="str">
        <f t="shared" si="37"/>
        <v>16598567,16298881,0.000193878606142074</v>
      </c>
    </row>
    <row r="1183" spans="1:7" x14ac:dyDescent="0.25">
      <c r="A1183" s="1" t="s">
        <v>483</v>
      </c>
      <c r="B1183" s="1" t="s">
        <v>1379</v>
      </c>
      <c r="C1183" s="1" t="s">
        <v>1584</v>
      </c>
      <c r="D1183">
        <f>IFERROR(VLOOKUP(A1183,depara!A:B,2,0),A1183)</f>
        <v>16598567</v>
      </c>
      <c r="E1183">
        <f>VLOOKUP(B1183,'inumos depara'!$A:$B,2,0)</f>
        <v>16298763</v>
      </c>
      <c r="F1183" s="1" t="str">
        <f t="shared" si="36"/>
        <v>1.93878606142074E-05</v>
      </c>
      <c r="G1183" t="str">
        <f t="shared" si="37"/>
        <v>16598567,16298763,1.93878606142074E-05</v>
      </c>
    </row>
    <row r="1184" spans="1:7" x14ac:dyDescent="0.25">
      <c r="A1184" s="1" t="s">
        <v>483</v>
      </c>
      <c r="B1184" s="1" t="s">
        <v>478</v>
      </c>
      <c r="C1184" s="1" t="s">
        <v>486</v>
      </c>
      <c r="D1184">
        <f>IFERROR(VLOOKUP(A1184,depara!A:B,2,0),A1184)</f>
        <v>16598567</v>
      </c>
      <c r="E1184">
        <f>VLOOKUP(B1184,'inumos depara'!$A:$B,2,0)</f>
        <v>16298956</v>
      </c>
      <c r="F1184" s="1" t="str">
        <f t="shared" si="36"/>
        <v>0.000193878606142074</v>
      </c>
      <c r="G1184" t="str">
        <f t="shared" si="37"/>
        <v>16598567,16298956,0.000193878606142074</v>
      </c>
    </row>
    <row r="1185" spans="1:7" x14ac:dyDescent="0.25">
      <c r="A1185" s="1" t="s">
        <v>483</v>
      </c>
      <c r="B1185" s="1" t="s">
        <v>236</v>
      </c>
      <c r="C1185" s="1" t="s">
        <v>487</v>
      </c>
      <c r="D1185">
        <f>IFERROR(VLOOKUP(A1185,depara!A:B,2,0),A1185)</f>
        <v>16598567</v>
      </c>
      <c r="E1185">
        <f>VLOOKUP(B1185,'inumos depara'!$A:$B,2,0)</f>
        <v>16298815</v>
      </c>
      <c r="F1185" s="1" t="str">
        <f t="shared" si="36"/>
        <v>0.0204218798469652</v>
      </c>
      <c r="G1185" t="str">
        <f t="shared" si="37"/>
        <v>16598567,16298815,0.0204218798469652</v>
      </c>
    </row>
    <row r="1186" spans="1:7" x14ac:dyDescent="0.25">
      <c r="A1186" s="1" t="s">
        <v>483</v>
      </c>
      <c r="B1186" s="1" t="s">
        <v>488</v>
      </c>
      <c r="C1186" s="1" t="s">
        <v>489</v>
      </c>
      <c r="D1186">
        <f>IFERROR(VLOOKUP(A1186,depara!A:B,2,0),A1186)</f>
        <v>16598567</v>
      </c>
      <c r="E1186">
        <f>VLOOKUP(B1186,'inumos depara'!$A:$B,2,0)</f>
        <v>16298960</v>
      </c>
      <c r="F1186" s="1" t="str">
        <f t="shared" si="36"/>
        <v>0.000517009616378865</v>
      </c>
      <c r="G1186" t="str">
        <f t="shared" si="37"/>
        <v>16598567,16298960,0.000517009616378865</v>
      </c>
    </row>
    <row r="1187" spans="1:7" x14ac:dyDescent="0.25">
      <c r="A1187" s="1" t="s">
        <v>262</v>
      </c>
      <c r="B1187" s="1" t="s">
        <v>1151</v>
      </c>
      <c r="C1187" s="1" t="s">
        <v>4</v>
      </c>
      <c r="D1187" t="str">
        <f>IFERROR(VLOOKUP(A1187,depara!A:B,2,0),A1187)</f>
        <v>P0001109</v>
      </c>
      <c r="E1187">
        <f>VLOOKUP(B1187,'inumos depara'!$A:$B,2,0)</f>
        <v>16298562</v>
      </c>
      <c r="F1187" s="1" t="str">
        <f t="shared" si="36"/>
        <v>0.005</v>
      </c>
      <c r="G1187" t="str">
        <f t="shared" si="37"/>
        <v>P0001109,16298562,0.005</v>
      </c>
    </row>
    <row r="1188" spans="1:7" x14ac:dyDescent="0.25">
      <c r="A1188" s="1" t="s">
        <v>262</v>
      </c>
      <c r="B1188" s="1" t="s">
        <v>1145</v>
      </c>
      <c r="C1188" s="1" t="s">
        <v>1</v>
      </c>
      <c r="D1188" t="str">
        <f>IFERROR(VLOOKUP(A1188,depara!A:B,2,0),A1188)</f>
        <v>P0001109</v>
      </c>
      <c r="E1188">
        <f>VLOOKUP(B1188,'inumos depara'!$A:$B,2,0)</f>
        <v>16298557</v>
      </c>
      <c r="F1188" s="1" t="str">
        <f t="shared" si="36"/>
        <v>0.003</v>
      </c>
      <c r="G1188" t="str">
        <f t="shared" si="37"/>
        <v>P0001109,16298557,0.003</v>
      </c>
    </row>
    <row r="1189" spans="1:7" x14ac:dyDescent="0.25">
      <c r="A1189" s="1" t="s">
        <v>262</v>
      </c>
      <c r="B1189" s="1" t="s">
        <v>1147</v>
      </c>
      <c r="C1189" s="1" t="s">
        <v>0</v>
      </c>
      <c r="D1189" t="str">
        <f>IFERROR(VLOOKUP(A1189,depara!A:B,2,0),A1189)</f>
        <v>P0001109</v>
      </c>
      <c r="E1189">
        <f>VLOOKUP(B1189,'inumos depara'!$A:$B,2,0)</f>
        <v>16298559</v>
      </c>
      <c r="F1189" s="1" t="str">
        <f t="shared" si="36"/>
        <v>0.05</v>
      </c>
      <c r="G1189" t="str">
        <f t="shared" si="37"/>
        <v>P0001109,16298559,0.05</v>
      </c>
    </row>
    <row r="1190" spans="1:7" x14ac:dyDescent="0.25">
      <c r="A1190" s="1" t="s">
        <v>262</v>
      </c>
      <c r="B1190" s="1" t="s">
        <v>1158</v>
      </c>
      <c r="C1190" s="1" t="s">
        <v>7</v>
      </c>
      <c r="D1190" t="str">
        <f>IFERROR(VLOOKUP(A1190,depara!A:B,2,0),A1190)</f>
        <v>P0001109</v>
      </c>
      <c r="E1190">
        <f>VLOOKUP(B1190,'inumos depara'!$A:$B,2,0)</f>
        <v>16298569</v>
      </c>
      <c r="F1190" s="1" t="str">
        <f t="shared" si="36"/>
        <v>0.025</v>
      </c>
      <c r="G1190" t="str">
        <f t="shared" si="37"/>
        <v>P0001109,16298569,0.025</v>
      </c>
    </row>
    <row r="1191" spans="1:7" x14ac:dyDescent="0.25">
      <c r="A1191" s="1" t="s">
        <v>262</v>
      </c>
      <c r="B1191" s="1" t="s">
        <v>1157</v>
      </c>
      <c r="C1191" s="1" t="s">
        <v>6</v>
      </c>
      <c r="D1191" t="str">
        <f>IFERROR(VLOOKUP(A1191,depara!A:B,2,0),A1191)</f>
        <v>P0001109</v>
      </c>
      <c r="E1191">
        <f>VLOOKUP(B1191,'inumos depara'!$A:$B,2,0)</f>
        <v>16298568</v>
      </c>
      <c r="F1191" s="1" t="str">
        <f t="shared" si="36"/>
        <v>0.01</v>
      </c>
      <c r="G1191" t="str">
        <f t="shared" si="37"/>
        <v>P0001109,16298568,0.01</v>
      </c>
    </row>
    <row r="1192" spans="1:7" x14ac:dyDescent="0.25">
      <c r="A1192" s="1" t="s">
        <v>262</v>
      </c>
      <c r="B1192" s="1" t="s">
        <v>1159</v>
      </c>
      <c r="C1192" s="1" t="s">
        <v>4</v>
      </c>
      <c r="D1192" t="str">
        <f>IFERROR(VLOOKUP(A1192,depara!A:B,2,0),A1192)</f>
        <v>P0001109</v>
      </c>
      <c r="E1192">
        <f>VLOOKUP(B1192,'inumos depara'!$A:$B,2,0)</f>
        <v>16298570</v>
      </c>
      <c r="F1192" s="1" t="str">
        <f t="shared" si="36"/>
        <v>0.005</v>
      </c>
      <c r="G1192" t="str">
        <f t="shared" si="37"/>
        <v>P0001109,16298570,0.005</v>
      </c>
    </row>
    <row r="1193" spans="1:7" x14ac:dyDescent="0.25">
      <c r="A1193" s="1" t="s">
        <v>262</v>
      </c>
      <c r="B1193" s="1" t="s">
        <v>1148</v>
      </c>
      <c r="C1193" s="1" t="s">
        <v>3</v>
      </c>
      <c r="D1193" t="str">
        <f>IFERROR(VLOOKUP(A1193,depara!A:B,2,0),A1193)</f>
        <v>P0001109</v>
      </c>
      <c r="E1193">
        <f>VLOOKUP(B1193,'inumos depara'!$A:$B,2,0)</f>
        <v>16298560</v>
      </c>
      <c r="F1193" s="1" t="str">
        <f t="shared" si="36"/>
        <v>0.055</v>
      </c>
      <c r="G1193" t="str">
        <f t="shared" si="37"/>
        <v>P0001109,16298560,0.055</v>
      </c>
    </row>
    <row r="1194" spans="1:7" x14ac:dyDescent="0.25">
      <c r="A1194" s="1" t="s">
        <v>262</v>
      </c>
      <c r="B1194" s="1" t="s">
        <v>1160</v>
      </c>
      <c r="C1194" s="1" t="s">
        <v>8</v>
      </c>
      <c r="D1194" t="str">
        <f>IFERROR(VLOOKUP(A1194,depara!A:B,2,0),A1194)</f>
        <v>P0001109</v>
      </c>
      <c r="E1194">
        <f>VLOOKUP(B1194,'inumos depara'!$A:$B,2,0)</f>
        <v>16298571</v>
      </c>
      <c r="F1194" s="1" t="str">
        <f t="shared" si="36"/>
        <v>0.06</v>
      </c>
      <c r="G1194" t="str">
        <f t="shared" si="37"/>
        <v>P0001109,16298571,0.06</v>
      </c>
    </row>
    <row r="1195" spans="1:7" x14ac:dyDescent="0.25">
      <c r="A1195" s="1" t="s">
        <v>262</v>
      </c>
      <c r="B1195" s="1" t="s">
        <v>1161</v>
      </c>
      <c r="C1195" s="1" t="s">
        <v>8</v>
      </c>
      <c r="D1195" t="str">
        <f>IFERROR(VLOOKUP(A1195,depara!A:B,2,0),A1195)</f>
        <v>P0001109</v>
      </c>
      <c r="E1195">
        <f>VLOOKUP(B1195,'inumos depara'!$A:$B,2,0)</f>
        <v>16298572</v>
      </c>
      <c r="F1195" s="1" t="str">
        <f t="shared" si="36"/>
        <v>0.06</v>
      </c>
      <c r="G1195" t="str">
        <f t="shared" si="37"/>
        <v>P0001109,16298572,0.06</v>
      </c>
    </row>
    <row r="1196" spans="1:7" x14ac:dyDescent="0.25">
      <c r="A1196" s="1" t="s">
        <v>262</v>
      </c>
      <c r="B1196" s="1" t="s">
        <v>1144</v>
      </c>
      <c r="C1196" s="1" t="s">
        <v>0</v>
      </c>
      <c r="D1196" t="str">
        <f>IFERROR(VLOOKUP(A1196,depara!A:B,2,0),A1196)</f>
        <v>P0001109</v>
      </c>
      <c r="E1196">
        <f>VLOOKUP(B1196,'inumos depara'!$A:$B,2,0)</f>
        <v>16298556</v>
      </c>
      <c r="F1196" s="1" t="str">
        <f t="shared" si="36"/>
        <v>0.05</v>
      </c>
      <c r="G1196" t="str">
        <f t="shared" si="37"/>
        <v>P0001109,16298556,0.05</v>
      </c>
    </row>
    <row r="1197" spans="1:7" x14ac:dyDescent="0.25">
      <c r="A1197" s="1" t="s">
        <v>262</v>
      </c>
      <c r="B1197" s="1" t="s">
        <v>1156</v>
      </c>
      <c r="C1197" s="1" t="s">
        <v>4</v>
      </c>
      <c r="D1197" t="str">
        <f>IFERROR(VLOOKUP(A1197,depara!A:B,2,0),A1197)</f>
        <v>P0001109</v>
      </c>
      <c r="E1197">
        <f>VLOOKUP(B1197,'inumos depara'!$A:$B,2,0)</f>
        <v>16298567</v>
      </c>
      <c r="F1197" s="1" t="str">
        <f t="shared" si="36"/>
        <v>0.005</v>
      </c>
      <c r="G1197" t="str">
        <f t="shared" si="37"/>
        <v>P0001109,16298567,0.005</v>
      </c>
    </row>
    <row r="1198" spans="1:7" x14ac:dyDescent="0.25">
      <c r="A1198" s="1" t="s">
        <v>262</v>
      </c>
      <c r="B1198" s="1" t="s">
        <v>1152</v>
      </c>
      <c r="C1198" s="1" t="s">
        <v>1</v>
      </c>
      <c r="D1198" t="str">
        <f>IFERROR(VLOOKUP(A1198,depara!A:B,2,0),A1198)</f>
        <v>P0001109</v>
      </c>
      <c r="E1198">
        <f>VLOOKUP(B1198,'inumos depara'!$A:$B,2,0)</f>
        <v>16298563</v>
      </c>
      <c r="F1198" s="1" t="str">
        <f t="shared" si="36"/>
        <v>0.003</v>
      </c>
      <c r="G1198" t="str">
        <f t="shared" si="37"/>
        <v>P0001109,16298563,0.003</v>
      </c>
    </row>
    <row r="1199" spans="1:7" x14ac:dyDescent="0.25">
      <c r="A1199" s="1" t="s">
        <v>262</v>
      </c>
      <c r="B1199" s="1" t="s">
        <v>1153</v>
      </c>
      <c r="C1199" s="1" t="s">
        <v>1</v>
      </c>
      <c r="D1199" t="str">
        <f>IFERROR(VLOOKUP(A1199,depara!A:B,2,0),A1199)</f>
        <v>P0001109</v>
      </c>
      <c r="E1199">
        <f>VLOOKUP(B1199,'inumos depara'!$A:$B,2,0)</f>
        <v>16298564</v>
      </c>
      <c r="F1199" s="1" t="str">
        <f t="shared" si="36"/>
        <v>0.003</v>
      </c>
      <c r="G1199" t="str">
        <f t="shared" si="37"/>
        <v>P0001109,16298564,0.003</v>
      </c>
    </row>
    <row r="1200" spans="1:7" x14ac:dyDescent="0.25">
      <c r="A1200" s="1" t="s">
        <v>262</v>
      </c>
      <c r="B1200" s="1" t="s">
        <v>1146</v>
      </c>
      <c r="C1200" s="1" t="s">
        <v>2</v>
      </c>
      <c r="D1200" t="str">
        <f>IFERROR(VLOOKUP(A1200,depara!A:B,2,0),A1200)</f>
        <v>P0001109</v>
      </c>
      <c r="E1200">
        <f>VLOOKUP(B1200,'inumos depara'!$A:$B,2,0)</f>
        <v>16298558</v>
      </c>
      <c r="F1200" s="1" t="str">
        <f t="shared" si="36"/>
        <v>0.0007</v>
      </c>
      <c r="G1200" t="str">
        <f t="shared" si="37"/>
        <v>P0001109,16298558,0.0007</v>
      </c>
    </row>
    <row r="1201" spans="1:7" x14ac:dyDescent="0.25">
      <c r="A1201" s="1" t="s">
        <v>262</v>
      </c>
      <c r="B1201" s="1" t="s">
        <v>1155</v>
      </c>
      <c r="C1201" s="1" t="s">
        <v>4</v>
      </c>
      <c r="D1201" t="str">
        <f>IFERROR(VLOOKUP(A1201,depara!A:B,2,0),A1201)</f>
        <v>P0001109</v>
      </c>
      <c r="E1201">
        <f>VLOOKUP(B1201,'inumos depara'!$A:$B,2,0)</f>
        <v>16298566</v>
      </c>
      <c r="F1201" s="1" t="str">
        <f t="shared" si="36"/>
        <v>0.005</v>
      </c>
      <c r="G1201" t="str">
        <f t="shared" si="37"/>
        <v>P0001109,16298566,0.005</v>
      </c>
    </row>
    <row r="1202" spans="1:7" x14ac:dyDescent="0.25">
      <c r="A1202" s="1" t="s">
        <v>490</v>
      </c>
      <c r="B1202" s="1" t="s">
        <v>1443</v>
      </c>
      <c r="C1202" s="1" t="s">
        <v>491</v>
      </c>
      <c r="D1202">
        <f>IFERROR(VLOOKUP(A1202,depara!A:B,2,0),A1202)</f>
        <v>16598568</v>
      </c>
      <c r="E1202">
        <f>VLOOKUP(B1202,'inumos depara'!$A:$B,2,0)</f>
        <v>16298809</v>
      </c>
      <c r="F1202" s="1" t="str">
        <f t="shared" si="36"/>
        <v>0.00999873239274314</v>
      </c>
      <c r="G1202" t="str">
        <f t="shared" si="37"/>
        <v>16598568,16298809,0.00999873239274314</v>
      </c>
    </row>
    <row r="1203" spans="1:7" x14ac:dyDescent="0.25">
      <c r="A1203" s="1" t="s">
        <v>490</v>
      </c>
      <c r="B1203" s="1" t="s">
        <v>437</v>
      </c>
      <c r="C1203" s="1" t="s">
        <v>492</v>
      </c>
      <c r="D1203">
        <f>IFERROR(VLOOKUP(A1203,depara!A:B,2,0),A1203)</f>
        <v>16598568</v>
      </c>
      <c r="E1203">
        <f>VLOOKUP(B1203,'inumos depara'!$A:$B,2,0)</f>
        <v>16298931</v>
      </c>
      <c r="F1203" s="1" t="str">
        <f t="shared" si="36"/>
        <v>0.00391229694276177</v>
      </c>
      <c r="G1203" t="str">
        <f t="shared" si="37"/>
        <v>16598568,16298931,0.00391229694276177</v>
      </c>
    </row>
    <row r="1204" spans="1:7" x14ac:dyDescent="0.25">
      <c r="A1204" s="1" t="s">
        <v>490</v>
      </c>
      <c r="B1204" s="1" t="s">
        <v>493</v>
      </c>
      <c r="C1204" s="1" t="s">
        <v>494</v>
      </c>
      <c r="D1204">
        <f>IFERROR(VLOOKUP(A1204,depara!A:B,2,0),A1204)</f>
        <v>16598568</v>
      </c>
      <c r="E1204">
        <f>VLOOKUP(B1204,'inumos depara'!$A:$B,2,0)</f>
        <v>16298961</v>
      </c>
      <c r="F1204" s="1" t="str">
        <f t="shared" si="36"/>
        <v>0.00135979687554017</v>
      </c>
      <c r="G1204" t="str">
        <f t="shared" si="37"/>
        <v>16598568,16298961,0.00135979687554017</v>
      </c>
    </row>
    <row r="1205" spans="1:7" x14ac:dyDescent="0.25">
      <c r="A1205" s="1" t="s">
        <v>495</v>
      </c>
      <c r="B1205" s="1" t="s">
        <v>441</v>
      </c>
      <c r="C1205" s="1" t="s">
        <v>492</v>
      </c>
      <c r="D1205">
        <f>IFERROR(VLOOKUP(A1205,depara!A:B,2,0),A1205)</f>
        <v>16598569</v>
      </c>
      <c r="E1205">
        <f>VLOOKUP(B1205,'inumos depara'!$A:$B,2,0)</f>
        <v>16298934</v>
      </c>
      <c r="F1205" s="1" t="str">
        <f t="shared" si="36"/>
        <v>0.00391229694276177</v>
      </c>
      <c r="G1205" t="str">
        <f t="shared" si="37"/>
        <v>16598569,16298934,0.00391229694276177</v>
      </c>
    </row>
    <row r="1206" spans="1:7" x14ac:dyDescent="0.25">
      <c r="A1206" s="1" t="s">
        <v>495</v>
      </c>
      <c r="B1206" s="1" t="s">
        <v>496</v>
      </c>
      <c r="C1206" s="1" t="s">
        <v>494</v>
      </c>
      <c r="D1206">
        <f>IFERROR(VLOOKUP(A1206,depara!A:B,2,0),A1206)</f>
        <v>16598569</v>
      </c>
      <c r="E1206">
        <f>VLOOKUP(B1206,'inumos depara'!$A:$B,2,0)</f>
        <v>16298962</v>
      </c>
      <c r="F1206" s="1" t="str">
        <f t="shared" si="36"/>
        <v>0.00135979687554017</v>
      </c>
      <c r="G1206" t="str">
        <f t="shared" si="37"/>
        <v>16598569,16298962,0.00135979687554017</v>
      </c>
    </row>
    <row r="1207" spans="1:7" x14ac:dyDescent="0.25">
      <c r="A1207" s="1" t="s">
        <v>495</v>
      </c>
      <c r="B1207" s="1" t="s">
        <v>1443</v>
      </c>
      <c r="C1207" s="1" t="s">
        <v>491</v>
      </c>
      <c r="D1207">
        <f>IFERROR(VLOOKUP(A1207,depara!A:B,2,0),A1207)</f>
        <v>16598569</v>
      </c>
      <c r="E1207">
        <f>VLOOKUP(B1207,'inumos depara'!$A:$B,2,0)</f>
        <v>16298809</v>
      </c>
      <c r="F1207" s="1" t="str">
        <f t="shared" si="36"/>
        <v>0.00999873239274314</v>
      </c>
      <c r="G1207" t="str">
        <f t="shared" si="37"/>
        <v>16598569,16298809,0.00999873239274314</v>
      </c>
    </row>
    <row r="1208" spans="1:7" x14ac:dyDescent="0.25">
      <c r="A1208" s="1" t="s">
        <v>497</v>
      </c>
      <c r="B1208" s="1" t="s">
        <v>1554</v>
      </c>
      <c r="C1208" s="1" t="s">
        <v>0</v>
      </c>
      <c r="D1208" t="str">
        <f>IFERROR(VLOOKUP(A1208,depara!A:B,2,0),A1208)</f>
        <v>P0001239</v>
      </c>
      <c r="E1208">
        <f>VLOOKUP(B1208,'inumos depara'!$A:$B,2,0)</f>
        <v>16298917</v>
      </c>
      <c r="F1208" s="1" t="str">
        <f t="shared" si="36"/>
        <v>0.05</v>
      </c>
      <c r="G1208" t="str">
        <f t="shared" si="37"/>
        <v>P0001239,16298917,0.05</v>
      </c>
    </row>
    <row r="1209" spans="1:7" x14ac:dyDescent="0.25">
      <c r="A1209" s="1" t="s">
        <v>497</v>
      </c>
      <c r="B1209" s="1" t="s">
        <v>1215</v>
      </c>
      <c r="C1209" s="1" t="s">
        <v>81</v>
      </c>
      <c r="D1209" t="str">
        <f>IFERROR(VLOOKUP(A1209,depara!A:B,2,0),A1209)</f>
        <v>P0001239</v>
      </c>
      <c r="E1209">
        <f>VLOOKUP(B1209,'inumos depara'!$A:$B,2,0)</f>
        <v>16298620</v>
      </c>
      <c r="F1209" s="1" t="str">
        <f t="shared" si="36"/>
        <v>0.035</v>
      </c>
      <c r="G1209" t="str">
        <f t="shared" si="37"/>
        <v>P0001239,16298620,0.035</v>
      </c>
    </row>
    <row r="1210" spans="1:7" x14ac:dyDescent="0.25">
      <c r="A1210" s="1" t="s">
        <v>497</v>
      </c>
      <c r="B1210" s="1" t="s">
        <v>453</v>
      </c>
      <c r="C1210" s="1" t="s">
        <v>6</v>
      </c>
      <c r="D1210" t="str">
        <f>IFERROR(VLOOKUP(A1210,depara!A:B,2,0),A1210)</f>
        <v>P0001239</v>
      </c>
      <c r="E1210">
        <f>VLOOKUP(B1210,'inumos depara'!$A:$B,2,0)</f>
        <v>16298938</v>
      </c>
      <c r="F1210" s="1" t="str">
        <f t="shared" si="36"/>
        <v>0.01</v>
      </c>
      <c r="G1210" t="str">
        <f t="shared" si="37"/>
        <v>P0001239,16298938,0.01</v>
      </c>
    </row>
    <row r="1211" spans="1:7" x14ac:dyDescent="0.25">
      <c r="A1211" s="1" t="s">
        <v>497</v>
      </c>
      <c r="B1211" s="1" t="s">
        <v>1147</v>
      </c>
      <c r="C1211" s="1" t="s">
        <v>9</v>
      </c>
      <c r="D1211" t="str">
        <f>IFERROR(VLOOKUP(A1211,depara!A:B,2,0),A1211)</f>
        <v>P0001239</v>
      </c>
      <c r="E1211">
        <f>VLOOKUP(B1211,'inumos depara'!$A:$B,2,0)</f>
        <v>16298559</v>
      </c>
      <c r="F1211" s="1" t="str">
        <f t="shared" si="36"/>
        <v>0.09</v>
      </c>
      <c r="G1211" t="str">
        <f t="shared" si="37"/>
        <v>P0001239,16298559,0.09</v>
      </c>
    </row>
    <row r="1212" spans="1:7" x14ac:dyDescent="0.25">
      <c r="A1212" s="1" t="s">
        <v>497</v>
      </c>
      <c r="B1212" s="1" t="s">
        <v>1565</v>
      </c>
      <c r="C1212" s="1" t="s">
        <v>10</v>
      </c>
      <c r="D1212" t="str">
        <f>IFERROR(VLOOKUP(A1212,depara!A:B,2,0),A1212)</f>
        <v>P0001239</v>
      </c>
      <c r="E1212">
        <f>VLOOKUP(B1212,'inumos depara'!$A:$B,2,0)</f>
        <v>16298939</v>
      </c>
      <c r="F1212" s="1" t="str">
        <f t="shared" si="36"/>
        <v>0.001</v>
      </c>
      <c r="G1212" t="str">
        <f t="shared" si="37"/>
        <v>P0001239,16298939,0.001</v>
      </c>
    </row>
    <row r="1213" spans="1:7" x14ac:dyDescent="0.25">
      <c r="A1213" s="1" t="s">
        <v>497</v>
      </c>
      <c r="B1213" s="1" t="s">
        <v>454</v>
      </c>
      <c r="C1213" s="1" t="s">
        <v>455</v>
      </c>
      <c r="D1213" t="str">
        <f>IFERROR(VLOOKUP(A1213,depara!A:B,2,0),A1213)</f>
        <v>P0001239</v>
      </c>
      <c r="E1213">
        <f>VLOOKUP(B1213,'inumos depara'!$A:$B,2,0)</f>
        <v>16298940</v>
      </c>
      <c r="F1213" s="1" t="str">
        <f t="shared" si="36"/>
        <v>0.0055</v>
      </c>
      <c r="G1213" t="str">
        <f t="shared" si="37"/>
        <v>P0001239,16298940,0.0055</v>
      </c>
    </row>
    <row r="1214" spans="1:7" x14ac:dyDescent="0.25">
      <c r="A1214" s="1" t="s">
        <v>497</v>
      </c>
      <c r="B1214" s="1" t="s">
        <v>456</v>
      </c>
      <c r="C1214" s="1" t="s">
        <v>1</v>
      </c>
      <c r="D1214" t="str">
        <f>IFERROR(VLOOKUP(A1214,depara!A:B,2,0),A1214)</f>
        <v>P0001239</v>
      </c>
      <c r="E1214">
        <f>VLOOKUP(B1214,'inumos depara'!$A:$B,2,0)</f>
        <v>16298941</v>
      </c>
      <c r="F1214" s="1" t="str">
        <f t="shared" si="36"/>
        <v>0.003</v>
      </c>
      <c r="G1214" t="str">
        <f t="shared" si="37"/>
        <v>P0001239,16298941,0.003</v>
      </c>
    </row>
    <row r="1215" spans="1:7" x14ac:dyDescent="0.25">
      <c r="A1215" s="1" t="s">
        <v>497</v>
      </c>
      <c r="B1215" s="1" t="s">
        <v>1213</v>
      </c>
      <c r="C1215" s="1" t="s">
        <v>4</v>
      </c>
      <c r="D1215" t="str">
        <f>IFERROR(VLOOKUP(A1215,depara!A:B,2,0),A1215)</f>
        <v>P0001239</v>
      </c>
      <c r="E1215">
        <f>VLOOKUP(B1215,'inumos depara'!$A:$B,2,0)</f>
        <v>16298618</v>
      </c>
      <c r="F1215" s="1" t="str">
        <f t="shared" si="36"/>
        <v>0.005</v>
      </c>
      <c r="G1215" t="str">
        <f t="shared" si="37"/>
        <v>P0001239,16298618,0.005</v>
      </c>
    </row>
    <row r="1216" spans="1:7" x14ac:dyDescent="0.25">
      <c r="A1216" s="1" t="s">
        <v>497</v>
      </c>
      <c r="B1216" s="1" t="s">
        <v>1219</v>
      </c>
      <c r="C1216" s="1" t="s">
        <v>64</v>
      </c>
      <c r="D1216" t="str">
        <f>IFERROR(VLOOKUP(A1216,depara!A:B,2,0),A1216)</f>
        <v>P0001239</v>
      </c>
      <c r="E1216">
        <f>VLOOKUP(B1216,'inumos depara'!$A:$B,2,0)</f>
        <v>16298624</v>
      </c>
      <c r="F1216" s="1" t="str">
        <f t="shared" si="36"/>
        <v>0.02</v>
      </c>
      <c r="G1216" t="str">
        <f t="shared" si="37"/>
        <v>P0001239,16298624,0.02</v>
      </c>
    </row>
    <row r="1217" spans="1:7" x14ac:dyDescent="0.25">
      <c r="A1217" s="1" t="s">
        <v>497</v>
      </c>
      <c r="B1217" s="1" t="s">
        <v>1233</v>
      </c>
      <c r="C1217" s="1" t="s">
        <v>88</v>
      </c>
      <c r="D1217" t="str">
        <f>IFERROR(VLOOKUP(A1217,depara!A:B,2,0),A1217)</f>
        <v>P0001239</v>
      </c>
      <c r="E1217">
        <f>VLOOKUP(B1217,'inumos depara'!$A:$B,2,0)</f>
        <v>16298636</v>
      </c>
      <c r="F1217" s="1" t="str">
        <f t="shared" si="36"/>
        <v>0.015</v>
      </c>
      <c r="G1217" t="str">
        <f t="shared" si="37"/>
        <v>P0001239,16298636,0.015</v>
      </c>
    </row>
    <row r="1218" spans="1:7" x14ac:dyDescent="0.25">
      <c r="A1218" s="1" t="s">
        <v>497</v>
      </c>
      <c r="B1218" s="1" t="s">
        <v>457</v>
      </c>
      <c r="C1218" s="1" t="s">
        <v>458</v>
      </c>
      <c r="D1218" t="str">
        <f>IFERROR(VLOOKUP(A1218,depara!A:B,2,0),A1218)</f>
        <v>P0001239</v>
      </c>
      <c r="E1218">
        <f>VLOOKUP(B1218,'inumos depara'!$A:$B,2,0)</f>
        <v>16298942</v>
      </c>
      <c r="F1218" s="1" t="str">
        <f t="shared" ref="F1218:F1281" si="38">C1218</f>
        <v>0.4</v>
      </c>
      <c r="G1218" t="str">
        <f t="shared" ref="G1218:G1281" si="39">D1218&amp;","&amp;E1218&amp;","&amp;F1218</f>
        <v>P0001239,16298942,0.4</v>
      </c>
    </row>
    <row r="1219" spans="1:7" x14ac:dyDescent="0.25">
      <c r="A1219" s="1" t="s">
        <v>497</v>
      </c>
      <c r="B1219" s="1" t="s">
        <v>1239</v>
      </c>
      <c r="C1219" s="1" t="s">
        <v>4</v>
      </c>
      <c r="D1219" t="str">
        <f>IFERROR(VLOOKUP(A1219,depara!A:B,2,0),A1219)</f>
        <v>P0001239</v>
      </c>
      <c r="E1219">
        <f>VLOOKUP(B1219,'inumos depara'!$A:$B,2,0)</f>
        <v>16298641</v>
      </c>
      <c r="F1219" s="1" t="str">
        <f t="shared" si="38"/>
        <v>0.005</v>
      </c>
      <c r="G1219" t="str">
        <f t="shared" si="39"/>
        <v>P0001239,16298641,0.005</v>
      </c>
    </row>
    <row r="1220" spans="1:7" x14ac:dyDescent="0.25">
      <c r="A1220" s="1" t="s">
        <v>497</v>
      </c>
      <c r="B1220" s="1" t="s">
        <v>459</v>
      </c>
      <c r="C1220" s="1" t="s">
        <v>71</v>
      </c>
      <c r="D1220" t="str">
        <f>IFERROR(VLOOKUP(A1220,depara!A:B,2,0),A1220)</f>
        <v>P0001239</v>
      </c>
      <c r="E1220">
        <f>VLOOKUP(B1220,'inumos depara'!$A:$B,2,0)</f>
        <v>16298943</v>
      </c>
      <c r="F1220" s="1" t="str">
        <f t="shared" si="38"/>
        <v>0.04</v>
      </c>
      <c r="G1220" t="str">
        <f t="shared" si="39"/>
        <v>P0001239,16298943,0.04</v>
      </c>
    </row>
    <row r="1221" spans="1:7" x14ac:dyDescent="0.25">
      <c r="A1221" s="1" t="s">
        <v>497</v>
      </c>
      <c r="B1221" s="1" t="s">
        <v>1212</v>
      </c>
      <c r="C1221" s="1" t="s">
        <v>4</v>
      </c>
      <c r="D1221" t="str">
        <f>IFERROR(VLOOKUP(A1221,depara!A:B,2,0),A1221)</f>
        <v>P0001239</v>
      </c>
      <c r="E1221">
        <f>VLOOKUP(B1221,'inumos depara'!$A:$B,2,0)</f>
        <v>16298617</v>
      </c>
      <c r="F1221" s="1" t="str">
        <f t="shared" si="38"/>
        <v>0.005</v>
      </c>
      <c r="G1221" t="str">
        <f t="shared" si="39"/>
        <v>P0001239,16298617,0.005</v>
      </c>
    </row>
    <row r="1222" spans="1:7" x14ac:dyDescent="0.25">
      <c r="A1222" s="1" t="s">
        <v>498</v>
      </c>
      <c r="B1222" s="1" t="s">
        <v>1147</v>
      </c>
      <c r="C1222" s="1" t="s">
        <v>63</v>
      </c>
      <c r="D1222" t="str">
        <f>IFERROR(VLOOKUP(A1222,depara!A:B,2,0),A1222)</f>
        <v>P0001375</v>
      </c>
      <c r="E1222">
        <f>VLOOKUP(B1222,'inumos depara'!$A:$B,2,0)</f>
        <v>16298559</v>
      </c>
      <c r="F1222" s="1" t="str">
        <f t="shared" si="38"/>
        <v>0.15</v>
      </c>
      <c r="G1222" t="str">
        <f t="shared" si="39"/>
        <v>P0001375,16298559,0.15</v>
      </c>
    </row>
    <row r="1223" spans="1:7" x14ac:dyDescent="0.25">
      <c r="A1223" s="1" t="s">
        <v>498</v>
      </c>
      <c r="B1223" s="1" t="s">
        <v>499</v>
      </c>
      <c r="C1223" s="1" t="s">
        <v>73</v>
      </c>
      <c r="D1223" t="str">
        <f>IFERROR(VLOOKUP(A1223,depara!A:B,2,0),A1223)</f>
        <v>P0001375</v>
      </c>
      <c r="E1223">
        <f>VLOOKUP(B1223,'inumos depara'!$A:$B,2,0)</f>
        <v>16298963</v>
      </c>
      <c r="F1223" s="1" t="str">
        <f t="shared" si="38"/>
        <v>0.08</v>
      </c>
      <c r="G1223" t="str">
        <f t="shared" si="39"/>
        <v>P0001375,16298963,0.08</v>
      </c>
    </row>
    <row r="1224" spans="1:7" x14ac:dyDescent="0.25">
      <c r="A1224" s="1" t="s">
        <v>498</v>
      </c>
      <c r="B1224" s="1" t="s">
        <v>1585</v>
      </c>
      <c r="C1224" s="1" t="s">
        <v>64</v>
      </c>
      <c r="D1224" t="str">
        <f>IFERROR(VLOOKUP(A1224,depara!A:B,2,0),A1224)</f>
        <v>P0001375</v>
      </c>
      <c r="E1224">
        <f>VLOOKUP(B1224,'inumos depara'!$A:$B,2,0)</f>
        <v>16298964</v>
      </c>
      <c r="F1224" s="1" t="str">
        <f t="shared" si="38"/>
        <v>0.02</v>
      </c>
      <c r="G1224" t="str">
        <f t="shared" si="39"/>
        <v>P0001375,16298964,0.02</v>
      </c>
    </row>
    <row r="1225" spans="1:7" x14ac:dyDescent="0.25">
      <c r="A1225" s="1" t="s">
        <v>498</v>
      </c>
      <c r="B1225" s="1" t="s">
        <v>500</v>
      </c>
      <c r="C1225" s="1" t="s">
        <v>76</v>
      </c>
      <c r="D1225" t="str">
        <f>IFERROR(VLOOKUP(A1225,depara!A:B,2,0),A1225)</f>
        <v>P0001375</v>
      </c>
      <c r="E1225">
        <f>VLOOKUP(B1225,'inumos depara'!$A:$B,2,0)</f>
        <v>16298965</v>
      </c>
      <c r="F1225" s="1" t="str">
        <f t="shared" si="38"/>
        <v>0.03</v>
      </c>
      <c r="G1225" t="str">
        <f t="shared" si="39"/>
        <v>P0001375,16298965,0.03</v>
      </c>
    </row>
    <row r="1226" spans="1:7" x14ac:dyDescent="0.25">
      <c r="A1226" s="1" t="s">
        <v>498</v>
      </c>
      <c r="B1226" s="1" t="s">
        <v>1228</v>
      </c>
      <c r="C1226" s="1" t="s">
        <v>0</v>
      </c>
      <c r="D1226" t="str">
        <f>IFERROR(VLOOKUP(A1226,depara!A:B,2,0),A1226)</f>
        <v>P0001375</v>
      </c>
      <c r="E1226">
        <f>VLOOKUP(B1226,'inumos depara'!$A:$B,2,0)</f>
        <v>16298631</v>
      </c>
      <c r="F1226" s="1" t="str">
        <f t="shared" si="38"/>
        <v>0.05</v>
      </c>
      <c r="G1226" t="str">
        <f t="shared" si="39"/>
        <v>P0001375,16298631,0.05</v>
      </c>
    </row>
    <row r="1227" spans="1:7" x14ac:dyDescent="0.25">
      <c r="A1227" s="1" t="s">
        <v>498</v>
      </c>
      <c r="B1227" s="1" t="s">
        <v>501</v>
      </c>
      <c r="C1227" s="1" t="s">
        <v>4</v>
      </c>
      <c r="D1227" t="str">
        <f>IFERROR(VLOOKUP(A1227,depara!A:B,2,0),A1227)</f>
        <v>P0001375</v>
      </c>
      <c r="E1227">
        <f>VLOOKUP(B1227,'inumos depara'!$A:$B,2,0)</f>
        <v>16298966</v>
      </c>
      <c r="F1227" s="1" t="str">
        <f t="shared" si="38"/>
        <v>0.005</v>
      </c>
      <c r="G1227" t="str">
        <f t="shared" si="39"/>
        <v>P0001375,16298966,0.005</v>
      </c>
    </row>
    <row r="1228" spans="1:7" x14ac:dyDescent="0.25">
      <c r="A1228" s="1" t="s">
        <v>498</v>
      </c>
      <c r="B1228" s="1" t="s">
        <v>502</v>
      </c>
      <c r="C1228" s="1" t="s">
        <v>0</v>
      </c>
      <c r="D1228" t="str">
        <f>IFERROR(VLOOKUP(A1228,depara!A:B,2,0),A1228)</f>
        <v>P0001375</v>
      </c>
      <c r="E1228">
        <f>VLOOKUP(B1228,'inumos depara'!$A:$B,2,0)</f>
        <v>16298967</v>
      </c>
      <c r="F1228" s="1" t="str">
        <f t="shared" si="38"/>
        <v>0.05</v>
      </c>
      <c r="G1228" t="str">
        <f t="shared" si="39"/>
        <v>P0001375,16298967,0.05</v>
      </c>
    </row>
    <row r="1229" spans="1:7" x14ac:dyDescent="0.25">
      <c r="A1229" s="1" t="s">
        <v>498</v>
      </c>
      <c r="B1229" s="1" t="s">
        <v>503</v>
      </c>
      <c r="C1229" s="1" t="s">
        <v>4</v>
      </c>
      <c r="D1229" t="str">
        <f>IFERROR(VLOOKUP(A1229,depara!A:B,2,0),A1229)</f>
        <v>P0001375</v>
      </c>
      <c r="E1229">
        <f>VLOOKUP(B1229,'inumos depara'!$A:$B,2,0)</f>
        <v>16298968</v>
      </c>
      <c r="F1229" s="1" t="str">
        <f t="shared" si="38"/>
        <v>0.005</v>
      </c>
      <c r="G1229" t="str">
        <f t="shared" si="39"/>
        <v>P0001375,16298968,0.005</v>
      </c>
    </row>
    <row r="1230" spans="1:7" x14ac:dyDescent="0.25">
      <c r="A1230" s="1" t="s">
        <v>498</v>
      </c>
      <c r="B1230" s="1" t="s">
        <v>504</v>
      </c>
      <c r="C1230" s="1" t="s">
        <v>1</v>
      </c>
      <c r="D1230" t="str">
        <f>IFERROR(VLOOKUP(A1230,depara!A:B,2,0),A1230)</f>
        <v>P0001375</v>
      </c>
      <c r="E1230">
        <f>VLOOKUP(B1230,'inumos depara'!$A:$B,2,0)</f>
        <v>16298969</v>
      </c>
      <c r="F1230" s="1" t="str">
        <f t="shared" si="38"/>
        <v>0.003</v>
      </c>
      <c r="G1230" t="str">
        <f t="shared" si="39"/>
        <v>P0001375,16298969,0.003</v>
      </c>
    </row>
    <row r="1231" spans="1:7" x14ac:dyDescent="0.25">
      <c r="A1231" s="1" t="s">
        <v>498</v>
      </c>
      <c r="B1231" s="1" t="s">
        <v>505</v>
      </c>
      <c r="C1231" s="1" t="s">
        <v>68</v>
      </c>
      <c r="D1231" t="str">
        <f>IFERROR(VLOOKUP(A1231,depara!A:B,2,0),A1231)</f>
        <v>P0001375</v>
      </c>
      <c r="E1231">
        <f>VLOOKUP(B1231,'inumos depara'!$A:$B,2,0)</f>
        <v>16298970</v>
      </c>
      <c r="F1231" s="1" t="str">
        <f t="shared" si="38"/>
        <v>0.004</v>
      </c>
      <c r="G1231" t="str">
        <f t="shared" si="39"/>
        <v>P0001375,16298970,0.004</v>
      </c>
    </row>
    <row r="1232" spans="1:7" x14ac:dyDescent="0.25">
      <c r="A1232" s="1" t="s">
        <v>498</v>
      </c>
      <c r="B1232" s="1" t="s">
        <v>506</v>
      </c>
      <c r="C1232" s="1" t="s">
        <v>4</v>
      </c>
      <c r="D1232" t="str">
        <f>IFERROR(VLOOKUP(A1232,depara!A:B,2,0),A1232)</f>
        <v>P0001375</v>
      </c>
      <c r="E1232">
        <f>VLOOKUP(B1232,'inumos depara'!$A:$B,2,0)</f>
        <v>16298971</v>
      </c>
      <c r="F1232" s="1" t="str">
        <f t="shared" si="38"/>
        <v>0.005</v>
      </c>
      <c r="G1232" t="str">
        <f t="shared" si="39"/>
        <v>P0001375,16298971,0.005</v>
      </c>
    </row>
    <row r="1233" spans="1:7" x14ac:dyDescent="0.25">
      <c r="A1233" s="1" t="s">
        <v>498</v>
      </c>
      <c r="B1233" s="1" t="s">
        <v>507</v>
      </c>
      <c r="C1233" s="1" t="s">
        <v>508</v>
      </c>
      <c r="D1233" t="str">
        <f>IFERROR(VLOOKUP(A1233,depara!A:B,2,0),A1233)</f>
        <v>P0001375</v>
      </c>
      <c r="E1233">
        <f>VLOOKUP(B1233,'inumos depara'!$A:$B,2,0)</f>
        <v>16298972</v>
      </c>
      <c r="F1233" s="1" t="str">
        <f t="shared" si="38"/>
        <v>0.00025</v>
      </c>
      <c r="G1233" t="str">
        <f t="shared" si="39"/>
        <v>P0001375,16298972,0.00025</v>
      </c>
    </row>
    <row r="1234" spans="1:7" x14ac:dyDescent="0.25">
      <c r="A1234" s="1" t="s">
        <v>509</v>
      </c>
      <c r="B1234" s="1" t="s">
        <v>510</v>
      </c>
      <c r="C1234" s="1" t="s">
        <v>10</v>
      </c>
      <c r="D1234" t="str">
        <f>IFERROR(VLOOKUP(A1234,depara!A:B,2,0),A1234)</f>
        <v>P0001382</v>
      </c>
      <c r="E1234">
        <f>VLOOKUP(B1234,'inumos depara'!$A:$B,2,0)</f>
        <v>16298973</v>
      </c>
      <c r="F1234" s="1" t="str">
        <f t="shared" si="38"/>
        <v>0.001</v>
      </c>
      <c r="G1234" t="str">
        <f t="shared" si="39"/>
        <v>P0001382,16298973,0.001</v>
      </c>
    </row>
    <row r="1235" spans="1:7" x14ac:dyDescent="0.25">
      <c r="A1235" s="1" t="s">
        <v>509</v>
      </c>
      <c r="B1235" s="1" t="s">
        <v>1246</v>
      </c>
      <c r="C1235" s="1" t="s">
        <v>7</v>
      </c>
      <c r="D1235" t="str">
        <f>IFERROR(VLOOKUP(A1235,depara!A:B,2,0),A1235)</f>
        <v>P0001382</v>
      </c>
      <c r="E1235">
        <f>VLOOKUP(B1235,'inumos depara'!$A:$B,2,0)</f>
        <v>16298648</v>
      </c>
      <c r="F1235" s="1" t="str">
        <f t="shared" si="38"/>
        <v>0.025</v>
      </c>
      <c r="G1235" t="str">
        <f t="shared" si="39"/>
        <v>P0001382,16298648,0.025</v>
      </c>
    </row>
    <row r="1236" spans="1:7" x14ac:dyDescent="0.25">
      <c r="A1236" s="1" t="s">
        <v>509</v>
      </c>
      <c r="B1236" s="1" t="s">
        <v>1545</v>
      </c>
      <c r="C1236" s="1" t="s">
        <v>82</v>
      </c>
      <c r="D1236" t="str">
        <f>IFERROR(VLOOKUP(A1236,depara!A:B,2,0),A1236)</f>
        <v>P0001382</v>
      </c>
      <c r="E1236">
        <f>VLOOKUP(B1236,'inumos depara'!$A:$B,2,0)</f>
        <v>16298908</v>
      </c>
      <c r="F1236" s="1" t="str">
        <f t="shared" si="38"/>
        <v>0.0005</v>
      </c>
      <c r="G1236" t="str">
        <f t="shared" si="39"/>
        <v>P0001382,16298908,0.0005</v>
      </c>
    </row>
    <row r="1237" spans="1:7" x14ac:dyDescent="0.25">
      <c r="A1237" s="1" t="s">
        <v>509</v>
      </c>
      <c r="B1237" s="1" t="s">
        <v>511</v>
      </c>
      <c r="C1237" s="1" t="s">
        <v>10</v>
      </c>
      <c r="D1237" t="str">
        <f>IFERROR(VLOOKUP(A1237,depara!A:B,2,0),A1237)</f>
        <v>P0001382</v>
      </c>
      <c r="E1237">
        <f>VLOOKUP(B1237,'inumos depara'!$A:$B,2,0)</f>
        <v>16298974</v>
      </c>
      <c r="F1237" s="1" t="str">
        <f t="shared" si="38"/>
        <v>0.001</v>
      </c>
      <c r="G1237" t="str">
        <f t="shared" si="39"/>
        <v>P0001382,16298974,0.001</v>
      </c>
    </row>
    <row r="1238" spans="1:7" x14ac:dyDescent="0.25">
      <c r="A1238" s="1" t="s">
        <v>509</v>
      </c>
      <c r="B1238" s="1" t="s">
        <v>512</v>
      </c>
      <c r="C1238" s="1" t="s">
        <v>6</v>
      </c>
      <c r="D1238" t="str">
        <f>IFERROR(VLOOKUP(A1238,depara!A:B,2,0),A1238)</f>
        <v>P0001382</v>
      </c>
      <c r="E1238">
        <f>VLOOKUP(B1238,'inumos depara'!$A:$B,2,0)</f>
        <v>16298975</v>
      </c>
      <c r="F1238" s="1" t="str">
        <f t="shared" si="38"/>
        <v>0.01</v>
      </c>
      <c r="G1238" t="str">
        <f t="shared" si="39"/>
        <v>P0001382,16298975,0.01</v>
      </c>
    </row>
    <row r="1239" spans="1:7" x14ac:dyDescent="0.25">
      <c r="A1239" s="1" t="s">
        <v>509</v>
      </c>
      <c r="B1239" s="1" t="s">
        <v>1247</v>
      </c>
      <c r="C1239" s="1" t="s">
        <v>64</v>
      </c>
      <c r="D1239" t="str">
        <f>IFERROR(VLOOKUP(A1239,depara!A:B,2,0),A1239)</f>
        <v>P0001382</v>
      </c>
      <c r="E1239">
        <f>VLOOKUP(B1239,'inumos depara'!$A:$B,2,0)</f>
        <v>16298649</v>
      </c>
      <c r="F1239" s="1" t="str">
        <f t="shared" si="38"/>
        <v>0.02</v>
      </c>
      <c r="G1239" t="str">
        <f t="shared" si="39"/>
        <v>P0001382,16298649,0.02</v>
      </c>
    </row>
    <row r="1240" spans="1:7" x14ac:dyDescent="0.25">
      <c r="A1240" s="1" t="s">
        <v>509</v>
      </c>
      <c r="B1240" s="1" t="s">
        <v>1244</v>
      </c>
      <c r="C1240" s="1" t="s">
        <v>12</v>
      </c>
      <c r="D1240" t="str">
        <f>IFERROR(VLOOKUP(A1240,depara!A:B,2,0),A1240)</f>
        <v>P0001382</v>
      </c>
      <c r="E1240">
        <f>VLOOKUP(B1240,'inumos depara'!$A:$B,2,0)</f>
        <v>16298646</v>
      </c>
      <c r="F1240" s="1" t="str">
        <f t="shared" si="38"/>
        <v>0.0015</v>
      </c>
      <c r="G1240" t="str">
        <f t="shared" si="39"/>
        <v>P0001382,16298646,0.0015</v>
      </c>
    </row>
    <row r="1241" spans="1:7" x14ac:dyDescent="0.25">
      <c r="A1241" s="1" t="s">
        <v>509</v>
      </c>
      <c r="B1241" s="1" t="s">
        <v>513</v>
      </c>
      <c r="C1241" s="1" t="s">
        <v>4</v>
      </c>
      <c r="D1241" t="str">
        <f>IFERROR(VLOOKUP(A1241,depara!A:B,2,0),A1241)</f>
        <v>P0001382</v>
      </c>
      <c r="E1241">
        <f>VLOOKUP(B1241,'inumos depara'!$A:$B,2,0)</f>
        <v>16298976</v>
      </c>
      <c r="F1241" s="1" t="str">
        <f t="shared" si="38"/>
        <v>0.005</v>
      </c>
      <c r="G1241" t="str">
        <f t="shared" si="39"/>
        <v>P0001382,16298976,0.005</v>
      </c>
    </row>
    <row r="1242" spans="1:7" x14ac:dyDescent="0.25">
      <c r="A1242" s="1" t="s">
        <v>509</v>
      </c>
      <c r="B1242" s="1" t="s">
        <v>514</v>
      </c>
      <c r="C1242" s="1" t="s">
        <v>6</v>
      </c>
      <c r="D1242" t="str">
        <f>IFERROR(VLOOKUP(A1242,depara!A:B,2,0),A1242)</f>
        <v>P0001382</v>
      </c>
      <c r="E1242">
        <f>VLOOKUP(B1242,'inumos depara'!$A:$B,2,0)</f>
        <v>16298977</v>
      </c>
      <c r="F1242" s="1" t="str">
        <f t="shared" si="38"/>
        <v>0.01</v>
      </c>
      <c r="G1242" t="str">
        <f t="shared" si="39"/>
        <v>P0001382,16298977,0.01</v>
      </c>
    </row>
    <row r="1243" spans="1:7" x14ac:dyDescent="0.25">
      <c r="A1243" s="1" t="s">
        <v>509</v>
      </c>
      <c r="B1243" s="1" t="s">
        <v>1253</v>
      </c>
      <c r="C1243" s="1" t="s">
        <v>8</v>
      </c>
      <c r="D1243" t="str">
        <f>IFERROR(VLOOKUP(A1243,depara!A:B,2,0),A1243)</f>
        <v>P0001382</v>
      </c>
      <c r="E1243">
        <f>VLOOKUP(B1243,'inumos depara'!$A:$B,2,0)</f>
        <v>16298657</v>
      </c>
      <c r="F1243" s="1" t="str">
        <f t="shared" si="38"/>
        <v>0.06</v>
      </c>
      <c r="G1243" t="str">
        <f t="shared" si="39"/>
        <v>P0001382,16298657,0.06</v>
      </c>
    </row>
    <row r="1244" spans="1:7" x14ac:dyDescent="0.25">
      <c r="A1244" s="1" t="s">
        <v>509</v>
      </c>
      <c r="B1244" s="1" t="s">
        <v>1176</v>
      </c>
      <c r="C1244" s="1" t="s">
        <v>82</v>
      </c>
      <c r="D1244" t="str">
        <f>IFERROR(VLOOKUP(A1244,depara!A:B,2,0),A1244)</f>
        <v>P0001382</v>
      </c>
      <c r="E1244">
        <f>VLOOKUP(B1244,'inumos depara'!$A:$B,2,0)</f>
        <v>16298585</v>
      </c>
      <c r="F1244" s="1" t="str">
        <f t="shared" si="38"/>
        <v>0.0005</v>
      </c>
      <c r="G1244" t="str">
        <f t="shared" si="39"/>
        <v>P0001382,16298585,0.0005</v>
      </c>
    </row>
    <row r="1245" spans="1:7" x14ac:dyDescent="0.25">
      <c r="A1245" s="1" t="s">
        <v>509</v>
      </c>
      <c r="B1245" s="1" t="s">
        <v>515</v>
      </c>
      <c r="C1245" s="1" t="s">
        <v>76</v>
      </c>
      <c r="D1245" t="str">
        <f>IFERROR(VLOOKUP(A1245,depara!A:B,2,0),A1245)</f>
        <v>P0001382</v>
      </c>
      <c r="E1245">
        <f>VLOOKUP(B1245,'inumos depara'!$A:$B,2,0)</f>
        <v>16298978</v>
      </c>
      <c r="F1245" s="1" t="str">
        <f t="shared" si="38"/>
        <v>0.03</v>
      </c>
      <c r="G1245" t="str">
        <f t="shared" si="39"/>
        <v>P0001382,16298978,0.03</v>
      </c>
    </row>
    <row r="1246" spans="1:7" x14ac:dyDescent="0.25">
      <c r="A1246" s="1" t="s">
        <v>509</v>
      </c>
      <c r="B1246" s="1" t="s">
        <v>516</v>
      </c>
      <c r="C1246" s="1" t="s">
        <v>68</v>
      </c>
      <c r="D1246" t="str">
        <f>IFERROR(VLOOKUP(A1246,depara!A:B,2,0),A1246)</f>
        <v>P0001382</v>
      </c>
      <c r="E1246">
        <f>VLOOKUP(B1246,'inumos depara'!$A:$B,2,0)</f>
        <v>16298979</v>
      </c>
      <c r="F1246" s="1" t="str">
        <f t="shared" si="38"/>
        <v>0.004</v>
      </c>
      <c r="G1246" t="str">
        <f t="shared" si="39"/>
        <v>P0001382,16298979,0.004</v>
      </c>
    </row>
    <row r="1247" spans="1:7" x14ac:dyDescent="0.25">
      <c r="A1247" s="1" t="s">
        <v>509</v>
      </c>
      <c r="B1247" s="1" t="s">
        <v>1146</v>
      </c>
      <c r="C1247" s="1" t="s">
        <v>82</v>
      </c>
      <c r="D1247" t="str">
        <f>IFERROR(VLOOKUP(A1247,depara!A:B,2,0),A1247)</f>
        <v>P0001382</v>
      </c>
      <c r="E1247">
        <f>VLOOKUP(B1247,'inumos depara'!$A:$B,2,0)</f>
        <v>16298558</v>
      </c>
      <c r="F1247" s="1" t="str">
        <f t="shared" si="38"/>
        <v>0.0005</v>
      </c>
      <c r="G1247" t="str">
        <f t="shared" si="39"/>
        <v>P0001382,16298558,0.0005</v>
      </c>
    </row>
    <row r="1248" spans="1:7" x14ac:dyDescent="0.25">
      <c r="A1248" s="1" t="s">
        <v>509</v>
      </c>
      <c r="B1248" s="1" t="s">
        <v>517</v>
      </c>
      <c r="C1248" s="1" t="s">
        <v>518</v>
      </c>
      <c r="D1248" t="str">
        <f>IFERROR(VLOOKUP(A1248,depara!A:B,2,0),A1248)</f>
        <v>P0001382</v>
      </c>
      <c r="E1248">
        <f>VLOOKUP(B1248,'inumos depara'!$A:$B,2,0)</f>
        <v>16298980</v>
      </c>
      <c r="F1248" s="1" t="str">
        <f t="shared" si="38"/>
        <v>0.016</v>
      </c>
      <c r="G1248" t="str">
        <f t="shared" si="39"/>
        <v>P0001382,16298980,0.016</v>
      </c>
    </row>
    <row r="1249" spans="1:7" x14ac:dyDescent="0.25">
      <c r="A1249" s="1" t="s">
        <v>509</v>
      </c>
      <c r="B1249" s="1" t="s">
        <v>1261</v>
      </c>
      <c r="C1249" s="1" t="s">
        <v>68</v>
      </c>
      <c r="D1249" t="str">
        <f>IFERROR(VLOOKUP(A1249,depara!A:B,2,0),A1249)</f>
        <v>P0001382</v>
      </c>
      <c r="E1249">
        <f>VLOOKUP(B1249,'inumos depara'!$A:$B,2,0)</f>
        <v>16298663</v>
      </c>
      <c r="F1249" s="1" t="str">
        <f t="shared" si="38"/>
        <v>0.004</v>
      </c>
      <c r="G1249" t="str">
        <f t="shared" si="39"/>
        <v>P0001382,16298663,0.004</v>
      </c>
    </row>
    <row r="1250" spans="1:7" x14ac:dyDescent="0.25">
      <c r="A1250" s="1" t="s">
        <v>509</v>
      </c>
      <c r="B1250" s="1" t="s">
        <v>519</v>
      </c>
      <c r="C1250" s="1" t="s">
        <v>12</v>
      </c>
      <c r="D1250" t="str">
        <f>IFERROR(VLOOKUP(A1250,depara!A:B,2,0),A1250)</f>
        <v>P0001382</v>
      </c>
      <c r="E1250">
        <f>VLOOKUP(B1250,'inumos depara'!$A:$B,2,0)</f>
        <v>16298981</v>
      </c>
      <c r="F1250" s="1" t="str">
        <f t="shared" si="38"/>
        <v>0.0015</v>
      </c>
      <c r="G1250" t="str">
        <f t="shared" si="39"/>
        <v>P0001382,16298981,0.0015</v>
      </c>
    </row>
    <row r="1251" spans="1:7" x14ac:dyDescent="0.25">
      <c r="A1251" s="1" t="s">
        <v>509</v>
      </c>
      <c r="B1251" s="1" t="s">
        <v>1151</v>
      </c>
      <c r="C1251" s="1" t="s">
        <v>4</v>
      </c>
      <c r="D1251" t="str">
        <f>IFERROR(VLOOKUP(A1251,depara!A:B,2,0),A1251)</f>
        <v>P0001382</v>
      </c>
      <c r="E1251">
        <f>VLOOKUP(B1251,'inumos depara'!$A:$B,2,0)</f>
        <v>16298562</v>
      </c>
      <c r="F1251" s="1" t="str">
        <f t="shared" si="38"/>
        <v>0.005</v>
      </c>
      <c r="G1251" t="str">
        <f t="shared" si="39"/>
        <v>P0001382,16298562,0.005</v>
      </c>
    </row>
    <row r="1252" spans="1:7" x14ac:dyDescent="0.25">
      <c r="A1252" s="1" t="s">
        <v>509</v>
      </c>
      <c r="B1252" s="1" t="s">
        <v>520</v>
      </c>
      <c r="C1252" s="1" t="s">
        <v>68</v>
      </c>
      <c r="D1252" t="str">
        <f>IFERROR(VLOOKUP(A1252,depara!A:B,2,0),A1252)</f>
        <v>P0001382</v>
      </c>
      <c r="E1252">
        <f>VLOOKUP(B1252,'inumos depara'!$A:$B,2,0)</f>
        <v>16298982</v>
      </c>
      <c r="F1252" s="1" t="str">
        <f t="shared" si="38"/>
        <v>0.004</v>
      </c>
      <c r="G1252" t="str">
        <f t="shared" si="39"/>
        <v>P0001382,16298982,0.004</v>
      </c>
    </row>
    <row r="1253" spans="1:7" x14ac:dyDescent="0.25">
      <c r="A1253" s="1" t="s">
        <v>509</v>
      </c>
      <c r="B1253" s="1" t="s">
        <v>521</v>
      </c>
      <c r="C1253" s="1" t="s">
        <v>4</v>
      </c>
      <c r="D1253" t="str">
        <f>IFERROR(VLOOKUP(A1253,depara!A:B,2,0),A1253)</f>
        <v>P0001382</v>
      </c>
      <c r="E1253">
        <f>VLOOKUP(B1253,'inumos depara'!$A:$B,2,0)</f>
        <v>16298983</v>
      </c>
      <c r="F1253" s="1" t="str">
        <f t="shared" si="38"/>
        <v>0.005</v>
      </c>
      <c r="G1253" t="str">
        <f t="shared" si="39"/>
        <v>P0001382,16298983,0.005</v>
      </c>
    </row>
    <row r="1254" spans="1:7" x14ac:dyDescent="0.25">
      <c r="A1254" s="1" t="s">
        <v>509</v>
      </c>
      <c r="B1254" s="1" t="s">
        <v>522</v>
      </c>
      <c r="C1254" s="1" t="s">
        <v>7</v>
      </c>
      <c r="D1254" t="str">
        <f>IFERROR(VLOOKUP(A1254,depara!A:B,2,0),A1254)</f>
        <v>P0001382</v>
      </c>
      <c r="E1254">
        <f>VLOOKUP(B1254,'inumos depara'!$A:$B,2,0)</f>
        <v>16298984</v>
      </c>
      <c r="F1254" s="1" t="str">
        <f t="shared" si="38"/>
        <v>0.025</v>
      </c>
      <c r="G1254" t="str">
        <f t="shared" si="39"/>
        <v>P0001382,16298984,0.025</v>
      </c>
    </row>
    <row r="1255" spans="1:7" x14ac:dyDescent="0.25">
      <c r="A1255" s="1" t="s">
        <v>509</v>
      </c>
      <c r="B1255" s="1" t="s">
        <v>523</v>
      </c>
      <c r="C1255" s="1" t="s">
        <v>71</v>
      </c>
      <c r="D1255" t="str">
        <f>IFERROR(VLOOKUP(A1255,depara!A:B,2,0),A1255)</f>
        <v>P0001382</v>
      </c>
      <c r="E1255">
        <f>VLOOKUP(B1255,'inumos depara'!$A:$B,2,0)</f>
        <v>16298985</v>
      </c>
      <c r="F1255" s="1" t="str">
        <f t="shared" si="38"/>
        <v>0.04</v>
      </c>
      <c r="G1255" t="str">
        <f t="shared" si="39"/>
        <v>P0001382,16298985,0.04</v>
      </c>
    </row>
    <row r="1256" spans="1:7" x14ac:dyDescent="0.25">
      <c r="A1256" s="1" t="s">
        <v>509</v>
      </c>
      <c r="B1256" s="1" t="s">
        <v>524</v>
      </c>
      <c r="C1256" s="1" t="s">
        <v>64</v>
      </c>
      <c r="D1256" t="str">
        <f>IFERROR(VLOOKUP(A1256,depara!A:B,2,0),A1256)</f>
        <v>P0001382</v>
      </c>
      <c r="E1256">
        <f>VLOOKUP(B1256,'inumos depara'!$A:$B,2,0)</f>
        <v>16298986</v>
      </c>
      <c r="F1256" s="1" t="str">
        <f t="shared" si="38"/>
        <v>0.02</v>
      </c>
      <c r="G1256" t="str">
        <f t="shared" si="39"/>
        <v>P0001382,16298986,0.02</v>
      </c>
    </row>
    <row r="1257" spans="1:7" x14ac:dyDescent="0.25">
      <c r="A1257" s="1" t="s">
        <v>509</v>
      </c>
      <c r="B1257" s="1" t="s">
        <v>525</v>
      </c>
      <c r="C1257" s="1" t="s">
        <v>5</v>
      </c>
      <c r="D1257" t="str">
        <f>IFERROR(VLOOKUP(A1257,depara!A:B,2,0),A1257)</f>
        <v>P0001382</v>
      </c>
      <c r="E1257">
        <f>VLOOKUP(B1257,'inumos depara'!$A:$B,2,0)</f>
        <v>16298987</v>
      </c>
      <c r="F1257" s="1" t="str">
        <f t="shared" si="38"/>
        <v>0.002</v>
      </c>
      <c r="G1257" t="str">
        <f t="shared" si="39"/>
        <v>P0001382,16298987,0.002</v>
      </c>
    </row>
    <row r="1258" spans="1:7" x14ac:dyDescent="0.25">
      <c r="A1258" s="1" t="s">
        <v>509</v>
      </c>
      <c r="B1258" s="1" t="s">
        <v>526</v>
      </c>
      <c r="C1258" s="1" t="s">
        <v>88</v>
      </c>
      <c r="D1258" t="str">
        <f>IFERROR(VLOOKUP(A1258,depara!A:B,2,0),A1258)</f>
        <v>P0001382</v>
      </c>
      <c r="E1258">
        <f>VLOOKUP(B1258,'inumos depara'!$A:$B,2,0)</f>
        <v>16298988</v>
      </c>
      <c r="F1258" s="1" t="str">
        <f t="shared" si="38"/>
        <v>0.015</v>
      </c>
      <c r="G1258" t="str">
        <f t="shared" si="39"/>
        <v>P0001382,16298988,0.015</v>
      </c>
    </row>
    <row r="1259" spans="1:7" x14ac:dyDescent="0.25">
      <c r="A1259" s="1" t="s">
        <v>509</v>
      </c>
      <c r="B1259" s="1" t="s">
        <v>1255</v>
      </c>
      <c r="C1259" s="1" t="s">
        <v>527</v>
      </c>
      <c r="D1259" t="str">
        <f>IFERROR(VLOOKUP(A1259,depara!A:B,2,0),A1259)</f>
        <v>P0001382</v>
      </c>
      <c r="E1259">
        <f>VLOOKUP(B1259,'inumos depara'!$A:$B,2,0)</f>
        <v>16298660</v>
      </c>
      <c r="F1259" s="1" t="str">
        <f t="shared" si="38"/>
        <v>0.054</v>
      </c>
      <c r="G1259" t="str">
        <f t="shared" si="39"/>
        <v>P0001382,16298660,0.054</v>
      </c>
    </row>
    <row r="1260" spans="1:7" x14ac:dyDescent="0.25">
      <c r="A1260" s="1" t="s">
        <v>509</v>
      </c>
      <c r="B1260" s="1" t="s">
        <v>1242</v>
      </c>
      <c r="C1260" s="1" t="s">
        <v>76</v>
      </c>
      <c r="D1260" t="str">
        <f>IFERROR(VLOOKUP(A1260,depara!A:B,2,0),A1260)</f>
        <v>P0001382</v>
      </c>
      <c r="E1260">
        <f>VLOOKUP(B1260,'inumos depara'!$A:$B,2,0)</f>
        <v>16298643</v>
      </c>
      <c r="F1260" s="1" t="str">
        <f t="shared" si="38"/>
        <v>0.03</v>
      </c>
      <c r="G1260" t="str">
        <f t="shared" si="39"/>
        <v>P0001382,16298643,0.03</v>
      </c>
    </row>
    <row r="1261" spans="1:7" x14ac:dyDescent="0.25">
      <c r="A1261" s="1" t="s">
        <v>509</v>
      </c>
      <c r="B1261" s="1" t="s">
        <v>1538</v>
      </c>
      <c r="C1261" s="1" t="s">
        <v>528</v>
      </c>
      <c r="D1261" t="str">
        <f>IFERROR(VLOOKUP(A1261,depara!A:B,2,0),A1261)</f>
        <v>P0001382</v>
      </c>
      <c r="E1261">
        <f>VLOOKUP(B1261,'inumos depara'!$A:$B,2,0)</f>
        <v>16298901</v>
      </c>
      <c r="F1261" s="1" t="str">
        <f t="shared" si="38"/>
        <v>0.038</v>
      </c>
      <c r="G1261" t="str">
        <f t="shared" si="39"/>
        <v>P0001382,16298901,0.038</v>
      </c>
    </row>
    <row r="1262" spans="1:7" x14ac:dyDescent="0.25">
      <c r="A1262" s="1" t="s">
        <v>509</v>
      </c>
      <c r="B1262" s="1" t="s">
        <v>1557</v>
      </c>
      <c r="C1262" s="1" t="s">
        <v>3</v>
      </c>
      <c r="D1262" t="str">
        <f>IFERROR(VLOOKUP(A1262,depara!A:B,2,0),A1262)</f>
        <v>P0001382</v>
      </c>
      <c r="E1262">
        <f>VLOOKUP(B1262,'inumos depara'!$A:$B,2,0)</f>
        <v>16298920</v>
      </c>
      <c r="F1262" s="1" t="str">
        <f t="shared" si="38"/>
        <v>0.055</v>
      </c>
      <c r="G1262" t="str">
        <f t="shared" si="39"/>
        <v>P0001382,16298920,0.055</v>
      </c>
    </row>
    <row r="1263" spans="1:7" x14ac:dyDescent="0.25">
      <c r="A1263" s="1" t="s">
        <v>509</v>
      </c>
      <c r="B1263" s="1" t="s">
        <v>1156</v>
      </c>
      <c r="C1263" s="1" t="s">
        <v>10</v>
      </c>
      <c r="D1263" t="str">
        <f>IFERROR(VLOOKUP(A1263,depara!A:B,2,0),A1263)</f>
        <v>P0001382</v>
      </c>
      <c r="E1263">
        <f>VLOOKUP(B1263,'inumos depara'!$A:$B,2,0)</f>
        <v>16298567</v>
      </c>
      <c r="F1263" s="1" t="str">
        <f t="shared" si="38"/>
        <v>0.001</v>
      </c>
      <c r="G1263" t="str">
        <f t="shared" si="39"/>
        <v>P0001382,16298567,0.001</v>
      </c>
    </row>
    <row r="1264" spans="1:7" x14ac:dyDescent="0.25">
      <c r="A1264" s="1" t="s">
        <v>529</v>
      </c>
      <c r="B1264" s="1" t="s">
        <v>1219</v>
      </c>
      <c r="C1264" s="1" t="s">
        <v>64</v>
      </c>
      <c r="D1264" t="str">
        <f>IFERROR(VLOOKUP(A1264,depara!A:B,2,0),A1264)</f>
        <v>P0001387</v>
      </c>
      <c r="E1264">
        <f>VLOOKUP(B1264,'inumos depara'!$A:$B,2,0)</f>
        <v>16298624</v>
      </c>
      <c r="F1264" s="1" t="str">
        <f t="shared" si="38"/>
        <v>0.02</v>
      </c>
      <c r="G1264" t="str">
        <f t="shared" si="39"/>
        <v>P0001387,16298624,0.02</v>
      </c>
    </row>
    <row r="1265" spans="1:7" x14ac:dyDescent="0.25">
      <c r="A1265" s="1" t="s">
        <v>529</v>
      </c>
      <c r="B1265" s="1" t="s">
        <v>1222</v>
      </c>
      <c r="C1265" s="1" t="s">
        <v>82</v>
      </c>
      <c r="D1265" t="str">
        <f>IFERROR(VLOOKUP(A1265,depara!A:B,2,0),A1265)</f>
        <v>P0001387</v>
      </c>
      <c r="E1265">
        <f>VLOOKUP(B1265,'inumos depara'!$A:$B,2,0)</f>
        <v>16298627</v>
      </c>
      <c r="F1265" s="1" t="str">
        <f t="shared" si="38"/>
        <v>0.0005</v>
      </c>
      <c r="G1265" t="str">
        <f t="shared" si="39"/>
        <v>P0001387,16298627,0.0005</v>
      </c>
    </row>
    <row r="1266" spans="1:7" x14ac:dyDescent="0.25">
      <c r="A1266" s="1" t="s">
        <v>529</v>
      </c>
      <c r="B1266" s="1" t="s">
        <v>1215</v>
      </c>
      <c r="C1266" s="1" t="s">
        <v>1</v>
      </c>
      <c r="D1266" t="str">
        <f>IFERROR(VLOOKUP(A1266,depara!A:B,2,0),A1266)</f>
        <v>P0001387</v>
      </c>
      <c r="E1266">
        <f>VLOOKUP(B1266,'inumos depara'!$A:$B,2,0)</f>
        <v>16298620</v>
      </c>
      <c r="F1266" s="1" t="str">
        <f t="shared" si="38"/>
        <v>0.003</v>
      </c>
      <c r="G1266" t="str">
        <f t="shared" si="39"/>
        <v>P0001387,16298620,0.003</v>
      </c>
    </row>
    <row r="1267" spans="1:7" x14ac:dyDescent="0.25">
      <c r="A1267" s="1" t="s">
        <v>529</v>
      </c>
      <c r="B1267" s="1" t="s">
        <v>1180</v>
      </c>
      <c r="C1267" s="1" t="s">
        <v>0</v>
      </c>
      <c r="D1267" t="str">
        <f>IFERROR(VLOOKUP(A1267,depara!A:B,2,0),A1267)</f>
        <v>P0001387</v>
      </c>
      <c r="E1267">
        <f>VLOOKUP(B1267,'inumos depara'!$A:$B,2,0)</f>
        <v>16298588</v>
      </c>
      <c r="F1267" s="1" t="str">
        <f t="shared" si="38"/>
        <v>0.05</v>
      </c>
      <c r="G1267" t="str">
        <f t="shared" si="39"/>
        <v>P0001387,16298588,0.05</v>
      </c>
    </row>
    <row r="1268" spans="1:7" x14ac:dyDescent="0.25">
      <c r="A1268" s="1" t="s">
        <v>529</v>
      </c>
      <c r="B1268" s="1" t="s">
        <v>1566</v>
      </c>
      <c r="C1268" s="1" t="s">
        <v>0</v>
      </c>
      <c r="D1268" t="str">
        <f>IFERROR(VLOOKUP(A1268,depara!A:B,2,0),A1268)</f>
        <v>P0001387</v>
      </c>
      <c r="E1268">
        <f>VLOOKUP(B1268,'inumos depara'!$A:$B,2,0)</f>
        <v>16298944</v>
      </c>
      <c r="F1268" s="1" t="str">
        <f t="shared" si="38"/>
        <v>0.05</v>
      </c>
      <c r="G1268" t="str">
        <f t="shared" si="39"/>
        <v>P0001387,16298944,0.05</v>
      </c>
    </row>
    <row r="1269" spans="1:7" x14ac:dyDescent="0.25">
      <c r="A1269" s="1" t="s">
        <v>529</v>
      </c>
      <c r="B1269" s="1" t="s">
        <v>1185</v>
      </c>
      <c r="C1269" s="1" t="s">
        <v>82</v>
      </c>
      <c r="D1269" t="str">
        <f>IFERROR(VLOOKUP(A1269,depara!A:B,2,0),A1269)</f>
        <v>P0001387</v>
      </c>
      <c r="E1269">
        <f>VLOOKUP(B1269,'inumos depara'!$A:$B,2,0)</f>
        <v>16298591</v>
      </c>
      <c r="F1269" s="1" t="str">
        <f t="shared" si="38"/>
        <v>0.0005</v>
      </c>
      <c r="G1269" t="str">
        <f t="shared" si="39"/>
        <v>P0001387,16298591,0.0005</v>
      </c>
    </row>
    <row r="1270" spans="1:7" x14ac:dyDescent="0.25">
      <c r="A1270" s="1" t="s">
        <v>529</v>
      </c>
      <c r="B1270" s="1" t="s">
        <v>453</v>
      </c>
      <c r="C1270" s="1" t="s">
        <v>6</v>
      </c>
      <c r="D1270" t="str">
        <f>IFERROR(VLOOKUP(A1270,depara!A:B,2,0),A1270)</f>
        <v>P0001387</v>
      </c>
      <c r="E1270">
        <f>VLOOKUP(B1270,'inumos depara'!$A:$B,2,0)</f>
        <v>16298938</v>
      </c>
      <c r="F1270" s="1" t="str">
        <f t="shared" si="38"/>
        <v>0.01</v>
      </c>
      <c r="G1270" t="str">
        <f t="shared" si="39"/>
        <v>P0001387,16298938,0.01</v>
      </c>
    </row>
    <row r="1271" spans="1:7" x14ac:dyDescent="0.25">
      <c r="A1271" s="1" t="s">
        <v>529</v>
      </c>
      <c r="B1271" s="1" t="s">
        <v>1189</v>
      </c>
      <c r="C1271" s="1" t="s">
        <v>68</v>
      </c>
      <c r="D1271" t="str">
        <f>IFERROR(VLOOKUP(A1271,depara!A:B,2,0),A1271)</f>
        <v>P0001387</v>
      </c>
      <c r="E1271">
        <f>VLOOKUP(B1271,'inumos depara'!$A:$B,2,0)</f>
        <v>16298595</v>
      </c>
      <c r="F1271" s="1" t="str">
        <f t="shared" si="38"/>
        <v>0.004</v>
      </c>
      <c r="G1271" t="str">
        <f t="shared" si="39"/>
        <v>P0001387,16298595,0.004</v>
      </c>
    </row>
    <row r="1272" spans="1:7" x14ac:dyDescent="0.25">
      <c r="A1272" s="1" t="s">
        <v>529</v>
      </c>
      <c r="B1272" s="1" t="s">
        <v>1212</v>
      </c>
      <c r="C1272" s="1" t="s">
        <v>7</v>
      </c>
      <c r="D1272" t="str">
        <f>IFERROR(VLOOKUP(A1272,depara!A:B,2,0),A1272)</f>
        <v>P0001387</v>
      </c>
      <c r="E1272">
        <f>VLOOKUP(B1272,'inumos depara'!$A:$B,2,0)</f>
        <v>16298617</v>
      </c>
      <c r="F1272" s="1" t="str">
        <f t="shared" si="38"/>
        <v>0.025</v>
      </c>
      <c r="G1272" t="str">
        <f t="shared" si="39"/>
        <v>P0001387,16298617,0.025</v>
      </c>
    </row>
    <row r="1273" spans="1:7" x14ac:dyDescent="0.25">
      <c r="A1273" s="1" t="s">
        <v>529</v>
      </c>
      <c r="B1273" s="1" t="s">
        <v>1200</v>
      </c>
      <c r="C1273" s="1" t="s">
        <v>8</v>
      </c>
      <c r="D1273" t="str">
        <f>IFERROR(VLOOKUP(A1273,depara!A:B,2,0),A1273)</f>
        <v>P0001387</v>
      </c>
      <c r="E1273">
        <f>VLOOKUP(B1273,'inumos depara'!$A:$B,2,0)</f>
        <v>16298605</v>
      </c>
      <c r="F1273" s="1" t="str">
        <f t="shared" si="38"/>
        <v>0.06</v>
      </c>
      <c r="G1273" t="str">
        <f t="shared" si="39"/>
        <v>P0001387,16298605,0.06</v>
      </c>
    </row>
    <row r="1274" spans="1:7" x14ac:dyDescent="0.25">
      <c r="A1274" s="1" t="s">
        <v>529</v>
      </c>
      <c r="B1274" s="1" t="s">
        <v>1213</v>
      </c>
      <c r="C1274" s="1" t="s">
        <v>4</v>
      </c>
      <c r="D1274" t="str">
        <f>IFERROR(VLOOKUP(A1274,depara!A:B,2,0),A1274)</f>
        <v>P0001387</v>
      </c>
      <c r="E1274">
        <f>VLOOKUP(B1274,'inumos depara'!$A:$B,2,0)</f>
        <v>16298618</v>
      </c>
      <c r="F1274" s="1" t="str">
        <f t="shared" si="38"/>
        <v>0.005</v>
      </c>
      <c r="G1274" t="str">
        <f t="shared" si="39"/>
        <v>P0001387,16298618,0.005</v>
      </c>
    </row>
    <row r="1275" spans="1:7" x14ac:dyDescent="0.25">
      <c r="A1275" s="1" t="s">
        <v>529</v>
      </c>
      <c r="B1275" s="1" t="s">
        <v>1565</v>
      </c>
      <c r="C1275" s="1" t="s">
        <v>10</v>
      </c>
      <c r="D1275" t="str">
        <f>IFERROR(VLOOKUP(A1275,depara!A:B,2,0),A1275)</f>
        <v>P0001387</v>
      </c>
      <c r="E1275">
        <f>VLOOKUP(B1275,'inumos depara'!$A:$B,2,0)</f>
        <v>16298939</v>
      </c>
      <c r="F1275" s="1" t="str">
        <f t="shared" si="38"/>
        <v>0.001</v>
      </c>
      <c r="G1275" t="str">
        <f t="shared" si="39"/>
        <v>P0001387,16298939,0.001</v>
      </c>
    </row>
    <row r="1276" spans="1:7" x14ac:dyDescent="0.25">
      <c r="A1276" s="1" t="s">
        <v>529</v>
      </c>
      <c r="B1276" s="1" t="s">
        <v>1216</v>
      </c>
      <c r="C1276" s="1" t="s">
        <v>68</v>
      </c>
      <c r="D1276" t="str">
        <f>IFERROR(VLOOKUP(A1276,depara!A:B,2,0),A1276)</f>
        <v>P0001387</v>
      </c>
      <c r="E1276">
        <f>VLOOKUP(B1276,'inumos depara'!$A:$B,2,0)</f>
        <v>16298621</v>
      </c>
      <c r="F1276" s="1" t="str">
        <f t="shared" si="38"/>
        <v>0.004</v>
      </c>
      <c r="G1276" t="str">
        <f t="shared" si="39"/>
        <v>P0001387,16298621,0.004</v>
      </c>
    </row>
    <row r="1277" spans="1:7" x14ac:dyDescent="0.25">
      <c r="A1277" s="1" t="s">
        <v>529</v>
      </c>
      <c r="B1277" s="1" t="s">
        <v>1192</v>
      </c>
      <c r="C1277" s="1" t="s">
        <v>64</v>
      </c>
      <c r="D1277" t="str">
        <f>IFERROR(VLOOKUP(A1277,depara!A:B,2,0),A1277)</f>
        <v>P0001387</v>
      </c>
      <c r="E1277">
        <f>VLOOKUP(B1277,'inumos depara'!$A:$B,2,0)</f>
        <v>16298598</v>
      </c>
      <c r="F1277" s="1" t="str">
        <f t="shared" si="38"/>
        <v>0.02</v>
      </c>
      <c r="G1277" t="str">
        <f t="shared" si="39"/>
        <v>P0001387,16298598,0.02</v>
      </c>
    </row>
    <row r="1278" spans="1:7" x14ac:dyDescent="0.25">
      <c r="A1278" s="1" t="s">
        <v>529</v>
      </c>
      <c r="B1278" s="1" t="s">
        <v>1199</v>
      </c>
      <c r="C1278" s="1" t="s">
        <v>1</v>
      </c>
      <c r="D1278" t="str">
        <f>IFERROR(VLOOKUP(A1278,depara!A:B,2,0),A1278)</f>
        <v>P0001387</v>
      </c>
      <c r="E1278">
        <f>VLOOKUP(B1278,'inumos depara'!$A:$B,2,0)</f>
        <v>16298604</v>
      </c>
      <c r="F1278" s="1" t="str">
        <f t="shared" si="38"/>
        <v>0.003</v>
      </c>
      <c r="G1278" t="str">
        <f t="shared" si="39"/>
        <v>P0001387,16298604,0.003</v>
      </c>
    </row>
    <row r="1279" spans="1:7" x14ac:dyDescent="0.25">
      <c r="A1279" s="1" t="s">
        <v>529</v>
      </c>
      <c r="B1279" s="1" t="s">
        <v>1193</v>
      </c>
      <c r="C1279" s="1" t="s">
        <v>76</v>
      </c>
      <c r="D1279" t="str">
        <f>IFERROR(VLOOKUP(A1279,depara!A:B,2,0),A1279)</f>
        <v>P0001387</v>
      </c>
      <c r="E1279">
        <f>VLOOKUP(B1279,'inumos depara'!$A:$B,2,0)</f>
        <v>16298599</v>
      </c>
      <c r="F1279" s="1" t="str">
        <f t="shared" si="38"/>
        <v>0.03</v>
      </c>
      <c r="G1279" t="str">
        <f t="shared" si="39"/>
        <v>P0001387,16298599,0.03</v>
      </c>
    </row>
    <row r="1280" spans="1:7" x14ac:dyDescent="0.25">
      <c r="A1280" s="1" t="s">
        <v>529</v>
      </c>
      <c r="B1280" s="1" t="s">
        <v>1210</v>
      </c>
      <c r="C1280" s="1" t="s">
        <v>446</v>
      </c>
      <c r="D1280" t="str">
        <f>IFERROR(VLOOKUP(A1280,depara!A:B,2,0),A1280)</f>
        <v>P0001387</v>
      </c>
      <c r="E1280">
        <f>VLOOKUP(B1280,'inumos depara'!$A:$B,2,0)</f>
        <v>16298615</v>
      </c>
      <c r="F1280" s="1" t="str">
        <f t="shared" si="38"/>
        <v>0.0003</v>
      </c>
      <c r="G1280" t="str">
        <f t="shared" si="39"/>
        <v>P0001387,16298615,0.0003</v>
      </c>
    </row>
    <row r="1281" spans="1:7" x14ac:dyDescent="0.25">
      <c r="A1281" s="1" t="s">
        <v>529</v>
      </c>
      <c r="B1281" s="1" t="s">
        <v>1233</v>
      </c>
      <c r="C1281" s="1" t="s">
        <v>88</v>
      </c>
      <c r="D1281" t="str">
        <f>IFERROR(VLOOKUP(A1281,depara!A:B,2,0),A1281)</f>
        <v>P0001387</v>
      </c>
      <c r="E1281">
        <f>VLOOKUP(B1281,'inumos depara'!$A:$B,2,0)</f>
        <v>16298636</v>
      </c>
      <c r="F1281" s="1" t="str">
        <f t="shared" si="38"/>
        <v>0.015</v>
      </c>
      <c r="G1281" t="str">
        <f t="shared" si="39"/>
        <v>P0001387,16298636,0.015</v>
      </c>
    </row>
    <row r="1282" spans="1:7" x14ac:dyDescent="0.25">
      <c r="A1282" s="1" t="s">
        <v>529</v>
      </c>
      <c r="B1282" s="1" t="s">
        <v>1194</v>
      </c>
      <c r="C1282" s="1" t="s">
        <v>0</v>
      </c>
      <c r="D1282" t="str">
        <f>IFERROR(VLOOKUP(A1282,depara!A:B,2,0),A1282)</f>
        <v>P0001387</v>
      </c>
      <c r="E1282">
        <f>VLOOKUP(B1282,'inumos depara'!$A:$B,2,0)</f>
        <v>16298600</v>
      </c>
      <c r="F1282" s="1" t="str">
        <f t="shared" ref="F1282:F1345" si="40">C1282</f>
        <v>0.05</v>
      </c>
      <c r="G1282" t="str">
        <f t="shared" ref="G1282:G1345" si="41">D1282&amp;","&amp;E1282&amp;","&amp;F1282</f>
        <v>P0001387,16298600,0.05</v>
      </c>
    </row>
    <row r="1283" spans="1:7" x14ac:dyDescent="0.25">
      <c r="A1283" s="1" t="s">
        <v>529</v>
      </c>
      <c r="B1283" s="1" t="s">
        <v>1195</v>
      </c>
      <c r="C1283" s="1" t="s">
        <v>450</v>
      </c>
      <c r="D1283" t="str">
        <f>IFERROR(VLOOKUP(A1283,depara!A:B,2,0),A1283)</f>
        <v>P0001387</v>
      </c>
      <c r="E1283">
        <f>VLOOKUP(B1283,'inumos depara'!$A:$B,2,0)</f>
        <v>16298601</v>
      </c>
      <c r="F1283" s="1" t="str">
        <f t="shared" si="40"/>
        <v>0.35</v>
      </c>
      <c r="G1283" t="str">
        <f t="shared" si="41"/>
        <v>P0001387,16298601,0.35</v>
      </c>
    </row>
    <row r="1284" spans="1:7" x14ac:dyDescent="0.25">
      <c r="A1284" s="1" t="s">
        <v>530</v>
      </c>
      <c r="B1284" s="1" t="s">
        <v>510</v>
      </c>
      <c r="C1284" s="1" t="s">
        <v>10</v>
      </c>
      <c r="D1284" t="str">
        <f>IFERROR(VLOOKUP(A1284,depara!A:B,2,0),A1284)</f>
        <v>P0001388</v>
      </c>
      <c r="E1284">
        <f>VLOOKUP(B1284,'inumos depara'!$A:$B,2,0)</f>
        <v>16298973</v>
      </c>
      <c r="F1284" s="1" t="str">
        <f t="shared" si="40"/>
        <v>0.001</v>
      </c>
      <c r="G1284" t="str">
        <f t="shared" si="41"/>
        <v>P0001388,16298973,0.001</v>
      </c>
    </row>
    <row r="1285" spans="1:7" x14ac:dyDescent="0.25">
      <c r="A1285" s="1" t="s">
        <v>530</v>
      </c>
      <c r="B1285" s="1" t="s">
        <v>1246</v>
      </c>
      <c r="C1285" s="1" t="s">
        <v>7</v>
      </c>
      <c r="D1285" t="str">
        <f>IFERROR(VLOOKUP(A1285,depara!A:B,2,0),A1285)</f>
        <v>P0001388</v>
      </c>
      <c r="E1285">
        <f>VLOOKUP(B1285,'inumos depara'!$A:$B,2,0)</f>
        <v>16298648</v>
      </c>
      <c r="F1285" s="1" t="str">
        <f t="shared" si="40"/>
        <v>0.025</v>
      </c>
      <c r="G1285" t="str">
        <f t="shared" si="41"/>
        <v>P0001388,16298648,0.025</v>
      </c>
    </row>
    <row r="1286" spans="1:7" x14ac:dyDescent="0.25">
      <c r="A1286" s="1" t="s">
        <v>530</v>
      </c>
      <c r="B1286" s="1" t="s">
        <v>1545</v>
      </c>
      <c r="C1286" s="1" t="s">
        <v>82</v>
      </c>
      <c r="D1286" t="str">
        <f>IFERROR(VLOOKUP(A1286,depara!A:B,2,0),A1286)</f>
        <v>P0001388</v>
      </c>
      <c r="E1286">
        <f>VLOOKUP(B1286,'inumos depara'!$A:$B,2,0)</f>
        <v>16298908</v>
      </c>
      <c r="F1286" s="1" t="str">
        <f t="shared" si="40"/>
        <v>0.0005</v>
      </c>
      <c r="G1286" t="str">
        <f t="shared" si="41"/>
        <v>P0001388,16298908,0.0005</v>
      </c>
    </row>
    <row r="1287" spans="1:7" x14ac:dyDescent="0.25">
      <c r="A1287" s="1" t="s">
        <v>530</v>
      </c>
      <c r="B1287" s="1" t="s">
        <v>511</v>
      </c>
      <c r="C1287" s="1" t="s">
        <v>10</v>
      </c>
      <c r="D1287" t="str">
        <f>IFERROR(VLOOKUP(A1287,depara!A:B,2,0),A1287)</f>
        <v>P0001388</v>
      </c>
      <c r="E1287">
        <f>VLOOKUP(B1287,'inumos depara'!$A:$B,2,0)</f>
        <v>16298974</v>
      </c>
      <c r="F1287" s="1" t="str">
        <f t="shared" si="40"/>
        <v>0.001</v>
      </c>
      <c r="G1287" t="str">
        <f t="shared" si="41"/>
        <v>P0001388,16298974,0.001</v>
      </c>
    </row>
    <row r="1288" spans="1:7" x14ac:dyDescent="0.25">
      <c r="A1288" s="1" t="s">
        <v>530</v>
      </c>
      <c r="B1288" s="1" t="s">
        <v>512</v>
      </c>
      <c r="C1288" s="1" t="s">
        <v>6</v>
      </c>
      <c r="D1288" t="str">
        <f>IFERROR(VLOOKUP(A1288,depara!A:B,2,0),A1288)</f>
        <v>P0001388</v>
      </c>
      <c r="E1288">
        <f>VLOOKUP(B1288,'inumos depara'!$A:$B,2,0)</f>
        <v>16298975</v>
      </c>
      <c r="F1288" s="1" t="str">
        <f t="shared" si="40"/>
        <v>0.01</v>
      </c>
      <c r="G1288" t="str">
        <f t="shared" si="41"/>
        <v>P0001388,16298975,0.01</v>
      </c>
    </row>
    <row r="1289" spans="1:7" x14ac:dyDescent="0.25">
      <c r="A1289" s="1" t="s">
        <v>530</v>
      </c>
      <c r="B1289" s="1" t="s">
        <v>1247</v>
      </c>
      <c r="C1289" s="1" t="s">
        <v>64</v>
      </c>
      <c r="D1289" t="str">
        <f>IFERROR(VLOOKUP(A1289,depara!A:B,2,0),A1289)</f>
        <v>P0001388</v>
      </c>
      <c r="E1289">
        <f>VLOOKUP(B1289,'inumos depara'!$A:$B,2,0)</f>
        <v>16298649</v>
      </c>
      <c r="F1289" s="1" t="str">
        <f t="shared" si="40"/>
        <v>0.02</v>
      </c>
      <c r="G1289" t="str">
        <f t="shared" si="41"/>
        <v>P0001388,16298649,0.02</v>
      </c>
    </row>
    <row r="1290" spans="1:7" x14ac:dyDescent="0.25">
      <c r="A1290" s="1" t="s">
        <v>530</v>
      </c>
      <c r="B1290" s="1" t="s">
        <v>1244</v>
      </c>
      <c r="C1290" s="1" t="s">
        <v>12</v>
      </c>
      <c r="D1290" t="str">
        <f>IFERROR(VLOOKUP(A1290,depara!A:B,2,0),A1290)</f>
        <v>P0001388</v>
      </c>
      <c r="E1290">
        <f>VLOOKUP(B1290,'inumos depara'!$A:$B,2,0)</f>
        <v>16298646</v>
      </c>
      <c r="F1290" s="1" t="str">
        <f t="shared" si="40"/>
        <v>0.0015</v>
      </c>
      <c r="G1290" t="str">
        <f t="shared" si="41"/>
        <v>P0001388,16298646,0.0015</v>
      </c>
    </row>
    <row r="1291" spans="1:7" x14ac:dyDescent="0.25">
      <c r="A1291" s="1" t="s">
        <v>530</v>
      </c>
      <c r="B1291" s="1" t="s">
        <v>513</v>
      </c>
      <c r="C1291" s="1" t="s">
        <v>4</v>
      </c>
      <c r="D1291" t="str">
        <f>IFERROR(VLOOKUP(A1291,depara!A:B,2,0),A1291)</f>
        <v>P0001388</v>
      </c>
      <c r="E1291">
        <f>VLOOKUP(B1291,'inumos depara'!$A:$B,2,0)</f>
        <v>16298976</v>
      </c>
      <c r="F1291" s="1" t="str">
        <f t="shared" si="40"/>
        <v>0.005</v>
      </c>
      <c r="G1291" t="str">
        <f t="shared" si="41"/>
        <v>P0001388,16298976,0.005</v>
      </c>
    </row>
    <row r="1292" spans="1:7" x14ac:dyDescent="0.25">
      <c r="A1292" s="1" t="s">
        <v>530</v>
      </c>
      <c r="B1292" s="1" t="s">
        <v>514</v>
      </c>
      <c r="C1292" s="1" t="s">
        <v>6</v>
      </c>
      <c r="D1292" t="str">
        <f>IFERROR(VLOOKUP(A1292,depara!A:B,2,0),A1292)</f>
        <v>P0001388</v>
      </c>
      <c r="E1292">
        <f>VLOOKUP(B1292,'inumos depara'!$A:$B,2,0)</f>
        <v>16298977</v>
      </c>
      <c r="F1292" s="1" t="str">
        <f t="shared" si="40"/>
        <v>0.01</v>
      </c>
      <c r="G1292" t="str">
        <f t="shared" si="41"/>
        <v>P0001388,16298977,0.01</v>
      </c>
    </row>
    <row r="1293" spans="1:7" x14ac:dyDescent="0.25">
      <c r="A1293" s="1" t="s">
        <v>530</v>
      </c>
      <c r="B1293" s="1" t="s">
        <v>1253</v>
      </c>
      <c r="C1293" s="1" t="s">
        <v>8</v>
      </c>
      <c r="D1293" t="str">
        <f>IFERROR(VLOOKUP(A1293,depara!A:B,2,0),A1293)</f>
        <v>P0001388</v>
      </c>
      <c r="E1293">
        <f>VLOOKUP(B1293,'inumos depara'!$A:$B,2,0)</f>
        <v>16298657</v>
      </c>
      <c r="F1293" s="1" t="str">
        <f t="shared" si="40"/>
        <v>0.06</v>
      </c>
      <c r="G1293" t="str">
        <f t="shared" si="41"/>
        <v>P0001388,16298657,0.06</v>
      </c>
    </row>
    <row r="1294" spans="1:7" x14ac:dyDescent="0.25">
      <c r="A1294" s="1" t="s">
        <v>530</v>
      </c>
      <c r="B1294" s="1" t="s">
        <v>1176</v>
      </c>
      <c r="C1294" s="1" t="s">
        <v>82</v>
      </c>
      <c r="D1294" t="str">
        <f>IFERROR(VLOOKUP(A1294,depara!A:B,2,0),A1294)</f>
        <v>P0001388</v>
      </c>
      <c r="E1294">
        <f>VLOOKUP(B1294,'inumos depara'!$A:$B,2,0)</f>
        <v>16298585</v>
      </c>
      <c r="F1294" s="1" t="str">
        <f t="shared" si="40"/>
        <v>0.0005</v>
      </c>
      <c r="G1294" t="str">
        <f t="shared" si="41"/>
        <v>P0001388,16298585,0.0005</v>
      </c>
    </row>
    <row r="1295" spans="1:7" x14ac:dyDescent="0.25">
      <c r="A1295" s="1" t="s">
        <v>530</v>
      </c>
      <c r="B1295" s="1" t="s">
        <v>515</v>
      </c>
      <c r="C1295" s="1" t="s">
        <v>76</v>
      </c>
      <c r="D1295" t="str">
        <f>IFERROR(VLOOKUP(A1295,depara!A:B,2,0),A1295)</f>
        <v>P0001388</v>
      </c>
      <c r="E1295">
        <f>VLOOKUP(B1295,'inumos depara'!$A:$B,2,0)</f>
        <v>16298978</v>
      </c>
      <c r="F1295" s="1" t="str">
        <f t="shared" si="40"/>
        <v>0.03</v>
      </c>
      <c r="G1295" t="str">
        <f t="shared" si="41"/>
        <v>P0001388,16298978,0.03</v>
      </c>
    </row>
    <row r="1296" spans="1:7" x14ac:dyDescent="0.25">
      <c r="A1296" s="1" t="s">
        <v>530</v>
      </c>
      <c r="B1296" s="1" t="s">
        <v>516</v>
      </c>
      <c r="C1296" s="1" t="s">
        <v>68</v>
      </c>
      <c r="D1296" t="str">
        <f>IFERROR(VLOOKUP(A1296,depara!A:B,2,0),A1296)</f>
        <v>P0001388</v>
      </c>
      <c r="E1296">
        <f>VLOOKUP(B1296,'inumos depara'!$A:$B,2,0)</f>
        <v>16298979</v>
      </c>
      <c r="F1296" s="1" t="str">
        <f t="shared" si="40"/>
        <v>0.004</v>
      </c>
      <c r="G1296" t="str">
        <f t="shared" si="41"/>
        <v>P0001388,16298979,0.004</v>
      </c>
    </row>
    <row r="1297" spans="1:7" x14ac:dyDescent="0.25">
      <c r="A1297" s="1" t="s">
        <v>530</v>
      </c>
      <c r="B1297" s="1" t="s">
        <v>1146</v>
      </c>
      <c r="C1297" s="1" t="s">
        <v>82</v>
      </c>
      <c r="D1297" t="str">
        <f>IFERROR(VLOOKUP(A1297,depara!A:B,2,0),A1297)</f>
        <v>P0001388</v>
      </c>
      <c r="E1297">
        <f>VLOOKUP(B1297,'inumos depara'!$A:$B,2,0)</f>
        <v>16298558</v>
      </c>
      <c r="F1297" s="1" t="str">
        <f t="shared" si="40"/>
        <v>0.0005</v>
      </c>
      <c r="G1297" t="str">
        <f t="shared" si="41"/>
        <v>P0001388,16298558,0.0005</v>
      </c>
    </row>
    <row r="1298" spans="1:7" x14ac:dyDescent="0.25">
      <c r="A1298" s="1" t="s">
        <v>530</v>
      </c>
      <c r="B1298" s="1" t="s">
        <v>517</v>
      </c>
      <c r="C1298" s="1" t="s">
        <v>518</v>
      </c>
      <c r="D1298" t="str">
        <f>IFERROR(VLOOKUP(A1298,depara!A:B,2,0),A1298)</f>
        <v>P0001388</v>
      </c>
      <c r="E1298">
        <f>VLOOKUP(B1298,'inumos depara'!$A:$B,2,0)</f>
        <v>16298980</v>
      </c>
      <c r="F1298" s="1" t="str">
        <f t="shared" si="40"/>
        <v>0.016</v>
      </c>
      <c r="G1298" t="str">
        <f t="shared" si="41"/>
        <v>P0001388,16298980,0.016</v>
      </c>
    </row>
    <row r="1299" spans="1:7" x14ac:dyDescent="0.25">
      <c r="A1299" s="1" t="s">
        <v>530</v>
      </c>
      <c r="B1299" s="1" t="s">
        <v>1261</v>
      </c>
      <c r="C1299" s="1" t="s">
        <v>68</v>
      </c>
      <c r="D1299" t="str">
        <f>IFERROR(VLOOKUP(A1299,depara!A:B,2,0),A1299)</f>
        <v>P0001388</v>
      </c>
      <c r="E1299">
        <f>VLOOKUP(B1299,'inumos depara'!$A:$B,2,0)</f>
        <v>16298663</v>
      </c>
      <c r="F1299" s="1" t="str">
        <f t="shared" si="40"/>
        <v>0.004</v>
      </c>
      <c r="G1299" t="str">
        <f t="shared" si="41"/>
        <v>P0001388,16298663,0.004</v>
      </c>
    </row>
    <row r="1300" spans="1:7" x14ac:dyDescent="0.25">
      <c r="A1300" s="1" t="s">
        <v>530</v>
      </c>
      <c r="B1300" s="1" t="s">
        <v>519</v>
      </c>
      <c r="C1300" s="1" t="s">
        <v>12</v>
      </c>
      <c r="D1300" t="str">
        <f>IFERROR(VLOOKUP(A1300,depara!A:B,2,0),A1300)</f>
        <v>P0001388</v>
      </c>
      <c r="E1300">
        <f>VLOOKUP(B1300,'inumos depara'!$A:$B,2,0)</f>
        <v>16298981</v>
      </c>
      <c r="F1300" s="1" t="str">
        <f t="shared" si="40"/>
        <v>0.0015</v>
      </c>
      <c r="G1300" t="str">
        <f t="shared" si="41"/>
        <v>P0001388,16298981,0.0015</v>
      </c>
    </row>
    <row r="1301" spans="1:7" x14ac:dyDescent="0.25">
      <c r="A1301" s="1" t="s">
        <v>530</v>
      </c>
      <c r="B1301" s="1" t="s">
        <v>1151</v>
      </c>
      <c r="C1301" s="1" t="s">
        <v>4</v>
      </c>
      <c r="D1301" t="str">
        <f>IFERROR(VLOOKUP(A1301,depara!A:B,2,0),A1301)</f>
        <v>P0001388</v>
      </c>
      <c r="E1301">
        <f>VLOOKUP(B1301,'inumos depara'!$A:$B,2,0)</f>
        <v>16298562</v>
      </c>
      <c r="F1301" s="1" t="str">
        <f t="shared" si="40"/>
        <v>0.005</v>
      </c>
      <c r="G1301" t="str">
        <f t="shared" si="41"/>
        <v>P0001388,16298562,0.005</v>
      </c>
    </row>
    <row r="1302" spans="1:7" x14ac:dyDescent="0.25">
      <c r="A1302" s="1" t="s">
        <v>530</v>
      </c>
      <c r="B1302" s="1" t="s">
        <v>520</v>
      </c>
      <c r="C1302" s="1" t="s">
        <v>68</v>
      </c>
      <c r="D1302" t="str">
        <f>IFERROR(VLOOKUP(A1302,depara!A:B,2,0),A1302)</f>
        <v>P0001388</v>
      </c>
      <c r="E1302">
        <f>VLOOKUP(B1302,'inumos depara'!$A:$B,2,0)</f>
        <v>16298982</v>
      </c>
      <c r="F1302" s="1" t="str">
        <f t="shared" si="40"/>
        <v>0.004</v>
      </c>
      <c r="G1302" t="str">
        <f t="shared" si="41"/>
        <v>P0001388,16298982,0.004</v>
      </c>
    </row>
    <row r="1303" spans="1:7" x14ac:dyDescent="0.25">
      <c r="A1303" s="1" t="s">
        <v>530</v>
      </c>
      <c r="B1303" s="1" t="s">
        <v>521</v>
      </c>
      <c r="C1303" s="1" t="s">
        <v>4</v>
      </c>
      <c r="D1303" t="str">
        <f>IFERROR(VLOOKUP(A1303,depara!A:B,2,0),A1303)</f>
        <v>P0001388</v>
      </c>
      <c r="E1303">
        <f>VLOOKUP(B1303,'inumos depara'!$A:$B,2,0)</f>
        <v>16298983</v>
      </c>
      <c r="F1303" s="1" t="str">
        <f t="shared" si="40"/>
        <v>0.005</v>
      </c>
      <c r="G1303" t="str">
        <f t="shared" si="41"/>
        <v>P0001388,16298983,0.005</v>
      </c>
    </row>
    <row r="1304" spans="1:7" x14ac:dyDescent="0.25">
      <c r="A1304" s="1" t="s">
        <v>530</v>
      </c>
      <c r="B1304" s="1" t="s">
        <v>522</v>
      </c>
      <c r="C1304" s="1" t="s">
        <v>7</v>
      </c>
      <c r="D1304" t="str">
        <f>IFERROR(VLOOKUP(A1304,depara!A:B,2,0),A1304)</f>
        <v>P0001388</v>
      </c>
      <c r="E1304">
        <f>VLOOKUP(B1304,'inumos depara'!$A:$B,2,0)</f>
        <v>16298984</v>
      </c>
      <c r="F1304" s="1" t="str">
        <f t="shared" si="40"/>
        <v>0.025</v>
      </c>
      <c r="G1304" t="str">
        <f t="shared" si="41"/>
        <v>P0001388,16298984,0.025</v>
      </c>
    </row>
    <row r="1305" spans="1:7" x14ac:dyDescent="0.25">
      <c r="A1305" s="1" t="s">
        <v>530</v>
      </c>
      <c r="B1305" s="1" t="s">
        <v>523</v>
      </c>
      <c r="C1305" s="1" t="s">
        <v>71</v>
      </c>
      <c r="D1305" t="str">
        <f>IFERROR(VLOOKUP(A1305,depara!A:B,2,0),A1305)</f>
        <v>P0001388</v>
      </c>
      <c r="E1305">
        <f>VLOOKUP(B1305,'inumos depara'!$A:$B,2,0)</f>
        <v>16298985</v>
      </c>
      <c r="F1305" s="1" t="str">
        <f t="shared" si="40"/>
        <v>0.04</v>
      </c>
      <c r="G1305" t="str">
        <f t="shared" si="41"/>
        <v>P0001388,16298985,0.04</v>
      </c>
    </row>
    <row r="1306" spans="1:7" x14ac:dyDescent="0.25">
      <c r="A1306" s="1" t="s">
        <v>530</v>
      </c>
      <c r="B1306" s="1" t="s">
        <v>524</v>
      </c>
      <c r="C1306" s="1" t="s">
        <v>64</v>
      </c>
      <c r="D1306" t="str">
        <f>IFERROR(VLOOKUP(A1306,depara!A:B,2,0),A1306)</f>
        <v>P0001388</v>
      </c>
      <c r="E1306">
        <f>VLOOKUP(B1306,'inumos depara'!$A:$B,2,0)</f>
        <v>16298986</v>
      </c>
      <c r="F1306" s="1" t="str">
        <f t="shared" si="40"/>
        <v>0.02</v>
      </c>
      <c r="G1306" t="str">
        <f t="shared" si="41"/>
        <v>P0001388,16298986,0.02</v>
      </c>
    </row>
    <row r="1307" spans="1:7" x14ac:dyDescent="0.25">
      <c r="A1307" s="1" t="s">
        <v>530</v>
      </c>
      <c r="B1307" s="1" t="s">
        <v>525</v>
      </c>
      <c r="C1307" s="1" t="s">
        <v>5</v>
      </c>
      <c r="D1307" t="str">
        <f>IFERROR(VLOOKUP(A1307,depara!A:B,2,0),A1307)</f>
        <v>P0001388</v>
      </c>
      <c r="E1307">
        <f>VLOOKUP(B1307,'inumos depara'!$A:$B,2,0)</f>
        <v>16298987</v>
      </c>
      <c r="F1307" s="1" t="str">
        <f t="shared" si="40"/>
        <v>0.002</v>
      </c>
      <c r="G1307" t="str">
        <f t="shared" si="41"/>
        <v>P0001388,16298987,0.002</v>
      </c>
    </row>
    <row r="1308" spans="1:7" x14ac:dyDescent="0.25">
      <c r="A1308" s="1" t="s">
        <v>530</v>
      </c>
      <c r="B1308" s="1" t="s">
        <v>526</v>
      </c>
      <c r="C1308" s="1" t="s">
        <v>88</v>
      </c>
      <c r="D1308" t="str">
        <f>IFERROR(VLOOKUP(A1308,depara!A:B,2,0),A1308)</f>
        <v>P0001388</v>
      </c>
      <c r="E1308">
        <f>VLOOKUP(B1308,'inumos depara'!$A:$B,2,0)</f>
        <v>16298988</v>
      </c>
      <c r="F1308" s="1" t="str">
        <f t="shared" si="40"/>
        <v>0.015</v>
      </c>
      <c r="G1308" t="str">
        <f t="shared" si="41"/>
        <v>P0001388,16298988,0.015</v>
      </c>
    </row>
    <row r="1309" spans="1:7" x14ac:dyDescent="0.25">
      <c r="A1309" s="1" t="s">
        <v>530</v>
      </c>
      <c r="B1309" s="1" t="s">
        <v>1255</v>
      </c>
      <c r="C1309" s="1" t="s">
        <v>527</v>
      </c>
      <c r="D1309" t="str">
        <f>IFERROR(VLOOKUP(A1309,depara!A:B,2,0),A1309)</f>
        <v>P0001388</v>
      </c>
      <c r="E1309">
        <f>VLOOKUP(B1309,'inumos depara'!$A:$B,2,0)</f>
        <v>16298660</v>
      </c>
      <c r="F1309" s="1" t="str">
        <f t="shared" si="40"/>
        <v>0.054</v>
      </c>
      <c r="G1309" t="str">
        <f t="shared" si="41"/>
        <v>P0001388,16298660,0.054</v>
      </c>
    </row>
    <row r="1310" spans="1:7" x14ac:dyDescent="0.25">
      <c r="A1310" s="1" t="s">
        <v>530</v>
      </c>
      <c r="B1310" s="1" t="s">
        <v>1242</v>
      </c>
      <c r="C1310" s="1" t="s">
        <v>76</v>
      </c>
      <c r="D1310" t="str">
        <f>IFERROR(VLOOKUP(A1310,depara!A:B,2,0),A1310)</f>
        <v>P0001388</v>
      </c>
      <c r="E1310">
        <f>VLOOKUP(B1310,'inumos depara'!$A:$B,2,0)</f>
        <v>16298643</v>
      </c>
      <c r="F1310" s="1" t="str">
        <f t="shared" si="40"/>
        <v>0.03</v>
      </c>
      <c r="G1310" t="str">
        <f t="shared" si="41"/>
        <v>P0001388,16298643,0.03</v>
      </c>
    </row>
    <row r="1311" spans="1:7" x14ac:dyDescent="0.25">
      <c r="A1311" s="1" t="s">
        <v>530</v>
      </c>
      <c r="B1311" s="1" t="s">
        <v>1538</v>
      </c>
      <c r="C1311" s="1" t="s">
        <v>528</v>
      </c>
      <c r="D1311" t="str">
        <f>IFERROR(VLOOKUP(A1311,depara!A:B,2,0),A1311)</f>
        <v>P0001388</v>
      </c>
      <c r="E1311">
        <f>VLOOKUP(B1311,'inumos depara'!$A:$B,2,0)</f>
        <v>16298901</v>
      </c>
      <c r="F1311" s="1" t="str">
        <f t="shared" si="40"/>
        <v>0.038</v>
      </c>
      <c r="G1311" t="str">
        <f t="shared" si="41"/>
        <v>P0001388,16298901,0.038</v>
      </c>
    </row>
    <row r="1312" spans="1:7" x14ac:dyDescent="0.25">
      <c r="A1312" s="1" t="s">
        <v>530</v>
      </c>
      <c r="B1312" s="1" t="s">
        <v>1557</v>
      </c>
      <c r="C1312" s="1" t="s">
        <v>3</v>
      </c>
      <c r="D1312" t="str">
        <f>IFERROR(VLOOKUP(A1312,depara!A:B,2,0),A1312)</f>
        <v>P0001388</v>
      </c>
      <c r="E1312">
        <f>VLOOKUP(B1312,'inumos depara'!$A:$B,2,0)</f>
        <v>16298920</v>
      </c>
      <c r="F1312" s="1" t="str">
        <f t="shared" si="40"/>
        <v>0.055</v>
      </c>
      <c r="G1312" t="str">
        <f t="shared" si="41"/>
        <v>P0001388,16298920,0.055</v>
      </c>
    </row>
    <row r="1313" spans="1:7" x14ac:dyDescent="0.25">
      <c r="A1313" s="1" t="s">
        <v>530</v>
      </c>
      <c r="B1313" s="1" t="s">
        <v>1156</v>
      </c>
      <c r="C1313" s="1" t="s">
        <v>10</v>
      </c>
      <c r="D1313" t="str">
        <f>IFERROR(VLOOKUP(A1313,depara!A:B,2,0),A1313)</f>
        <v>P0001388</v>
      </c>
      <c r="E1313">
        <f>VLOOKUP(B1313,'inumos depara'!$A:$B,2,0)</f>
        <v>16298567</v>
      </c>
      <c r="F1313" s="1" t="str">
        <f t="shared" si="40"/>
        <v>0.001</v>
      </c>
      <c r="G1313" t="str">
        <f t="shared" si="41"/>
        <v>P0001388,16298567,0.001</v>
      </c>
    </row>
    <row r="1314" spans="1:7" x14ac:dyDescent="0.25">
      <c r="A1314" s="1" t="s">
        <v>531</v>
      </c>
      <c r="B1314" s="1" t="s">
        <v>1261</v>
      </c>
      <c r="C1314" s="1" t="s">
        <v>6</v>
      </c>
      <c r="D1314" t="str">
        <f>IFERROR(VLOOKUP(A1314,depara!A:B,2,0),A1314)</f>
        <v>P0001390</v>
      </c>
      <c r="E1314">
        <f>VLOOKUP(B1314,'inumos depara'!$A:$B,2,0)</f>
        <v>16298663</v>
      </c>
      <c r="F1314" s="1" t="str">
        <f t="shared" si="40"/>
        <v>0.01</v>
      </c>
      <c r="G1314" t="str">
        <f t="shared" si="41"/>
        <v>P0001390,16298663,0.01</v>
      </c>
    </row>
    <row r="1315" spans="1:7" x14ac:dyDescent="0.25">
      <c r="A1315" s="1" t="s">
        <v>531</v>
      </c>
      <c r="B1315" s="1" t="s">
        <v>453</v>
      </c>
      <c r="C1315" s="1" t="s">
        <v>6</v>
      </c>
      <c r="D1315" t="str">
        <f>IFERROR(VLOOKUP(A1315,depara!A:B,2,0),A1315)</f>
        <v>P0001390</v>
      </c>
      <c r="E1315">
        <f>VLOOKUP(B1315,'inumos depara'!$A:$B,2,0)</f>
        <v>16298938</v>
      </c>
      <c r="F1315" s="1" t="str">
        <f t="shared" si="40"/>
        <v>0.01</v>
      </c>
      <c r="G1315" t="str">
        <f t="shared" si="41"/>
        <v>P0001390,16298938,0.01</v>
      </c>
    </row>
    <row r="1316" spans="1:7" x14ac:dyDescent="0.25">
      <c r="A1316" s="1" t="s">
        <v>531</v>
      </c>
      <c r="B1316" s="1" t="s">
        <v>532</v>
      </c>
      <c r="C1316" s="1" t="s">
        <v>76</v>
      </c>
      <c r="D1316" t="str">
        <f>IFERROR(VLOOKUP(A1316,depara!A:B,2,0),A1316)</f>
        <v>P0001390</v>
      </c>
      <c r="E1316">
        <f>VLOOKUP(B1316,'inumos depara'!$A:$B,2,0)</f>
        <v>16298989</v>
      </c>
      <c r="F1316" s="1" t="str">
        <f t="shared" si="40"/>
        <v>0.03</v>
      </c>
      <c r="G1316" t="str">
        <f t="shared" si="41"/>
        <v>P0001390,16298989,0.03</v>
      </c>
    </row>
    <row r="1317" spans="1:7" x14ac:dyDescent="0.25">
      <c r="A1317" s="1" t="s">
        <v>531</v>
      </c>
      <c r="B1317" s="1" t="s">
        <v>1171</v>
      </c>
      <c r="C1317" s="1" t="s">
        <v>4</v>
      </c>
      <c r="D1317" t="str">
        <f>IFERROR(VLOOKUP(A1317,depara!A:B,2,0),A1317)</f>
        <v>P0001390</v>
      </c>
      <c r="E1317">
        <f>VLOOKUP(B1317,'inumos depara'!$A:$B,2,0)</f>
        <v>16298580</v>
      </c>
      <c r="F1317" s="1" t="str">
        <f t="shared" si="40"/>
        <v>0.005</v>
      </c>
      <c r="G1317" t="str">
        <f t="shared" si="41"/>
        <v>P0001390,16298580,0.005</v>
      </c>
    </row>
    <row r="1318" spans="1:7" x14ac:dyDescent="0.25">
      <c r="A1318" s="1" t="s">
        <v>531</v>
      </c>
      <c r="B1318" s="1" t="s">
        <v>533</v>
      </c>
      <c r="C1318" s="1" t="s">
        <v>6</v>
      </c>
      <c r="D1318" t="str">
        <f>IFERROR(VLOOKUP(A1318,depara!A:B,2,0),A1318)</f>
        <v>P0001390</v>
      </c>
      <c r="E1318">
        <f>VLOOKUP(B1318,'inumos depara'!$A:$B,2,0)</f>
        <v>16298990</v>
      </c>
      <c r="F1318" s="1" t="str">
        <f t="shared" si="40"/>
        <v>0.01</v>
      </c>
      <c r="G1318" t="str">
        <f t="shared" si="41"/>
        <v>P0001390,16298990,0.01</v>
      </c>
    </row>
    <row r="1319" spans="1:7" x14ac:dyDescent="0.25">
      <c r="A1319" s="1" t="s">
        <v>531</v>
      </c>
      <c r="B1319" s="1" t="s">
        <v>534</v>
      </c>
      <c r="C1319" s="1" t="s">
        <v>535</v>
      </c>
      <c r="D1319" t="str">
        <f>IFERROR(VLOOKUP(A1319,depara!A:B,2,0),A1319)</f>
        <v>P0001390</v>
      </c>
      <c r="E1319">
        <f>VLOOKUP(B1319,'inumos depara'!$A:$B,2,0)</f>
        <v>16298991</v>
      </c>
      <c r="F1319" s="1" t="str">
        <f t="shared" si="40"/>
        <v>0.014</v>
      </c>
      <c r="G1319" t="str">
        <f t="shared" si="41"/>
        <v>P0001390,16298991,0.014</v>
      </c>
    </row>
    <row r="1320" spans="1:7" x14ac:dyDescent="0.25">
      <c r="A1320" s="1" t="s">
        <v>531</v>
      </c>
      <c r="B1320" s="1" t="s">
        <v>1170</v>
      </c>
      <c r="C1320" s="1" t="s">
        <v>82</v>
      </c>
      <c r="D1320" t="str">
        <f>IFERROR(VLOOKUP(A1320,depara!A:B,2,0),A1320)</f>
        <v>P0001390</v>
      </c>
      <c r="E1320">
        <f>VLOOKUP(B1320,'inumos depara'!$A:$B,2,0)</f>
        <v>16298579</v>
      </c>
      <c r="F1320" s="1" t="str">
        <f t="shared" si="40"/>
        <v>0.0005</v>
      </c>
      <c r="G1320" t="str">
        <f t="shared" si="41"/>
        <v>P0001390,16298579,0.0005</v>
      </c>
    </row>
    <row r="1321" spans="1:7" x14ac:dyDescent="0.25">
      <c r="A1321" s="1" t="s">
        <v>531</v>
      </c>
      <c r="B1321" s="1" t="s">
        <v>1185</v>
      </c>
      <c r="C1321" s="1" t="s">
        <v>5</v>
      </c>
      <c r="D1321" t="str">
        <f>IFERROR(VLOOKUP(A1321,depara!A:B,2,0),A1321)</f>
        <v>P0001390</v>
      </c>
      <c r="E1321">
        <f>VLOOKUP(B1321,'inumos depara'!$A:$B,2,0)</f>
        <v>16298591</v>
      </c>
      <c r="F1321" s="1" t="str">
        <f t="shared" si="40"/>
        <v>0.002</v>
      </c>
      <c r="G1321" t="str">
        <f t="shared" si="41"/>
        <v>P0001390,16298591,0.002</v>
      </c>
    </row>
    <row r="1322" spans="1:7" x14ac:dyDescent="0.25">
      <c r="A1322" s="1" t="s">
        <v>531</v>
      </c>
      <c r="B1322" s="1" t="s">
        <v>1240</v>
      </c>
      <c r="C1322" s="1" t="s">
        <v>536</v>
      </c>
      <c r="D1322" t="str">
        <f>IFERROR(VLOOKUP(A1322,depara!A:B,2,0),A1322)</f>
        <v>P0001390</v>
      </c>
      <c r="E1322">
        <f>VLOOKUP(B1322,'inumos depara'!$A:$B,2,0)</f>
        <v>16298642</v>
      </c>
      <c r="F1322" s="1" t="str">
        <f t="shared" si="40"/>
        <v>0.0004</v>
      </c>
      <c r="G1322" t="str">
        <f t="shared" si="41"/>
        <v>P0001390,16298642,0.0004</v>
      </c>
    </row>
    <row r="1323" spans="1:7" x14ac:dyDescent="0.25">
      <c r="A1323" s="1" t="s">
        <v>531</v>
      </c>
      <c r="B1323" s="1" t="s">
        <v>1189</v>
      </c>
      <c r="C1323" s="1" t="s">
        <v>6</v>
      </c>
      <c r="D1323" t="str">
        <f>IFERROR(VLOOKUP(A1323,depara!A:B,2,0),A1323)</f>
        <v>P0001390</v>
      </c>
      <c r="E1323">
        <f>VLOOKUP(B1323,'inumos depara'!$A:$B,2,0)</f>
        <v>16298595</v>
      </c>
      <c r="F1323" s="1" t="str">
        <f t="shared" si="40"/>
        <v>0.01</v>
      </c>
      <c r="G1323" t="str">
        <f t="shared" si="41"/>
        <v>P0001390,16298595,0.01</v>
      </c>
    </row>
    <row r="1324" spans="1:7" x14ac:dyDescent="0.25">
      <c r="A1324" s="1" t="s">
        <v>537</v>
      </c>
      <c r="B1324" s="1" t="s">
        <v>420</v>
      </c>
      <c r="C1324" s="1" t="s">
        <v>538</v>
      </c>
      <c r="D1324">
        <f>IFERROR(VLOOKUP(A1324,depara!A:B,2,0),A1324)</f>
        <v>16598570</v>
      </c>
      <c r="E1324">
        <f>VLOOKUP(B1324,'inumos depara'!$A:$B,2,0)</f>
        <v>16298992</v>
      </c>
      <c r="F1324" s="1" t="str">
        <f t="shared" si="40"/>
        <v>0.00381465615113304</v>
      </c>
      <c r="G1324" t="str">
        <f t="shared" si="41"/>
        <v>16598570,16298992,0.00381465615113304</v>
      </c>
    </row>
    <row r="1325" spans="1:7" x14ac:dyDescent="0.25">
      <c r="A1325" s="1" t="s">
        <v>537</v>
      </c>
      <c r="B1325" s="1" t="s">
        <v>539</v>
      </c>
      <c r="C1325" s="1" t="s">
        <v>540</v>
      </c>
      <c r="D1325">
        <f>IFERROR(VLOOKUP(A1325,depara!A:B,2,0),A1325)</f>
        <v>16598570</v>
      </c>
      <c r="E1325">
        <f>VLOOKUP(B1325,'inumos depara'!$A:$B,2,0)</f>
        <v>16298993</v>
      </c>
      <c r="F1325" s="1" t="str">
        <f t="shared" si="40"/>
        <v>0.00135859281573092</v>
      </c>
      <c r="G1325" t="str">
        <f t="shared" si="41"/>
        <v>16598570,16298993,0.00135859281573092</v>
      </c>
    </row>
    <row r="1326" spans="1:7" x14ac:dyDescent="0.25">
      <c r="A1326" s="1" t="s">
        <v>537</v>
      </c>
      <c r="B1326" s="1" t="s">
        <v>1443</v>
      </c>
      <c r="C1326" s="1" t="s">
        <v>541</v>
      </c>
      <c r="D1326">
        <f>IFERROR(VLOOKUP(A1326,depara!A:B,2,0),A1326)</f>
        <v>16598570</v>
      </c>
      <c r="E1326">
        <f>VLOOKUP(B1326,'inumos depara'!$A:$B,2,0)</f>
        <v>16298809</v>
      </c>
      <c r="F1326" s="1" t="str">
        <f t="shared" si="40"/>
        <v>0.00999833487231498</v>
      </c>
      <c r="G1326" t="str">
        <f t="shared" si="41"/>
        <v>16598570,16298809,0.00999833487231498</v>
      </c>
    </row>
    <row r="1327" spans="1:7" x14ac:dyDescent="0.25">
      <c r="A1327" s="1" t="s">
        <v>542</v>
      </c>
      <c r="B1327" s="1" t="s">
        <v>543</v>
      </c>
      <c r="C1327" s="1" t="s">
        <v>1586</v>
      </c>
      <c r="D1327">
        <f>IFERROR(VLOOKUP(A1327,depara!A:B,2,0),A1327)</f>
        <v>16598571</v>
      </c>
      <c r="E1327">
        <f>VLOOKUP(B1327,'inumos depara'!$A:$B,2,0)</f>
        <v>16298994</v>
      </c>
      <c r="F1327" s="1" t="str">
        <f t="shared" si="40"/>
        <v>1.04999169573161</v>
      </c>
      <c r="G1327" t="str">
        <f t="shared" si="41"/>
        <v>16598571,16298994,1.04999169573161</v>
      </c>
    </row>
    <row r="1328" spans="1:7" x14ac:dyDescent="0.25">
      <c r="A1328" s="1" t="s">
        <v>542</v>
      </c>
      <c r="B1328" s="1" t="s">
        <v>544</v>
      </c>
      <c r="C1328" s="1" t="s">
        <v>1587</v>
      </c>
      <c r="D1328">
        <f>IFERROR(VLOOKUP(A1328,depara!A:B,2,0),A1328)</f>
        <v>16598571</v>
      </c>
      <c r="E1328">
        <f>VLOOKUP(B1328,'inumos depara'!$A:$B,2,0)</f>
        <v>16298995</v>
      </c>
      <c r="F1328" s="1" t="str">
        <f t="shared" si="40"/>
        <v>1.00498256103637</v>
      </c>
      <c r="G1328" t="str">
        <f t="shared" si="41"/>
        <v>16598571,16298995,1.00498256103637</v>
      </c>
    </row>
    <row r="1329" spans="1:7" x14ac:dyDescent="0.25">
      <c r="A1329" s="1" t="s">
        <v>542</v>
      </c>
      <c r="B1329" s="1" t="s">
        <v>1436</v>
      </c>
      <c r="C1329" s="1" t="s">
        <v>1150</v>
      </c>
      <c r="D1329">
        <f>IFERROR(VLOOKUP(A1329,depara!A:B,2,0),A1329)</f>
        <v>16598571</v>
      </c>
      <c r="E1329">
        <f>VLOOKUP(B1329,'inumos depara'!$A:$B,2,0)</f>
        <v>16298804</v>
      </c>
      <c r="F1329" s="1" t="str">
        <f t="shared" si="40"/>
        <v>1</v>
      </c>
      <c r="G1329" t="str">
        <f t="shared" si="41"/>
        <v>16598571,16298804,1</v>
      </c>
    </row>
    <row r="1330" spans="1:7" x14ac:dyDescent="0.25">
      <c r="A1330" s="1" t="s">
        <v>542</v>
      </c>
      <c r="B1330" s="1" t="s">
        <v>545</v>
      </c>
      <c r="C1330" s="1" t="s">
        <v>546</v>
      </c>
      <c r="D1330">
        <f>IFERROR(VLOOKUP(A1330,depara!A:B,2,0),A1330)</f>
        <v>16598571</v>
      </c>
      <c r="E1330">
        <f>VLOOKUP(B1330,'inumos depara'!$A:$B,2,0)</f>
        <v>16298996</v>
      </c>
      <c r="F1330" s="1" t="str">
        <f t="shared" si="40"/>
        <v>0.0833194928860101</v>
      </c>
      <c r="G1330" t="str">
        <f t="shared" si="41"/>
        <v>16598571,16298996,0.0833194928860101</v>
      </c>
    </row>
    <row r="1331" spans="1:7" x14ac:dyDescent="0.25">
      <c r="A1331" s="1" t="s">
        <v>542</v>
      </c>
      <c r="B1331" s="1" t="s">
        <v>420</v>
      </c>
      <c r="C1331" s="1" t="s">
        <v>547</v>
      </c>
      <c r="D1331">
        <f>IFERROR(VLOOKUP(A1331,depara!A:B,2,0),A1331)</f>
        <v>16598571</v>
      </c>
      <c r="E1331">
        <f>VLOOKUP(B1331,'inumos depara'!$A:$B,2,0)</f>
        <v>16298992</v>
      </c>
      <c r="F1331" s="1" t="str">
        <f t="shared" si="40"/>
        <v>0.0558046836073742</v>
      </c>
      <c r="G1331" t="str">
        <f t="shared" si="41"/>
        <v>16598571,16298992,0.0558046836073742</v>
      </c>
    </row>
    <row r="1332" spans="1:7" x14ac:dyDescent="0.25">
      <c r="A1332" s="1" t="s">
        <v>548</v>
      </c>
      <c r="B1332" s="1" t="s">
        <v>425</v>
      </c>
      <c r="C1332" s="1" t="s">
        <v>549</v>
      </c>
      <c r="D1332">
        <f>IFERROR(VLOOKUP(A1332,depara!A:B,2,0),A1332)</f>
        <v>16598572</v>
      </c>
      <c r="E1332">
        <f>VLOOKUP(B1332,'inumos depara'!$A:$B,2,0)</f>
        <v>16298997</v>
      </c>
      <c r="F1332" s="1" t="str">
        <f t="shared" si="40"/>
        <v>0.00376583106063436</v>
      </c>
      <c r="G1332" t="str">
        <f t="shared" si="41"/>
        <v>16598572,16298997,0.00376583106063436</v>
      </c>
    </row>
    <row r="1333" spans="1:7" x14ac:dyDescent="0.25">
      <c r="A1333" s="1" t="s">
        <v>548</v>
      </c>
      <c r="B1333" s="1" t="s">
        <v>550</v>
      </c>
      <c r="C1333" s="1" t="s">
        <v>551</v>
      </c>
      <c r="D1333">
        <f>IFERROR(VLOOKUP(A1333,depara!A:B,2,0),A1333)</f>
        <v>16598572</v>
      </c>
      <c r="E1333">
        <f>VLOOKUP(B1333,'inumos depara'!$A:$B,2,0)</f>
        <v>16298998</v>
      </c>
      <c r="F1333" s="1" t="str">
        <f t="shared" si="40"/>
        <v>0.00135988343856241</v>
      </c>
      <c r="G1333" t="str">
        <f t="shared" si="41"/>
        <v>16598572,16298998,0.00135988343856241</v>
      </c>
    </row>
    <row r="1334" spans="1:7" x14ac:dyDescent="0.25">
      <c r="A1334" s="1" t="s">
        <v>548</v>
      </c>
      <c r="B1334" s="1" t="s">
        <v>1443</v>
      </c>
      <c r="C1334" s="1" t="s">
        <v>552</v>
      </c>
      <c r="D1334">
        <f>IFERROR(VLOOKUP(A1334,depara!A:B,2,0),A1334)</f>
        <v>16598572</v>
      </c>
      <c r="E1334">
        <f>VLOOKUP(B1334,'inumos depara'!$A:$B,2,0)</f>
        <v>16298809</v>
      </c>
      <c r="F1334" s="1" t="str">
        <f t="shared" si="40"/>
        <v>0.0100011207830538</v>
      </c>
      <c r="G1334" t="str">
        <f t="shared" si="41"/>
        <v>16598572,16298809,0.0100011207830538</v>
      </c>
    </row>
    <row r="1335" spans="1:7" x14ac:dyDescent="0.25">
      <c r="A1335" s="1" t="s">
        <v>553</v>
      </c>
      <c r="B1335" s="1" t="s">
        <v>554</v>
      </c>
      <c r="C1335" s="1" t="s">
        <v>555</v>
      </c>
      <c r="D1335">
        <f>IFERROR(VLOOKUP(A1335,depara!A:B,2,0),A1335)</f>
        <v>16598573</v>
      </c>
      <c r="E1335">
        <f>VLOOKUP(B1335,'inumos depara'!$A:$B,2,0)</f>
        <v>16298999</v>
      </c>
      <c r="F1335" s="1" t="str">
        <f t="shared" si="40"/>
        <v>0.99547289189484</v>
      </c>
      <c r="G1335" t="str">
        <f t="shared" si="41"/>
        <v>16598573,16298999,0.99547289189484</v>
      </c>
    </row>
    <row r="1336" spans="1:7" x14ac:dyDescent="0.25">
      <c r="A1336" s="1" t="s">
        <v>553</v>
      </c>
      <c r="B1336" s="1" t="s">
        <v>556</v>
      </c>
      <c r="C1336" s="1" t="s">
        <v>1588</v>
      </c>
      <c r="D1336">
        <f>IFERROR(VLOOKUP(A1336,depara!A:B,2,0),A1336)</f>
        <v>16598573</v>
      </c>
      <c r="E1336">
        <f>VLOOKUP(B1336,'inumos depara'!$A:$B,2,0)</f>
        <v>16299000</v>
      </c>
      <c r="F1336" s="1" t="str">
        <f t="shared" si="40"/>
        <v>1.00501799934548</v>
      </c>
      <c r="G1336" t="str">
        <f t="shared" si="41"/>
        <v>16598573,16299000,1.00501799934548</v>
      </c>
    </row>
    <row r="1337" spans="1:7" x14ac:dyDescent="0.25">
      <c r="A1337" s="1" t="s">
        <v>553</v>
      </c>
      <c r="B1337" s="1" t="s">
        <v>1436</v>
      </c>
      <c r="C1337" s="1" t="s">
        <v>1150</v>
      </c>
      <c r="D1337">
        <f>IFERROR(VLOOKUP(A1337,depara!A:B,2,0),A1337)</f>
        <v>16598573</v>
      </c>
      <c r="E1337">
        <f>VLOOKUP(B1337,'inumos depara'!$A:$B,2,0)</f>
        <v>16298804</v>
      </c>
      <c r="F1337" s="1" t="str">
        <f t="shared" si="40"/>
        <v>1</v>
      </c>
      <c r="G1337" t="str">
        <f t="shared" si="41"/>
        <v>16598573,16298804,1</v>
      </c>
    </row>
    <row r="1338" spans="1:7" x14ac:dyDescent="0.25">
      <c r="A1338" s="1" t="s">
        <v>553</v>
      </c>
      <c r="B1338" s="1" t="s">
        <v>545</v>
      </c>
      <c r="C1338" s="1" t="s">
        <v>557</v>
      </c>
      <c r="D1338">
        <f>IFERROR(VLOOKUP(A1338,depara!A:B,2,0),A1338)</f>
        <v>16598573</v>
      </c>
      <c r="E1338">
        <f>VLOOKUP(B1338,'inumos depara'!$A:$B,2,0)</f>
        <v>16298996</v>
      </c>
      <c r="F1338" s="1" t="str">
        <f t="shared" si="40"/>
        <v>0.0833424239118578</v>
      </c>
      <c r="G1338" t="str">
        <f t="shared" si="41"/>
        <v>16598573,16298996,0.0833424239118578</v>
      </c>
    </row>
    <row r="1339" spans="1:7" x14ac:dyDescent="0.25">
      <c r="A1339" s="1" t="s">
        <v>553</v>
      </c>
      <c r="B1339" s="1" t="s">
        <v>425</v>
      </c>
      <c r="C1339" s="1" t="s">
        <v>558</v>
      </c>
      <c r="D1339">
        <f>IFERROR(VLOOKUP(A1339,depara!A:B,2,0),A1339)</f>
        <v>16598573</v>
      </c>
      <c r="E1339">
        <f>VLOOKUP(B1339,'inumos depara'!$A:$B,2,0)</f>
        <v>16298997</v>
      </c>
      <c r="F1339" s="1" t="str">
        <f t="shared" si="40"/>
        <v>0.0549798189156758</v>
      </c>
      <c r="G1339" t="str">
        <f t="shared" si="41"/>
        <v>16598573,16298997,0.0549798189156758</v>
      </c>
    </row>
    <row r="1340" spans="1:7" x14ac:dyDescent="0.25">
      <c r="A1340" s="1" t="s">
        <v>559</v>
      </c>
      <c r="B1340" s="1" t="s">
        <v>1443</v>
      </c>
      <c r="C1340" s="1" t="s">
        <v>349</v>
      </c>
      <c r="D1340">
        <f>IFERROR(VLOOKUP(A1340,depara!A:B,2,0),A1340)</f>
        <v>16598574</v>
      </c>
      <c r="E1340">
        <f>VLOOKUP(B1340,'inumos depara'!$A:$B,2,0)</f>
        <v>16298809</v>
      </c>
      <c r="F1340" s="1" t="str">
        <f t="shared" si="40"/>
        <v>0.0100016492276117</v>
      </c>
      <c r="G1340" t="str">
        <f t="shared" si="41"/>
        <v>16598574,16298809,0.0100016492276117</v>
      </c>
    </row>
    <row r="1341" spans="1:7" x14ac:dyDescent="0.25">
      <c r="A1341" s="1" t="s">
        <v>559</v>
      </c>
      <c r="B1341" s="1" t="s">
        <v>560</v>
      </c>
      <c r="C1341" s="1" t="s">
        <v>348</v>
      </c>
      <c r="D1341">
        <f>IFERROR(VLOOKUP(A1341,depara!A:B,2,0),A1341)</f>
        <v>16598574</v>
      </c>
      <c r="E1341">
        <f>VLOOKUP(B1341,'inumos depara'!$A:$B,2,0)</f>
        <v>16299001</v>
      </c>
      <c r="F1341" s="1" t="str">
        <f t="shared" si="40"/>
        <v>0.00135969654211944</v>
      </c>
      <c r="G1341" t="str">
        <f t="shared" si="41"/>
        <v>16598574,16299001,0.00135969654211944</v>
      </c>
    </row>
    <row r="1342" spans="1:7" x14ac:dyDescent="0.25">
      <c r="A1342" s="1" t="s">
        <v>559</v>
      </c>
      <c r="B1342" s="1" t="s">
        <v>432</v>
      </c>
      <c r="C1342" s="1" t="s">
        <v>346</v>
      </c>
      <c r="D1342">
        <f>IFERROR(VLOOKUP(A1342,depara!A:B,2,0),A1342)</f>
        <v>16598574</v>
      </c>
      <c r="E1342">
        <f>VLOOKUP(B1342,'inumos depara'!$A:$B,2,0)</f>
        <v>16299002</v>
      </c>
      <c r="F1342" s="1" t="str">
        <f t="shared" si="40"/>
        <v>0.00373275182789394</v>
      </c>
      <c r="G1342" t="str">
        <f t="shared" si="41"/>
        <v>16598574,16299002,0.00373275182789394</v>
      </c>
    </row>
    <row r="1343" spans="1:7" x14ac:dyDescent="0.25">
      <c r="A1343" s="1" t="s">
        <v>561</v>
      </c>
      <c r="B1343" s="1" t="s">
        <v>206</v>
      </c>
      <c r="C1343" s="1" t="s">
        <v>353</v>
      </c>
      <c r="D1343">
        <f>IFERROR(VLOOKUP(A1343,depara!A:B,2,0),A1343)</f>
        <v>16598575</v>
      </c>
      <c r="E1343">
        <f>VLOOKUP(B1343,'inumos depara'!$A:$B,2,0)</f>
        <v>16298803</v>
      </c>
      <c r="F1343" s="1" t="str">
        <f t="shared" si="40"/>
        <v>0.0833511434067108</v>
      </c>
      <c r="G1343" t="str">
        <f t="shared" si="41"/>
        <v>16598575,16298803,0.0833511434067108</v>
      </c>
    </row>
    <row r="1344" spans="1:7" x14ac:dyDescent="0.25">
      <c r="A1344" s="1" t="s">
        <v>561</v>
      </c>
      <c r="B1344" s="1" t="s">
        <v>1436</v>
      </c>
      <c r="C1344" s="1" t="s">
        <v>1150</v>
      </c>
      <c r="D1344">
        <f>IFERROR(VLOOKUP(A1344,depara!A:B,2,0),A1344)</f>
        <v>16598575</v>
      </c>
      <c r="E1344">
        <f>VLOOKUP(B1344,'inumos depara'!$A:$B,2,0)</f>
        <v>16298804</v>
      </c>
      <c r="F1344" s="1" t="str">
        <f t="shared" si="40"/>
        <v>1</v>
      </c>
      <c r="G1344" t="str">
        <f t="shared" si="41"/>
        <v>16598575,16298804,1</v>
      </c>
    </row>
    <row r="1345" spans="1:7" x14ac:dyDescent="0.25">
      <c r="A1345" s="1" t="s">
        <v>561</v>
      </c>
      <c r="B1345" s="1" t="s">
        <v>562</v>
      </c>
      <c r="C1345" s="1" t="s">
        <v>1523</v>
      </c>
      <c r="D1345">
        <f>IFERROR(VLOOKUP(A1345,depara!A:B,2,0),A1345)</f>
        <v>16598575</v>
      </c>
      <c r="E1345">
        <f>VLOOKUP(B1345,'inumos depara'!$A:$B,2,0)</f>
        <v>16299003</v>
      </c>
      <c r="F1345" s="1" t="str">
        <f t="shared" si="40"/>
        <v>1.05001068604403</v>
      </c>
      <c r="G1345" t="str">
        <f t="shared" si="41"/>
        <v>16598575,16299003,1.05001068604403</v>
      </c>
    </row>
    <row r="1346" spans="1:7" x14ac:dyDescent="0.25">
      <c r="A1346" s="1" t="s">
        <v>561</v>
      </c>
      <c r="B1346" s="1" t="s">
        <v>563</v>
      </c>
      <c r="C1346" s="1" t="s">
        <v>1522</v>
      </c>
      <c r="D1346">
        <f>IFERROR(VLOOKUP(A1346,depara!A:B,2,0),A1346)</f>
        <v>16598575</v>
      </c>
      <c r="E1346">
        <f>VLOOKUP(B1346,'inumos depara'!$A:$B,2,0)</f>
        <v>16299004</v>
      </c>
      <c r="F1346" s="1" t="str">
        <f t="shared" ref="F1346:F1409" si="42">C1346</f>
        <v>1.00502244069246</v>
      </c>
      <c r="G1346" t="str">
        <f t="shared" ref="G1346:G1409" si="43">D1346&amp;","&amp;E1346&amp;","&amp;F1346</f>
        <v>16598575,16299004,1.00502244069246</v>
      </c>
    </row>
    <row r="1347" spans="1:7" x14ac:dyDescent="0.25">
      <c r="A1347" s="1" t="s">
        <v>561</v>
      </c>
      <c r="B1347" s="1" t="s">
        <v>432</v>
      </c>
      <c r="C1347" s="1" t="s">
        <v>351</v>
      </c>
      <c r="D1347">
        <f>IFERROR(VLOOKUP(A1347,depara!A:B,2,0),A1347)</f>
        <v>16598575</v>
      </c>
      <c r="E1347">
        <f>VLOOKUP(B1347,'inumos depara'!$A:$B,2,0)</f>
        <v>16299002</v>
      </c>
      <c r="F1347" s="1" t="str">
        <f t="shared" si="42"/>
        <v>0.0544186792049583</v>
      </c>
      <c r="G1347" t="str">
        <f t="shared" si="43"/>
        <v>16598575,16299002,0.0544186792049583</v>
      </c>
    </row>
    <row r="1348" spans="1:7" x14ac:dyDescent="0.25">
      <c r="A1348" s="1" t="s">
        <v>564</v>
      </c>
      <c r="B1348" s="1" t="s">
        <v>428</v>
      </c>
      <c r="C1348" s="1" t="s">
        <v>565</v>
      </c>
      <c r="D1348">
        <f>IFERROR(VLOOKUP(A1348,depara!A:B,2,0),A1348)</f>
        <v>16598576</v>
      </c>
      <c r="E1348">
        <f>VLOOKUP(B1348,'inumos depara'!$A:$B,2,0)</f>
        <v>16299005</v>
      </c>
      <c r="F1348" s="1" t="str">
        <f t="shared" si="42"/>
        <v>0.00373905269912867</v>
      </c>
      <c r="G1348" t="str">
        <f t="shared" si="43"/>
        <v>16598576,16299005,0.00373905269912867</v>
      </c>
    </row>
    <row r="1349" spans="1:7" x14ac:dyDescent="0.25">
      <c r="A1349" s="1" t="s">
        <v>564</v>
      </c>
      <c r="B1349" s="1" t="s">
        <v>566</v>
      </c>
      <c r="C1349" s="1" t="s">
        <v>567</v>
      </c>
      <c r="D1349">
        <f>IFERROR(VLOOKUP(A1349,depara!A:B,2,0),A1349)</f>
        <v>16598576</v>
      </c>
      <c r="E1349">
        <f>VLOOKUP(B1349,'inumos depara'!$A:$B,2,0)</f>
        <v>16299006</v>
      </c>
      <c r="F1349" s="1" t="str">
        <f t="shared" si="42"/>
        <v>0.00135763223004077</v>
      </c>
      <c r="G1349" t="str">
        <f t="shared" si="43"/>
        <v>16598576,16299006,0.00135763223004077</v>
      </c>
    </row>
    <row r="1350" spans="1:7" x14ac:dyDescent="0.25">
      <c r="A1350" s="1" t="s">
        <v>564</v>
      </c>
      <c r="B1350" s="1" t="s">
        <v>1443</v>
      </c>
      <c r="C1350" s="1" t="s">
        <v>568</v>
      </c>
      <c r="D1350">
        <f>IFERROR(VLOOKUP(A1350,depara!A:B,2,0),A1350)</f>
        <v>16598576</v>
      </c>
      <c r="E1350">
        <f>VLOOKUP(B1350,'inumos depara'!$A:$B,2,0)</f>
        <v>16298809</v>
      </c>
      <c r="F1350" s="1" t="str">
        <f t="shared" si="42"/>
        <v>0.0100004822190981</v>
      </c>
      <c r="G1350" t="str">
        <f t="shared" si="43"/>
        <v>16598576,16298809,0.0100004822190981</v>
      </c>
    </row>
    <row r="1351" spans="1:7" x14ac:dyDescent="0.25">
      <c r="A1351" s="1" t="s">
        <v>569</v>
      </c>
      <c r="B1351" s="1" t="s">
        <v>570</v>
      </c>
      <c r="C1351" s="1" t="s">
        <v>1589</v>
      </c>
      <c r="D1351">
        <f>IFERROR(VLOOKUP(A1351,depara!A:B,2,0),A1351)</f>
        <v>16598577</v>
      </c>
      <c r="E1351">
        <f>VLOOKUP(B1351,'inumos depara'!$A:$B,2,0)</f>
        <v>16299007</v>
      </c>
      <c r="F1351" s="1" t="str">
        <f t="shared" si="42"/>
        <v>1.04998106777736</v>
      </c>
      <c r="G1351" t="str">
        <f t="shared" si="43"/>
        <v>16598577,16299007,1.04998106777736</v>
      </c>
    </row>
    <row r="1352" spans="1:7" x14ac:dyDescent="0.25">
      <c r="A1352" s="1" t="s">
        <v>569</v>
      </c>
      <c r="B1352" s="1" t="s">
        <v>571</v>
      </c>
      <c r="C1352" s="1" t="s">
        <v>1590</v>
      </c>
      <c r="D1352">
        <f>IFERROR(VLOOKUP(A1352,depara!A:B,2,0),A1352)</f>
        <v>16598577</v>
      </c>
      <c r="E1352">
        <f>VLOOKUP(B1352,'inumos depara'!$A:$B,2,0)</f>
        <v>16299008</v>
      </c>
      <c r="F1352" s="1" t="str">
        <f t="shared" si="42"/>
        <v>1.00497646995186</v>
      </c>
      <c r="G1352" t="str">
        <f t="shared" si="43"/>
        <v>16598577,16299008,1.00497646995186</v>
      </c>
    </row>
    <row r="1353" spans="1:7" x14ac:dyDescent="0.25">
      <c r="A1353" s="1" t="s">
        <v>569</v>
      </c>
      <c r="B1353" s="1" t="s">
        <v>1436</v>
      </c>
      <c r="C1353" s="1" t="s">
        <v>1150</v>
      </c>
      <c r="D1353">
        <f>IFERROR(VLOOKUP(A1353,depara!A:B,2,0),A1353)</f>
        <v>16598577</v>
      </c>
      <c r="E1353">
        <f>VLOOKUP(B1353,'inumos depara'!$A:$B,2,0)</f>
        <v>16298804</v>
      </c>
      <c r="F1353" s="1" t="str">
        <f t="shared" si="42"/>
        <v>1</v>
      </c>
      <c r="G1353" t="str">
        <f t="shared" si="43"/>
        <v>16598577,16298804,1</v>
      </c>
    </row>
    <row r="1354" spans="1:7" x14ac:dyDescent="0.25">
      <c r="A1354" s="1" t="s">
        <v>569</v>
      </c>
      <c r="B1354" s="1" t="s">
        <v>206</v>
      </c>
      <c r="C1354" s="1" t="s">
        <v>572</v>
      </c>
      <c r="D1354">
        <f>IFERROR(VLOOKUP(A1354,depara!A:B,2,0),A1354)</f>
        <v>16598577</v>
      </c>
      <c r="E1354">
        <f>VLOOKUP(B1354,'inumos depara'!$A:$B,2,0)</f>
        <v>16298803</v>
      </c>
      <c r="F1354" s="1" t="str">
        <f t="shared" si="42"/>
        <v>0.0833558716936225</v>
      </c>
      <c r="G1354" t="str">
        <f t="shared" si="43"/>
        <v>16598577,16298803,0.0833558716936225</v>
      </c>
    </row>
    <row r="1355" spans="1:7" x14ac:dyDescent="0.25">
      <c r="A1355" s="1" t="s">
        <v>569</v>
      </c>
      <c r="B1355" s="1" t="s">
        <v>428</v>
      </c>
      <c r="C1355" s="1" t="s">
        <v>573</v>
      </c>
      <c r="D1355">
        <f>IFERROR(VLOOKUP(A1355,depara!A:B,2,0),A1355)</f>
        <v>16598577</v>
      </c>
      <c r="E1355">
        <f>VLOOKUP(B1355,'inumos depara'!$A:$B,2,0)</f>
        <v>16299005</v>
      </c>
      <c r="F1355" s="1" t="str">
        <f t="shared" si="42"/>
        <v>0.0545248012116622</v>
      </c>
      <c r="G1355" t="str">
        <f t="shared" si="43"/>
        <v>16598577,16299005,0.0545248012116622</v>
      </c>
    </row>
    <row r="1356" spans="1:7" x14ac:dyDescent="0.25">
      <c r="A1356" s="1" t="s">
        <v>574</v>
      </c>
      <c r="B1356" s="1" t="s">
        <v>430</v>
      </c>
      <c r="C1356" s="1" t="s">
        <v>575</v>
      </c>
      <c r="D1356">
        <f>IFERROR(VLOOKUP(A1356,depara!A:B,2,0),A1356)</f>
        <v>16598578</v>
      </c>
      <c r="E1356">
        <f>VLOOKUP(B1356,'inumos depara'!$A:$B,2,0)</f>
        <v>16299009</v>
      </c>
      <c r="F1356" s="1" t="str">
        <f t="shared" si="42"/>
        <v>0.00382410628587471</v>
      </c>
      <c r="G1356" t="str">
        <f t="shared" si="43"/>
        <v>16598578,16299009,0.00382410628587471</v>
      </c>
    </row>
    <row r="1357" spans="1:7" x14ac:dyDescent="0.25">
      <c r="A1357" s="1" t="s">
        <v>574</v>
      </c>
      <c r="B1357" s="1" t="s">
        <v>576</v>
      </c>
      <c r="C1357" s="1" t="s">
        <v>577</v>
      </c>
      <c r="D1357">
        <f>IFERROR(VLOOKUP(A1357,depara!A:B,2,0),A1357)</f>
        <v>16598578</v>
      </c>
      <c r="E1357">
        <f>VLOOKUP(B1357,'inumos depara'!$A:$B,2,0)</f>
        <v>16299010</v>
      </c>
      <c r="F1357" s="1" t="str">
        <f t="shared" si="42"/>
        <v>0.00135816473248328</v>
      </c>
      <c r="G1357" t="str">
        <f t="shared" si="43"/>
        <v>16598578,16299010,0.00135816473248328</v>
      </c>
    </row>
    <row r="1358" spans="1:7" x14ac:dyDescent="0.25">
      <c r="A1358" s="1" t="s">
        <v>574</v>
      </c>
      <c r="B1358" s="1" t="s">
        <v>1443</v>
      </c>
      <c r="C1358" s="1" t="s">
        <v>578</v>
      </c>
      <c r="D1358">
        <f>IFERROR(VLOOKUP(A1358,depara!A:B,2,0),A1358)</f>
        <v>16598578</v>
      </c>
      <c r="E1358">
        <f>VLOOKUP(B1358,'inumos depara'!$A:$B,2,0)</f>
        <v>16298809</v>
      </c>
      <c r="F1358" s="1" t="str">
        <f t="shared" si="42"/>
        <v>0.0100003414380612</v>
      </c>
      <c r="G1358" t="str">
        <f t="shared" si="43"/>
        <v>16598578,16298809,0.0100003414380612</v>
      </c>
    </row>
    <row r="1359" spans="1:7" x14ac:dyDescent="0.25">
      <c r="A1359" s="1" t="s">
        <v>579</v>
      </c>
      <c r="B1359" s="1" t="s">
        <v>580</v>
      </c>
      <c r="C1359" s="1" t="s">
        <v>1591</v>
      </c>
      <c r="D1359">
        <f>IFERROR(VLOOKUP(A1359,depara!A:B,2,0),A1359)</f>
        <v>16598579</v>
      </c>
      <c r="E1359">
        <f>VLOOKUP(B1359,'inumos depara'!$A:$B,2,0)</f>
        <v>16299011</v>
      </c>
      <c r="F1359" s="1" t="str">
        <f t="shared" si="42"/>
        <v>1.05002498473155</v>
      </c>
      <c r="G1359" t="str">
        <f t="shared" si="43"/>
        <v>16598579,16299011,1.05002498473155</v>
      </c>
    </row>
    <row r="1360" spans="1:7" x14ac:dyDescent="0.25">
      <c r="A1360" s="1" t="s">
        <v>579</v>
      </c>
      <c r="B1360" s="1" t="s">
        <v>581</v>
      </c>
      <c r="C1360" s="1" t="s">
        <v>1592</v>
      </c>
      <c r="D1360">
        <f>IFERROR(VLOOKUP(A1360,depara!A:B,2,0),A1360)</f>
        <v>16598579</v>
      </c>
      <c r="E1360">
        <f>VLOOKUP(B1360,'inumos depara'!$A:$B,2,0)</f>
        <v>16299012</v>
      </c>
      <c r="F1360" s="1" t="str">
        <f t="shared" si="42"/>
        <v>1.00499694631059</v>
      </c>
      <c r="G1360" t="str">
        <f t="shared" si="43"/>
        <v>16598579,16299012,1.00499694631059</v>
      </c>
    </row>
    <row r="1361" spans="1:7" x14ac:dyDescent="0.25">
      <c r="A1361" s="1" t="s">
        <v>579</v>
      </c>
      <c r="B1361" s="1" t="s">
        <v>1436</v>
      </c>
      <c r="C1361" s="1" t="s">
        <v>1150</v>
      </c>
      <c r="D1361">
        <f>IFERROR(VLOOKUP(A1361,depara!A:B,2,0),A1361)</f>
        <v>16598579</v>
      </c>
      <c r="E1361">
        <f>VLOOKUP(B1361,'inumos depara'!$A:$B,2,0)</f>
        <v>16298804</v>
      </c>
      <c r="F1361" s="1" t="str">
        <f t="shared" si="42"/>
        <v>1</v>
      </c>
      <c r="G1361" t="str">
        <f t="shared" si="43"/>
        <v>16598579,16298804,1</v>
      </c>
    </row>
    <row r="1362" spans="1:7" x14ac:dyDescent="0.25">
      <c r="A1362" s="1" t="s">
        <v>579</v>
      </c>
      <c r="B1362" s="1" t="s">
        <v>206</v>
      </c>
      <c r="C1362" s="1" t="s">
        <v>582</v>
      </c>
      <c r="D1362">
        <f>IFERROR(VLOOKUP(A1362,depara!A:B,2,0),A1362)</f>
        <v>16598579</v>
      </c>
      <c r="E1362">
        <f>VLOOKUP(B1362,'inumos depara'!$A:$B,2,0)</f>
        <v>16298803</v>
      </c>
      <c r="F1362" s="1" t="str">
        <f t="shared" si="42"/>
        <v>0.0833379601354728</v>
      </c>
      <c r="G1362" t="str">
        <f t="shared" si="43"/>
        <v>16598579,16298803,0.0833379601354728</v>
      </c>
    </row>
    <row r="1363" spans="1:7" x14ac:dyDescent="0.25">
      <c r="A1363" s="1" t="s">
        <v>579</v>
      </c>
      <c r="B1363" s="1" t="s">
        <v>430</v>
      </c>
      <c r="C1363" s="1" t="s">
        <v>583</v>
      </c>
      <c r="D1363">
        <f>IFERROR(VLOOKUP(A1363,depara!A:B,2,0),A1363)</f>
        <v>16598579</v>
      </c>
      <c r="E1363">
        <f>VLOOKUP(B1363,'inumos depara'!$A:$B,2,0)</f>
        <v>16299009</v>
      </c>
      <c r="F1363" s="1" t="str">
        <f t="shared" si="42"/>
        <v>0.0559657986785853</v>
      </c>
      <c r="G1363" t="str">
        <f t="shared" si="43"/>
        <v>16598579,16299009,0.0559657986785853</v>
      </c>
    </row>
    <row r="1364" spans="1:7" x14ac:dyDescent="0.25">
      <c r="A1364" s="1" t="s">
        <v>584</v>
      </c>
      <c r="B1364" s="1" t="s">
        <v>585</v>
      </c>
      <c r="C1364" s="1" t="s">
        <v>586</v>
      </c>
      <c r="D1364">
        <f>IFERROR(VLOOKUP(A1364,depara!A:B,2,0),A1364)</f>
        <v>16598580</v>
      </c>
      <c r="E1364">
        <f>VLOOKUP(B1364,'inumos depara'!$A:$B,2,0)</f>
        <v>16299013</v>
      </c>
      <c r="F1364" s="1" t="str">
        <f t="shared" si="42"/>
        <v>0.0109955952843633</v>
      </c>
      <c r="G1364" t="str">
        <f t="shared" si="43"/>
        <v>16598580,16299013,0.0109955952843633</v>
      </c>
    </row>
    <row r="1365" spans="1:7" x14ac:dyDescent="0.25">
      <c r="A1365" s="1" t="s">
        <v>584</v>
      </c>
      <c r="B1365" s="1" t="s">
        <v>587</v>
      </c>
      <c r="C1365" s="1" t="s">
        <v>588</v>
      </c>
      <c r="D1365">
        <f>IFERROR(VLOOKUP(A1365,depara!A:B,2,0),A1365)</f>
        <v>16598580</v>
      </c>
      <c r="E1365">
        <f>VLOOKUP(B1365,'inumos depara'!$A:$B,2,0)</f>
        <v>16299014</v>
      </c>
      <c r="F1365" s="1" t="str">
        <f t="shared" si="42"/>
        <v>0.00167336010709505</v>
      </c>
      <c r="G1365" t="str">
        <f t="shared" si="43"/>
        <v>16598580,16299014,0.00167336010709505</v>
      </c>
    </row>
    <row r="1366" spans="1:7" x14ac:dyDescent="0.25">
      <c r="A1366" s="1" t="s">
        <v>584</v>
      </c>
      <c r="B1366" s="1" t="s">
        <v>1443</v>
      </c>
      <c r="C1366" s="1" t="s">
        <v>589</v>
      </c>
      <c r="D1366">
        <f>IFERROR(VLOOKUP(A1366,depara!A:B,2,0),A1366)</f>
        <v>16598580</v>
      </c>
      <c r="E1366">
        <f>VLOOKUP(B1366,'inumos depara'!$A:$B,2,0)</f>
        <v>16298809</v>
      </c>
      <c r="F1366" s="1" t="str">
        <f t="shared" si="42"/>
        <v>0.00999697715593557</v>
      </c>
      <c r="G1366" t="str">
        <f t="shared" si="43"/>
        <v>16598580,16298809,0.00999697715593557</v>
      </c>
    </row>
    <row r="1367" spans="1:7" x14ac:dyDescent="0.25">
      <c r="A1367" s="1" t="s">
        <v>590</v>
      </c>
      <c r="B1367" s="1" t="s">
        <v>591</v>
      </c>
      <c r="C1367" s="1" t="s">
        <v>1593</v>
      </c>
      <c r="D1367">
        <f>IFERROR(VLOOKUP(A1367,depara!A:B,2,0),A1367)</f>
        <v>16598581</v>
      </c>
      <c r="E1367">
        <f>VLOOKUP(B1367,'inumos depara'!$A:$B,2,0)</f>
        <v>16299015</v>
      </c>
      <c r="F1367" s="1" t="str">
        <f t="shared" si="42"/>
        <v>1.01013645224172</v>
      </c>
      <c r="G1367" t="str">
        <f t="shared" si="43"/>
        <v>16598581,16299015,1.01013645224172</v>
      </c>
    </row>
    <row r="1368" spans="1:7" x14ac:dyDescent="0.25">
      <c r="A1368" s="1" t="s">
        <v>590</v>
      </c>
      <c r="B1368" s="1" t="s">
        <v>592</v>
      </c>
      <c r="C1368" s="1" t="s">
        <v>1593</v>
      </c>
      <c r="D1368">
        <f>IFERROR(VLOOKUP(A1368,depara!A:B,2,0),A1368)</f>
        <v>16598581</v>
      </c>
      <c r="E1368">
        <f>VLOOKUP(B1368,'inumos depara'!$A:$B,2,0)</f>
        <v>16299016</v>
      </c>
      <c r="F1368" s="1" t="str">
        <f t="shared" si="42"/>
        <v>1.01013645224172</v>
      </c>
      <c r="G1368" t="str">
        <f t="shared" si="43"/>
        <v>16598581,16299016,1.01013645224172</v>
      </c>
    </row>
    <row r="1369" spans="1:7" x14ac:dyDescent="0.25">
      <c r="A1369" s="1" t="s">
        <v>590</v>
      </c>
      <c r="B1369" s="1" t="s">
        <v>585</v>
      </c>
      <c r="C1369" s="1" t="s">
        <v>593</v>
      </c>
      <c r="D1369">
        <f>IFERROR(VLOOKUP(A1369,depara!A:B,2,0),A1369)</f>
        <v>16598581</v>
      </c>
      <c r="E1369">
        <f>VLOOKUP(B1369,'inumos depara'!$A:$B,2,0)</f>
        <v>16299013</v>
      </c>
      <c r="F1369" s="1" t="str">
        <f t="shared" si="42"/>
        <v>0.392982456140351</v>
      </c>
      <c r="G1369" t="str">
        <f t="shared" si="43"/>
        <v>16598581,16299013,0.392982456140351</v>
      </c>
    </row>
    <row r="1370" spans="1:7" x14ac:dyDescent="0.25">
      <c r="A1370" s="1" t="s">
        <v>590</v>
      </c>
      <c r="B1370" s="1" t="s">
        <v>594</v>
      </c>
      <c r="C1370" s="1" t="s">
        <v>595</v>
      </c>
      <c r="D1370">
        <f>IFERROR(VLOOKUP(A1370,depara!A:B,2,0),A1370)</f>
        <v>16598581</v>
      </c>
      <c r="E1370">
        <f>VLOOKUP(B1370,'inumos depara'!$A:$B,2,0)</f>
        <v>16299017</v>
      </c>
      <c r="F1370" s="1" t="str">
        <f t="shared" si="42"/>
        <v>0.0834307992202729</v>
      </c>
      <c r="G1370" t="str">
        <f t="shared" si="43"/>
        <v>16598581,16299017,0.0834307992202729</v>
      </c>
    </row>
    <row r="1371" spans="1:7" x14ac:dyDescent="0.25">
      <c r="A1371" s="1" t="s">
        <v>596</v>
      </c>
      <c r="B1371" s="1" t="s">
        <v>585</v>
      </c>
      <c r="C1371" s="1" t="s">
        <v>597</v>
      </c>
      <c r="D1371">
        <f>IFERROR(VLOOKUP(A1371,depara!A:B,2,0),A1371)</f>
        <v>16598582</v>
      </c>
      <c r="E1371">
        <f>VLOOKUP(B1371,'inumos depara'!$A:$B,2,0)</f>
        <v>16299013</v>
      </c>
      <c r="F1371" s="1" t="str">
        <f t="shared" si="42"/>
        <v>0.215327695560254</v>
      </c>
      <c r="G1371" t="str">
        <f t="shared" si="43"/>
        <v>16598582,16299013,0.215327695560254</v>
      </c>
    </row>
    <row r="1372" spans="1:7" x14ac:dyDescent="0.25">
      <c r="A1372" s="1" t="s">
        <v>596</v>
      </c>
      <c r="B1372" s="1" t="s">
        <v>598</v>
      </c>
      <c r="C1372" s="1" t="s">
        <v>1594</v>
      </c>
      <c r="D1372">
        <f>IFERROR(VLOOKUP(A1372,depara!A:B,2,0),A1372)</f>
        <v>16598582</v>
      </c>
      <c r="E1372">
        <f>VLOOKUP(B1372,'inumos depara'!$A:$B,2,0)</f>
        <v>16299018</v>
      </c>
      <c r="F1372" s="1" t="str">
        <f t="shared" si="42"/>
        <v>1.05010570824524</v>
      </c>
      <c r="G1372" t="str">
        <f t="shared" si="43"/>
        <v>16598582,16299018,1.05010570824524</v>
      </c>
    </row>
    <row r="1373" spans="1:7" x14ac:dyDescent="0.25">
      <c r="A1373" s="1" t="s">
        <v>596</v>
      </c>
      <c r="B1373" s="1" t="s">
        <v>599</v>
      </c>
      <c r="C1373" s="1" t="s">
        <v>600</v>
      </c>
      <c r="D1373">
        <f>IFERROR(VLOOKUP(A1373,depara!A:B,2,0),A1373)</f>
        <v>16598582</v>
      </c>
      <c r="E1373">
        <f>VLOOKUP(B1373,'inumos depara'!$A:$B,2,0)</f>
        <v>16299019</v>
      </c>
      <c r="F1373" s="1" t="str">
        <f t="shared" si="42"/>
        <v>0.0625792811839323</v>
      </c>
      <c r="G1373" t="str">
        <f t="shared" si="43"/>
        <v>16598582,16299019,0.0625792811839323</v>
      </c>
    </row>
    <row r="1374" spans="1:7" x14ac:dyDescent="0.25">
      <c r="A1374" s="1" t="s">
        <v>601</v>
      </c>
      <c r="B1374" s="1" t="s">
        <v>602</v>
      </c>
      <c r="C1374" s="1" t="s">
        <v>603</v>
      </c>
      <c r="D1374">
        <f>IFERROR(VLOOKUP(A1374,depara!A:B,2,0),A1374)</f>
        <v>16598583</v>
      </c>
      <c r="E1374">
        <f>VLOOKUP(B1374,'inumos depara'!$A:$B,2,0)</f>
        <v>16299020</v>
      </c>
      <c r="F1374" s="1" t="str">
        <f t="shared" si="42"/>
        <v>0.0110586319218241</v>
      </c>
      <c r="G1374" t="str">
        <f t="shared" si="43"/>
        <v>16598583,16299020,0.0110586319218241</v>
      </c>
    </row>
    <row r="1375" spans="1:7" x14ac:dyDescent="0.25">
      <c r="A1375" s="1" t="s">
        <v>601</v>
      </c>
      <c r="B1375" s="1" t="s">
        <v>604</v>
      </c>
      <c r="C1375" s="1" t="s">
        <v>605</v>
      </c>
      <c r="D1375">
        <f>IFERROR(VLOOKUP(A1375,depara!A:B,2,0),A1375)</f>
        <v>16598583</v>
      </c>
      <c r="E1375">
        <f>VLOOKUP(B1375,'inumos depara'!$A:$B,2,0)</f>
        <v>16299021</v>
      </c>
      <c r="F1375" s="1" t="str">
        <f t="shared" si="42"/>
        <v>0.00167209554831705</v>
      </c>
      <c r="G1375" t="str">
        <f t="shared" si="43"/>
        <v>16598583,16299021,0.00167209554831705</v>
      </c>
    </row>
    <row r="1376" spans="1:7" x14ac:dyDescent="0.25">
      <c r="A1376" s="1" t="s">
        <v>601</v>
      </c>
      <c r="B1376" s="1" t="s">
        <v>1443</v>
      </c>
      <c r="C1376" s="1" t="s">
        <v>6</v>
      </c>
      <c r="D1376">
        <f>IFERROR(VLOOKUP(A1376,depara!A:B,2,0),A1376)</f>
        <v>16598583</v>
      </c>
      <c r="E1376">
        <f>VLOOKUP(B1376,'inumos depara'!$A:$B,2,0)</f>
        <v>16298809</v>
      </c>
      <c r="F1376" s="1" t="str">
        <f t="shared" si="42"/>
        <v>0.01</v>
      </c>
      <c r="G1376" t="str">
        <f t="shared" si="43"/>
        <v>16598583,16298809,0.01</v>
      </c>
    </row>
    <row r="1377" spans="1:7" x14ac:dyDescent="0.25">
      <c r="A1377" s="1" t="s">
        <v>606</v>
      </c>
      <c r="B1377" s="1" t="s">
        <v>602</v>
      </c>
      <c r="C1377" s="1" t="s">
        <v>607</v>
      </c>
      <c r="D1377">
        <f>IFERROR(VLOOKUP(A1377,depara!A:B,2,0),A1377)</f>
        <v>16598584</v>
      </c>
      <c r="E1377">
        <f>VLOOKUP(B1377,'inumos depara'!$A:$B,2,0)</f>
        <v>16299020</v>
      </c>
      <c r="F1377" s="1" t="str">
        <f t="shared" si="42"/>
        <v>0.216609953211399</v>
      </c>
      <c r="G1377" t="str">
        <f t="shared" si="43"/>
        <v>16598584,16299020,0.216609953211399</v>
      </c>
    </row>
    <row r="1378" spans="1:7" x14ac:dyDescent="0.25">
      <c r="A1378" s="1" t="s">
        <v>606</v>
      </c>
      <c r="B1378" s="1" t="s">
        <v>608</v>
      </c>
      <c r="C1378" s="1" t="s">
        <v>1595</v>
      </c>
      <c r="D1378">
        <f>IFERROR(VLOOKUP(A1378,depara!A:B,2,0),A1378)</f>
        <v>16598584</v>
      </c>
      <c r="E1378">
        <f>VLOOKUP(B1378,'inumos depara'!$A:$B,2,0)</f>
        <v>16299022</v>
      </c>
      <c r="F1378" s="1" t="str">
        <f t="shared" si="42"/>
        <v>1.04997873245427</v>
      </c>
      <c r="G1378" t="str">
        <f t="shared" si="43"/>
        <v>16598584,16299022,1.04997873245427</v>
      </c>
    </row>
    <row r="1379" spans="1:7" x14ac:dyDescent="0.25">
      <c r="A1379" s="1" t="s">
        <v>606</v>
      </c>
      <c r="B1379" s="1" t="s">
        <v>599</v>
      </c>
      <c r="C1379" s="1" t="s">
        <v>609</v>
      </c>
      <c r="D1379">
        <f>IFERROR(VLOOKUP(A1379,depara!A:B,2,0),A1379)</f>
        <v>16598584</v>
      </c>
      <c r="E1379">
        <f>VLOOKUP(B1379,'inumos depara'!$A:$B,2,0)</f>
        <v>16299019</v>
      </c>
      <c r="F1379" s="1" t="str">
        <f t="shared" si="42"/>
        <v>0.0625265844321565</v>
      </c>
      <c r="G1379" t="str">
        <f t="shared" si="43"/>
        <v>16598584,16299019,0.0625265844321565</v>
      </c>
    </row>
    <row r="1380" spans="1:7" x14ac:dyDescent="0.25">
      <c r="A1380" s="1" t="s">
        <v>610</v>
      </c>
      <c r="B1380" s="1" t="s">
        <v>602</v>
      </c>
      <c r="C1380" s="1" t="s">
        <v>611</v>
      </c>
      <c r="D1380">
        <f>IFERROR(VLOOKUP(A1380,depara!A:B,2,0),A1380)</f>
        <v>16598585</v>
      </c>
      <c r="E1380">
        <f>VLOOKUP(B1380,'inumos depara'!$A:$B,2,0)</f>
        <v>16299020</v>
      </c>
      <c r="F1380" s="1" t="str">
        <f t="shared" si="42"/>
        <v>0.434328358208955</v>
      </c>
      <c r="G1380" t="str">
        <f t="shared" si="43"/>
        <v>16598585,16299020,0.434328358208955</v>
      </c>
    </row>
    <row r="1381" spans="1:7" x14ac:dyDescent="0.25">
      <c r="A1381" s="1" t="s">
        <v>610</v>
      </c>
      <c r="B1381" s="1" t="s">
        <v>612</v>
      </c>
      <c r="C1381" s="1" t="s">
        <v>1596</v>
      </c>
      <c r="D1381">
        <f>IFERROR(VLOOKUP(A1381,depara!A:B,2,0),A1381)</f>
        <v>16598585</v>
      </c>
      <c r="E1381">
        <f>VLOOKUP(B1381,'inumos depara'!$A:$B,2,0)</f>
        <v>16299023</v>
      </c>
      <c r="F1381" s="1" t="str">
        <f t="shared" si="42"/>
        <v>1.00511727078891</v>
      </c>
      <c r="G1381" t="str">
        <f t="shared" si="43"/>
        <v>16598585,16299023,1.00511727078891</v>
      </c>
    </row>
    <row r="1382" spans="1:7" x14ac:dyDescent="0.25">
      <c r="A1382" s="1" t="s">
        <v>610</v>
      </c>
      <c r="B1382" s="1" t="s">
        <v>613</v>
      </c>
      <c r="C1382" s="1" t="s">
        <v>1596</v>
      </c>
      <c r="D1382">
        <f>IFERROR(VLOOKUP(A1382,depara!A:B,2,0),A1382)</f>
        <v>16598585</v>
      </c>
      <c r="E1382">
        <f>VLOOKUP(B1382,'inumos depara'!$A:$B,2,0)</f>
        <v>16299024</v>
      </c>
      <c r="F1382" s="1" t="str">
        <f t="shared" si="42"/>
        <v>1.00511727078891</v>
      </c>
      <c r="G1382" t="str">
        <f t="shared" si="43"/>
        <v>16598585,16299024,1.00511727078891</v>
      </c>
    </row>
    <row r="1383" spans="1:7" x14ac:dyDescent="0.25">
      <c r="A1383" s="1" t="s">
        <v>610</v>
      </c>
      <c r="B1383" s="1" t="s">
        <v>594</v>
      </c>
      <c r="C1383" s="1" t="s">
        <v>614</v>
      </c>
      <c r="D1383">
        <f>IFERROR(VLOOKUP(A1383,depara!A:B,2,0),A1383)</f>
        <v>16598585</v>
      </c>
      <c r="E1383">
        <f>VLOOKUP(B1383,'inumos depara'!$A:$B,2,0)</f>
        <v>16299017</v>
      </c>
      <c r="F1383" s="1" t="str">
        <f t="shared" si="42"/>
        <v>0.0831556503198294</v>
      </c>
      <c r="G1383" t="str">
        <f t="shared" si="43"/>
        <v>16598585,16299017,0.0831556503198294</v>
      </c>
    </row>
    <row r="1384" spans="1:7" x14ac:dyDescent="0.25">
      <c r="A1384" s="1" t="s">
        <v>615</v>
      </c>
      <c r="B1384" s="1" t="s">
        <v>616</v>
      </c>
      <c r="C1384" s="1" t="s">
        <v>1597</v>
      </c>
      <c r="D1384" t="str">
        <f>IFERROR(VLOOKUP(A1384,depara!A:B,2,0),A1384)</f>
        <v>P0001431</v>
      </c>
      <c r="E1384">
        <f>VLOOKUP(B1384,'inumos depara'!$A:$B,2,0)</f>
        <v>16299025</v>
      </c>
      <c r="F1384" s="1" t="str">
        <f t="shared" si="42"/>
        <v>1.00499223801919</v>
      </c>
      <c r="G1384" t="str">
        <f t="shared" si="43"/>
        <v>P0001431,16299025,1.00499223801919</v>
      </c>
    </row>
    <row r="1385" spans="1:7" x14ac:dyDescent="0.25">
      <c r="A1385" s="1" t="s">
        <v>615</v>
      </c>
      <c r="B1385" s="1" t="s">
        <v>1489</v>
      </c>
      <c r="C1385" s="1" t="s">
        <v>1597</v>
      </c>
      <c r="D1385" t="str">
        <f>IFERROR(VLOOKUP(A1385,depara!A:B,2,0),A1385)</f>
        <v>P0001431</v>
      </c>
      <c r="E1385">
        <f>VLOOKUP(B1385,'inumos depara'!$A:$B,2,0)</f>
        <v>16298834</v>
      </c>
      <c r="F1385" s="1" t="str">
        <f t="shared" si="42"/>
        <v>1.00499223801919</v>
      </c>
      <c r="G1385" t="str">
        <f t="shared" si="43"/>
        <v>P0001431,16298834,1.00499223801919</v>
      </c>
    </row>
    <row r="1386" spans="1:7" x14ac:dyDescent="0.25">
      <c r="A1386" s="1" t="s">
        <v>615</v>
      </c>
      <c r="B1386" s="1" t="s">
        <v>1443</v>
      </c>
      <c r="C1386" s="1" t="s">
        <v>617</v>
      </c>
      <c r="D1386" t="str">
        <f>IFERROR(VLOOKUP(A1386,depara!A:B,2,0),A1386)</f>
        <v>P0001431</v>
      </c>
      <c r="E1386">
        <f>VLOOKUP(B1386,'inumos depara'!$A:$B,2,0)</f>
        <v>16298809</v>
      </c>
      <c r="F1386" s="1" t="str">
        <f t="shared" si="42"/>
        <v>0.00999564435609064</v>
      </c>
      <c r="G1386" t="str">
        <f t="shared" si="43"/>
        <v>P0001431,16298809,0.00999564435609064</v>
      </c>
    </row>
    <row r="1387" spans="1:7" x14ac:dyDescent="0.25">
      <c r="A1387" s="1" t="s">
        <v>615</v>
      </c>
      <c r="B1387" s="1" t="s">
        <v>531</v>
      </c>
      <c r="C1387" s="1" t="s">
        <v>618</v>
      </c>
      <c r="D1387" t="str">
        <f>IFERROR(VLOOKUP(A1387,depara!A:B,2,0),A1387)</f>
        <v>P0001431</v>
      </c>
      <c r="E1387">
        <f>VLOOKUP(B1387,'inumos depara'!$A:$B,2,0)</f>
        <v>16299026</v>
      </c>
      <c r="F1387" s="1" t="str">
        <f t="shared" si="42"/>
        <v>0.0114921989300752</v>
      </c>
      <c r="G1387" t="str">
        <f t="shared" si="43"/>
        <v>P0001431,16299026,0.0114921989300752</v>
      </c>
    </row>
    <row r="1388" spans="1:7" x14ac:dyDescent="0.25">
      <c r="A1388" s="1" t="s">
        <v>615</v>
      </c>
      <c r="B1388" s="1" t="s">
        <v>619</v>
      </c>
      <c r="C1388" s="1" t="s">
        <v>1150</v>
      </c>
      <c r="D1388" t="str">
        <f>IFERROR(VLOOKUP(A1388,depara!A:B,2,0),A1388)</f>
        <v>P0001431</v>
      </c>
      <c r="E1388">
        <f>VLOOKUP(B1388,'inumos depara'!$A:$B,2,0)</f>
        <v>16299027</v>
      </c>
      <c r="F1388" s="1" t="str">
        <f t="shared" si="42"/>
        <v>1</v>
      </c>
      <c r="G1388" t="str">
        <f t="shared" si="43"/>
        <v>P0001431,16299027,1</v>
      </c>
    </row>
    <row r="1389" spans="1:7" x14ac:dyDescent="0.25">
      <c r="A1389" s="1" t="s">
        <v>620</v>
      </c>
      <c r="B1389" s="1" t="s">
        <v>621</v>
      </c>
      <c r="C1389" s="1" t="s">
        <v>1598</v>
      </c>
      <c r="D1389">
        <f>IFERROR(VLOOKUP(A1389,depara!A:B,2,0),A1389)</f>
        <v>16598586</v>
      </c>
      <c r="E1389">
        <f>VLOOKUP(B1389,'inumos depara'!$A:$B,2,0)</f>
        <v>16299028</v>
      </c>
      <c r="F1389" s="1" t="str">
        <f t="shared" si="42"/>
        <v>1.00498410863912</v>
      </c>
      <c r="G1389" t="str">
        <f t="shared" si="43"/>
        <v>16598586,16299028,1.00498410863912</v>
      </c>
    </row>
    <row r="1390" spans="1:7" x14ac:dyDescent="0.25">
      <c r="A1390" s="1" t="s">
        <v>620</v>
      </c>
      <c r="B1390" s="1" t="s">
        <v>1322</v>
      </c>
      <c r="C1390" s="1" t="s">
        <v>1598</v>
      </c>
      <c r="D1390">
        <f>IFERROR(VLOOKUP(A1390,depara!A:B,2,0),A1390)</f>
        <v>16598586</v>
      </c>
      <c r="E1390">
        <f>VLOOKUP(B1390,'inumos depara'!$A:$B,2,0)</f>
        <v>16298719</v>
      </c>
      <c r="F1390" s="1" t="str">
        <f t="shared" si="42"/>
        <v>1.00498410863912</v>
      </c>
      <c r="G1390" t="str">
        <f t="shared" si="43"/>
        <v>16598586,16298719,1.00498410863912</v>
      </c>
    </row>
    <row r="1391" spans="1:7" x14ac:dyDescent="0.25">
      <c r="A1391" s="1" t="s">
        <v>620</v>
      </c>
      <c r="B1391" s="1" t="s">
        <v>1323</v>
      </c>
      <c r="C1391" s="1" t="s">
        <v>622</v>
      </c>
      <c r="D1391">
        <f>IFERROR(VLOOKUP(A1391,depara!A:B,2,0),A1391)</f>
        <v>16598586</v>
      </c>
      <c r="E1391">
        <f>VLOOKUP(B1391,'inumos depara'!$A:$B,2,0)</f>
        <v>16298720</v>
      </c>
      <c r="F1391" s="1" t="str">
        <f t="shared" si="42"/>
        <v>0.083357411152846</v>
      </c>
      <c r="G1391" t="str">
        <f t="shared" si="43"/>
        <v>16598586,16298720,0.083357411152846</v>
      </c>
    </row>
    <row r="1392" spans="1:7" x14ac:dyDescent="0.25">
      <c r="A1392" s="1" t="s">
        <v>620</v>
      </c>
      <c r="B1392" s="1" t="s">
        <v>531</v>
      </c>
      <c r="C1392" s="1" t="s">
        <v>623</v>
      </c>
      <c r="D1392">
        <f>IFERROR(VLOOKUP(A1392,depara!A:B,2,0),A1392)</f>
        <v>16598586</v>
      </c>
      <c r="E1392">
        <f>VLOOKUP(B1392,'inumos depara'!$A:$B,2,0)</f>
        <v>16299026</v>
      </c>
      <c r="F1392" s="1" t="str">
        <f t="shared" si="42"/>
        <v>0.22298468650679</v>
      </c>
      <c r="G1392" t="str">
        <f t="shared" si="43"/>
        <v>16598586,16299026,0.22298468650679</v>
      </c>
    </row>
    <row r="1393" spans="1:7" x14ac:dyDescent="0.25">
      <c r="A1393" s="1" t="s">
        <v>624</v>
      </c>
      <c r="B1393" s="1" t="s">
        <v>625</v>
      </c>
      <c r="C1393" s="1" t="s">
        <v>626</v>
      </c>
      <c r="D1393">
        <f>IFERROR(VLOOKUP(A1393,depara!A:B,2,0),A1393)</f>
        <v>16598587</v>
      </c>
      <c r="E1393">
        <f>VLOOKUP(B1393,'inumos depara'!$A:$B,2,0)</f>
        <v>16299029</v>
      </c>
      <c r="F1393" s="1" t="str">
        <f t="shared" si="42"/>
        <v>0.00136028562271267</v>
      </c>
      <c r="G1393" t="str">
        <f t="shared" si="43"/>
        <v>16598587,16299029,0.00136028562271267</v>
      </c>
    </row>
    <row r="1394" spans="1:7" x14ac:dyDescent="0.25">
      <c r="A1394" s="1" t="s">
        <v>624</v>
      </c>
      <c r="B1394" s="1" t="s">
        <v>1443</v>
      </c>
      <c r="C1394" s="1" t="s">
        <v>627</v>
      </c>
      <c r="D1394">
        <f>IFERROR(VLOOKUP(A1394,depara!A:B,2,0),A1394)</f>
        <v>16598587</v>
      </c>
      <c r="E1394">
        <f>VLOOKUP(B1394,'inumos depara'!$A:$B,2,0)</f>
        <v>16298809</v>
      </c>
      <c r="F1394" s="1" t="str">
        <f t="shared" si="42"/>
        <v>0.00999903102941944</v>
      </c>
      <c r="G1394" t="str">
        <f t="shared" si="43"/>
        <v>16598587,16298809,0.00999903102941944</v>
      </c>
    </row>
    <row r="1395" spans="1:7" x14ac:dyDescent="0.25">
      <c r="A1395" s="1" t="s">
        <v>624</v>
      </c>
      <c r="B1395" s="1" t="s">
        <v>509</v>
      </c>
      <c r="C1395" s="1" t="s">
        <v>628</v>
      </c>
      <c r="D1395">
        <f>IFERROR(VLOOKUP(A1395,depara!A:B,2,0),A1395)</f>
        <v>16598587</v>
      </c>
      <c r="E1395">
        <f>VLOOKUP(B1395,'inumos depara'!$A:$B,2,0)</f>
        <v>16299030</v>
      </c>
      <c r="F1395" s="1" t="str">
        <f t="shared" si="42"/>
        <v>0.00379575590885714</v>
      </c>
      <c r="G1395" t="str">
        <f t="shared" si="43"/>
        <v>16598587,16299030,0.00379575590885714</v>
      </c>
    </row>
    <row r="1396" spans="1:7" x14ac:dyDescent="0.25">
      <c r="A1396" s="1" t="s">
        <v>629</v>
      </c>
      <c r="B1396" s="1" t="s">
        <v>630</v>
      </c>
      <c r="C1396" s="1" t="s">
        <v>1599</v>
      </c>
      <c r="D1396">
        <f>IFERROR(VLOOKUP(A1396,depara!A:B,2,0),A1396)</f>
        <v>16598588</v>
      </c>
      <c r="E1396">
        <f>VLOOKUP(B1396,'inumos depara'!$A:$B,2,0)</f>
        <v>16299031</v>
      </c>
      <c r="F1396" s="1" t="str">
        <f t="shared" si="42"/>
        <v>1.05001089561996</v>
      </c>
      <c r="G1396" t="str">
        <f t="shared" si="43"/>
        <v>16598588,16299031,1.05001089561996</v>
      </c>
    </row>
    <row r="1397" spans="1:7" x14ac:dyDescent="0.25">
      <c r="A1397" s="1" t="s">
        <v>629</v>
      </c>
      <c r="B1397" s="1" t="s">
        <v>631</v>
      </c>
      <c r="C1397" s="1" t="s">
        <v>1600</v>
      </c>
      <c r="D1397">
        <f>IFERROR(VLOOKUP(A1397,depara!A:B,2,0),A1397)</f>
        <v>16598588</v>
      </c>
      <c r="E1397">
        <f>VLOOKUP(B1397,'inumos depara'!$A:$B,2,0)</f>
        <v>16299032</v>
      </c>
      <c r="F1397" s="1" t="str">
        <f t="shared" si="42"/>
        <v>1.00501198518196</v>
      </c>
      <c r="G1397" t="str">
        <f t="shared" si="43"/>
        <v>16598588,16299032,1.00501198518196</v>
      </c>
    </row>
    <row r="1398" spans="1:7" x14ac:dyDescent="0.25">
      <c r="A1398" s="1" t="s">
        <v>629</v>
      </c>
      <c r="B1398" s="1" t="s">
        <v>1301</v>
      </c>
      <c r="C1398" s="1" t="s">
        <v>632</v>
      </c>
      <c r="D1398">
        <f>IFERROR(VLOOKUP(A1398,depara!A:B,2,0),A1398)</f>
        <v>16598588</v>
      </c>
      <c r="E1398">
        <f>VLOOKUP(B1398,'inumos depara'!$A:$B,2,0)</f>
        <v>16298703</v>
      </c>
      <c r="F1398" s="1" t="str">
        <f t="shared" si="42"/>
        <v>0.062486380475049</v>
      </c>
      <c r="G1398" t="str">
        <f t="shared" si="43"/>
        <v>16598588,16298703,0.062486380475049</v>
      </c>
    </row>
    <row r="1399" spans="1:7" x14ac:dyDescent="0.25">
      <c r="A1399" s="1" t="s">
        <v>629</v>
      </c>
      <c r="B1399" s="1" t="s">
        <v>509</v>
      </c>
      <c r="C1399" s="1" t="s">
        <v>633</v>
      </c>
      <c r="D1399">
        <f>IFERROR(VLOOKUP(A1399,depara!A:B,2,0),A1399)</f>
        <v>16598588</v>
      </c>
      <c r="E1399">
        <f>VLOOKUP(B1399,'inumos depara'!$A:$B,2,0)</f>
        <v>16299030</v>
      </c>
      <c r="F1399" s="1" t="str">
        <f t="shared" si="42"/>
        <v>0.0554859446502506</v>
      </c>
      <c r="G1399" t="str">
        <f t="shared" si="43"/>
        <v>16598588,16299030,0.0554859446502506</v>
      </c>
    </row>
    <row r="1400" spans="1:7" x14ac:dyDescent="0.25">
      <c r="A1400" s="1" t="s">
        <v>634</v>
      </c>
      <c r="B1400" s="1" t="s">
        <v>635</v>
      </c>
      <c r="C1400" s="1" t="s">
        <v>1599</v>
      </c>
      <c r="D1400">
        <f>IFERROR(VLOOKUP(A1400,depara!A:B,2,0),A1400)</f>
        <v>16598589</v>
      </c>
      <c r="E1400">
        <f>VLOOKUP(B1400,'inumos depara'!$A:$B,2,0)</f>
        <v>16299033</v>
      </c>
      <c r="F1400" s="1" t="str">
        <f t="shared" si="42"/>
        <v>1.05001089561996</v>
      </c>
      <c r="G1400" t="str">
        <f t="shared" si="43"/>
        <v>16598589,16299033,1.05001089561996</v>
      </c>
    </row>
    <row r="1401" spans="1:7" x14ac:dyDescent="0.25">
      <c r="A1401" s="1" t="s">
        <v>634</v>
      </c>
      <c r="B1401" s="1" t="s">
        <v>636</v>
      </c>
      <c r="C1401" s="1" t="s">
        <v>1600</v>
      </c>
      <c r="D1401">
        <f>IFERROR(VLOOKUP(A1401,depara!A:B,2,0),A1401)</f>
        <v>16598589</v>
      </c>
      <c r="E1401">
        <f>VLOOKUP(B1401,'inumos depara'!$A:$B,2,0)</f>
        <v>16299034</v>
      </c>
      <c r="F1401" s="1" t="str">
        <f t="shared" si="42"/>
        <v>1.00501198518196</v>
      </c>
      <c r="G1401" t="str">
        <f t="shared" si="43"/>
        <v>16598589,16299034,1.00501198518196</v>
      </c>
    </row>
    <row r="1402" spans="1:7" x14ac:dyDescent="0.25">
      <c r="A1402" s="1" t="s">
        <v>634</v>
      </c>
      <c r="B1402" s="1" t="s">
        <v>1301</v>
      </c>
      <c r="C1402" s="1" t="s">
        <v>632</v>
      </c>
      <c r="D1402">
        <f>IFERROR(VLOOKUP(A1402,depara!A:B,2,0),A1402)</f>
        <v>16598589</v>
      </c>
      <c r="E1402">
        <f>VLOOKUP(B1402,'inumos depara'!$A:$B,2,0)</f>
        <v>16298703</v>
      </c>
      <c r="F1402" s="1" t="str">
        <f t="shared" si="42"/>
        <v>0.062486380475049</v>
      </c>
      <c r="G1402" t="str">
        <f t="shared" si="43"/>
        <v>16598589,16298703,0.062486380475049</v>
      </c>
    </row>
    <row r="1403" spans="1:7" x14ac:dyDescent="0.25">
      <c r="A1403" s="1" t="s">
        <v>634</v>
      </c>
      <c r="B1403" s="1" t="s">
        <v>530</v>
      </c>
      <c r="C1403" s="1" t="s">
        <v>633</v>
      </c>
      <c r="D1403">
        <f>IFERROR(VLOOKUP(A1403,depara!A:B,2,0),A1403)</f>
        <v>16598589</v>
      </c>
      <c r="E1403">
        <f>VLOOKUP(B1403,'inumos depara'!$A:$B,2,0)</f>
        <v>16299035</v>
      </c>
      <c r="F1403" s="1" t="str">
        <f t="shared" si="42"/>
        <v>0.0554859446502506</v>
      </c>
      <c r="G1403" t="str">
        <f t="shared" si="43"/>
        <v>16598589,16299035,0.0554859446502506</v>
      </c>
    </row>
    <row r="1404" spans="1:7" x14ac:dyDescent="0.25">
      <c r="A1404" s="1" t="s">
        <v>637</v>
      </c>
      <c r="B1404" s="1" t="s">
        <v>1443</v>
      </c>
      <c r="C1404" s="1" t="s">
        <v>627</v>
      </c>
      <c r="D1404">
        <f>IFERROR(VLOOKUP(A1404,depara!A:B,2,0),A1404)</f>
        <v>16598590</v>
      </c>
      <c r="E1404">
        <f>VLOOKUP(B1404,'inumos depara'!$A:$B,2,0)</f>
        <v>16298809</v>
      </c>
      <c r="F1404" s="1" t="str">
        <f t="shared" si="42"/>
        <v>0.00999903102941944</v>
      </c>
      <c r="G1404" t="str">
        <f t="shared" si="43"/>
        <v>16598590,16298809,0.00999903102941944</v>
      </c>
    </row>
    <row r="1405" spans="1:7" x14ac:dyDescent="0.25">
      <c r="A1405" s="1" t="s">
        <v>637</v>
      </c>
      <c r="B1405" s="1" t="s">
        <v>638</v>
      </c>
      <c r="C1405" s="1" t="s">
        <v>626</v>
      </c>
      <c r="D1405">
        <f>IFERROR(VLOOKUP(A1405,depara!A:B,2,0),A1405)</f>
        <v>16598590</v>
      </c>
      <c r="E1405">
        <f>VLOOKUP(B1405,'inumos depara'!$A:$B,2,0)</f>
        <v>16299036</v>
      </c>
      <c r="F1405" s="1" t="str">
        <f t="shared" si="42"/>
        <v>0.00136028562271267</v>
      </c>
      <c r="G1405" t="str">
        <f t="shared" si="43"/>
        <v>16598590,16299036,0.00136028562271267</v>
      </c>
    </row>
    <row r="1406" spans="1:7" x14ac:dyDescent="0.25">
      <c r="A1406" s="1" t="s">
        <v>637</v>
      </c>
      <c r="B1406" s="1" t="s">
        <v>509</v>
      </c>
      <c r="C1406" s="1" t="s">
        <v>628</v>
      </c>
      <c r="D1406">
        <f>IFERROR(VLOOKUP(A1406,depara!A:B,2,0),A1406)</f>
        <v>16598590</v>
      </c>
      <c r="E1406">
        <f>VLOOKUP(B1406,'inumos depara'!$A:$B,2,0)</f>
        <v>16299030</v>
      </c>
      <c r="F1406" s="1" t="str">
        <f t="shared" si="42"/>
        <v>0.00379575590885714</v>
      </c>
      <c r="G1406" t="str">
        <f t="shared" si="43"/>
        <v>16598590,16299030,0.00379575590885714</v>
      </c>
    </row>
    <row r="1407" spans="1:7" x14ac:dyDescent="0.25">
      <c r="A1407" s="1" t="s">
        <v>639</v>
      </c>
      <c r="B1407" s="1" t="s">
        <v>640</v>
      </c>
      <c r="C1407" s="1" t="s">
        <v>641</v>
      </c>
      <c r="D1407">
        <f>IFERROR(VLOOKUP(A1407,depara!A:B,2,0),A1407)</f>
        <v>16598591</v>
      </c>
      <c r="E1407">
        <f>VLOOKUP(B1407,'inumos depara'!$A:$B,2,0)</f>
        <v>16299037</v>
      </c>
      <c r="F1407" s="1" t="str">
        <f t="shared" si="42"/>
        <v>0.00135836296857693</v>
      </c>
      <c r="G1407" t="str">
        <f t="shared" si="43"/>
        <v>16598591,16299037,0.00135836296857693</v>
      </c>
    </row>
    <row r="1408" spans="1:7" x14ac:dyDescent="0.25">
      <c r="A1408" s="1" t="s">
        <v>639</v>
      </c>
      <c r="B1408" s="1" t="s">
        <v>1443</v>
      </c>
      <c r="C1408" s="1" t="s">
        <v>642</v>
      </c>
      <c r="D1408">
        <f>IFERROR(VLOOKUP(A1408,depara!A:B,2,0),A1408)</f>
        <v>16598591</v>
      </c>
      <c r="E1408">
        <f>VLOOKUP(B1408,'inumos depara'!$A:$B,2,0)</f>
        <v>16298809</v>
      </c>
      <c r="F1408" s="1" t="str">
        <f t="shared" si="42"/>
        <v>0.00999825103480441</v>
      </c>
      <c r="G1408" t="str">
        <f t="shared" si="43"/>
        <v>16598591,16298809,0.00999825103480441</v>
      </c>
    </row>
    <row r="1409" spans="1:7" x14ac:dyDescent="0.25">
      <c r="A1409" s="1" t="s">
        <v>639</v>
      </c>
      <c r="B1409" s="1" t="s">
        <v>414</v>
      </c>
      <c r="C1409" s="1" t="s">
        <v>643</v>
      </c>
      <c r="D1409">
        <f>IFERROR(VLOOKUP(A1409,depara!A:B,2,0),A1409)</f>
        <v>16598591</v>
      </c>
      <c r="E1409">
        <f>VLOOKUP(B1409,'inumos depara'!$A:$B,2,0)</f>
        <v>16299038</v>
      </c>
      <c r="F1409" s="1" t="str">
        <f t="shared" si="42"/>
        <v>0.0059377368390369</v>
      </c>
      <c r="G1409" t="str">
        <f t="shared" si="43"/>
        <v>16598591,16299038,0.0059377368390369</v>
      </c>
    </row>
    <row r="1410" spans="1:7" x14ac:dyDescent="0.25">
      <c r="A1410" s="1" t="s">
        <v>644</v>
      </c>
      <c r="B1410" s="1" t="s">
        <v>645</v>
      </c>
      <c r="C1410" s="1" t="s">
        <v>1599</v>
      </c>
      <c r="D1410">
        <f>IFERROR(VLOOKUP(A1410,depara!A:B,2,0),A1410)</f>
        <v>16598592</v>
      </c>
      <c r="E1410">
        <f>VLOOKUP(B1410,'inumos depara'!$A:$B,2,0)</f>
        <v>16299039</v>
      </c>
      <c r="F1410" s="1" t="str">
        <f t="shared" ref="F1410:F1473" si="44">C1410</f>
        <v>1.05001089561996</v>
      </c>
      <c r="G1410" t="str">
        <f t="shared" ref="G1410:G1473" si="45">D1410&amp;","&amp;E1410&amp;","&amp;F1410</f>
        <v>16598592,16299039,1.05001089561996</v>
      </c>
    </row>
    <row r="1411" spans="1:7" x14ac:dyDescent="0.25">
      <c r="A1411" s="1" t="s">
        <v>644</v>
      </c>
      <c r="B1411" s="1" t="s">
        <v>646</v>
      </c>
      <c r="C1411" s="1" t="s">
        <v>1600</v>
      </c>
      <c r="D1411">
        <f>IFERROR(VLOOKUP(A1411,depara!A:B,2,0),A1411)</f>
        <v>16598592</v>
      </c>
      <c r="E1411">
        <f>VLOOKUP(B1411,'inumos depara'!$A:$B,2,0)</f>
        <v>16299040</v>
      </c>
      <c r="F1411" s="1" t="str">
        <f t="shared" si="44"/>
        <v>1.00501198518196</v>
      </c>
      <c r="G1411" t="str">
        <f t="shared" si="45"/>
        <v>16598592,16299040,1.00501198518196</v>
      </c>
    </row>
    <row r="1412" spans="1:7" x14ac:dyDescent="0.25">
      <c r="A1412" s="1" t="s">
        <v>644</v>
      </c>
      <c r="B1412" s="1" t="s">
        <v>1301</v>
      </c>
      <c r="C1412" s="1" t="s">
        <v>632</v>
      </c>
      <c r="D1412">
        <f>IFERROR(VLOOKUP(A1412,depara!A:B,2,0),A1412)</f>
        <v>16598592</v>
      </c>
      <c r="E1412">
        <f>VLOOKUP(B1412,'inumos depara'!$A:$B,2,0)</f>
        <v>16298703</v>
      </c>
      <c r="F1412" s="1" t="str">
        <f t="shared" si="44"/>
        <v>0.062486380475049</v>
      </c>
      <c r="G1412" t="str">
        <f t="shared" si="45"/>
        <v>16598592,16298703,0.062486380475049</v>
      </c>
    </row>
    <row r="1413" spans="1:7" x14ac:dyDescent="0.25">
      <c r="A1413" s="1" t="s">
        <v>644</v>
      </c>
      <c r="B1413" s="1" t="s">
        <v>414</v>
      </c>
      <c r="C1413" s="1" t="s">
        <v>633</v>
      </c>
      <c r="D1413">
        <f>IFERROR(VLOOKUP(A1413,depara!A:B,2,0),A1413)</f>
        <v>16598592</v>
      </c>
      <c r="E1413">
        <f>VLOOKUP(B1413,'inumos depara'!$A:$B,2,0)</f>
        <v>16299038</v>
      </c>
      <c r="F1413" s="1" t="str">
        <f t="shared" si="44"/>
        <v>0.0554859446502506</v>
      </c>
      <c r="G1413" t="str">
        <f t="shared" si="45"/>
        <v>16598592,16299038,0.0554859446502506</v>
      </c>
    </row>
    <row r="1414" spans="1:7" x14ac:dyDescent="0.25">
      <c r="A1414" s="1" t="s">
        <v>647</v>
      </c>
      <c r="B1414" s="1" t="s">
        <v>452</v>
      </c>
      <c r="C1414" s="1" t="s">
        <v>648</v>
      </c>
      <c r="D1414">
        <f>IFERROR(VLOOKUP(A1414,depara!A:B,2,0),A1414)</f>
        <v>16598596</v>
      </c>
      <c r="E1414">
        <f>VLOOKUP(B1414,'inumos depara'!$A:$B,2,0)</f>
        <v>16299041</v>
      </c>
      <c r="F1414" s="1" t="str">
        <f t="shared" si="44"/>
        <v>0.00934918303653387</v>
      </c>
      <c r="G1414" t="str">
        <f t="shared" si="45"/>
        <v>16598596,16299041,0.00934918303653387</v>
      </c>
    </row>
    <row r="1415" spans="1:7" x14ac:dyDescent="0.25">
      <c r="A1415" s="1" t="s">
        <v>647</v>
      </c>
      <c r="B1415" s="1" t="s">
        <v>649</v>
      </c>
      <c r="C1415" s="1" t="s">
        <v>650</v>
      </c>
      <c r="D1415">
        <f>IFERROR(VLOOKUP(A1415,depara!A:B,2,0),A1415)</f>
        <v>16598596</v>
      </c>
      <c r="E1415">
        <f>VLOOKUP(B1415,'inumos depara'!$A:$B,2,0)</f>
        <v>16299042</v>
      </c>
      <c r="F1415" s="1" t="str">
        <f t="shared" si="44"/>
        <v>0.00167064439140811</v>
      </c>
      <c r="G1415" t="str">
        <f t="shared" si="45"/>
        <v>16598596,16299042,0.00167064439140811</v>
      </c>
    </row>
    <row r="1416" spans="1:7" x14ac:dyDescent="0.25">
      <c r="A1416" s="1" t="s">
        <v>647</v>
      </c>
      <c r="B1416" s="1" t="s">
        <v>1443</v>
      </c>
      <c r="C1416" s="1" t="s">
        <v>651</v>
      </c>
      <c r="D1416">
        <f>IFERROR(VLOOKUP(A1416,depara!A:B,2,0),A1416)</f>
        <v>16598596</v>
      </c>
      <c r="E1416">
        <f>VLOOKUP(B1416,'inumos depara'!$A:$B,2,0)</f>
        <v>16298809</v>
      </c>
      <c r="F1416" s="1" t="str">
        <f t="shared" si="44"/>
        <v>0.00999632825408482</v>
      </c>
      <c r="G1416" t="str">
        <f t="shared" si="45"/>
        <v>16598596,16298809,0.00999632825408482</v>
      </c>
    </row>
    <row r="1417" spans="1:7" x14ac:dyDescent="0.25">
      <c r="A1417" s="1" t="s">
        <v>652</v>
      </c>
      <c r="B1417" s="1" t="s">
        <v>452</v>
      </c>
      <c r="C1417" s="1" t="s">
        <v>653</v>
      </c>
      <c r="D1417">
        <f>IFERROR(VLOOKUP(A1417,depara!A:B,2,0),A1417)</f>
        <v>16598597</v>
      </c>
      <c r="E1417">
        <f>VLOOKUP(B1417,'inumos depara'!$A:$B,2,0)</f>
        <v>16299041</v>
      </c>
      <c r="F1417" s="1" t="str">
        <f t="shared" si="44"/>
        <v>0.137110163787301</v>
      </c>
      <c r="G1417" t="str">
        <f t="shared" si="45"/>
        <v>16598597,16299041,0.137110163787301</v>
      </c>
    </row>
    <row r="1418" spans="1:7" x14ac:dyDescent="0.25">
      <c r="A1418" s="1" t="s">
        <v>652</v>
      </c>
      <c r="B1418" s="1" t="s">
        <v>654</v>
      </c>
      <c r="C1418" s="1" t="s">
        <v>1601</v>
      </c>
      <c r="D1418">
        <f>IFERROR(VLOOKUP(A1418,depara!A:B,2,0),A1418)</f>
        <v>16598597</v>
      </c>
      <c r="E1418">
        <f>VLOOKUP(B1418,'inumos depara'!$A:$B,2,0)</f>
        <v>16299043</v>
      </c>
      <c r="F1418" s="1" t="str">
        <f t="shared" si="44"/>
        <v>1.04998878169172</v>
      </c>
      <c r="G1418" t="str">
        <f t="shared" si="45"/>
        <v>16598597,16299043,1.04998878169172</v>
      </c>
    </row>
    <row r="1419" spans="1:7" x14ac:dyDescent="0.25">
      <c r="A1419" s="1" t="s">
        <v>652</v>
      </c>
      <c r="B1419" s="1" t="s">
        <v>304</v>
      </c>
      <c r="C1419" s="1" t="s">
        <v>655</v>
      </c>
      <c r="D1419">
        <f>IFERROR(VLOOKUP(A1419,depara!A:B,2,0),A1419)</f>
        <v>16598597</v>
      </c>
      <c r="E1419">
        <f>VLOOKUP(B1419,'inumos depara'!$A:$B,2,0)</f>
        <v>16298849</v>
      </c>
      <c r="F1419" s="1" t="str">
        <f t="shared" si="44"/>
        <v>0.0625084137312093</v>
      </c>
      <c r="G1419" t="str">
        <f t="shared" si="45"/>
        <v>16598597,16298849,0.0625084137312093</v>
      </c>
    </row>
    <row r="1420" spans="1:7" x14ac:dyDescent="0.25">
      <c r="A1420" s="1" t="s">
        <v>656</v>
      </c>
      <c r="B1420" s="1" t="s">
        <v>1443</v>
      </c>
      <c r="C1420" s="1" t="s">
        <v>657</v>
      </c>
      <c r="D1420">
        <f>IFERROR(VLOOKUP(A1420,depara!A:B,2,0),A1420)</f>
        <v>16598598</v>
      </c>
      <c r="E1420">
        <f>VLOOKUP(B1420,'inumos depara'!$A:$B,2,0)</f>
        <v>16298809</v>
      </c>
      <c r="F1420" s="1" t="str">
        <f t="shared" si="44"/>
        <v>0.0100020521605682</v>
      </c>
      <c r="G1420" t="str">
        <f t="shared" si="45"/>
        <v>16598598,16298809,0.0100020521605682</v>
      </c>
    </row>
    <row r="1421" spans="1:7" x14ac:dyDescent="0.25">
      <c r="A1421" s="1" t="s">
        <v>656</v>
      </c>
      <c r="B1421" s="1" t="s">
        <v>658</v>
      </c>
      <c r="C1421" s="1" t="s">
        <v>659</v>
      </c>
      <c r="D1421">
        <f>IFERROR(VLOOKUP(A1421,depara!A:B,2,0),A1421)</f>
        <v>16598598</v>
      </c>
      <c r="E1421">
        <f>VLOOKUP(B1421,'inumos depara'!$A:$B,2,0)</f>
        <v>16299044</v>
      </c>
      <c r="F1421" s="1" t="str">
        <f t="shared" si="44"/>
        <v>0.00198970350741008</v>
      </c>
      <c r="G1421" t="str">
        <f t="shared" si="45"/>
        <v>16598598,16299044,0.00198970350741008</v>
      </c>
    </row>
    <row r="1422" spans="1:7" x14ac:dyDescent="0.25">
      <c r="A1422" s="1" t="s">
        <v>656</v>
      </c>
      <c r="B1422" s="1" t="s">
        <v>660</v>
      </c>
      <c r="C1422" s="1" t="s">
        <v>661</v>
      </c>
      <c r="D1422">
        <f>IFERROR(VLOOKUP(A1422,depara!A:B,2,0),A1422)</f>
        <v>16598598</v>
      </c>
      <c r="E1422">
        <f>VLOOKUP(B1422,'inumos depara'!$A:$B,2,0)</f>
        <v>16299045</v>
      </c>
      <c r="F1422" s="1" t="str">
        <f t="shared" si="44"/>
        <v>0.00918118793329586</v>
      </c>
      <c r="G1422" t="str">
        <f t="shared" si="45"/>
        <v>16598598,16299045,0.00918118793329586</v>
      </c>
    </row>
    <row r="1423" spans="1:7" x14ac:dyDescent="0.25">
      <c r="A1423" s="1" t="s">
        <v>662</v>
      </c>
      <c r="B1423" s="1" t="s">
        <v>1443</v>
      </c>
      <c r="C1423" s="1" t="s">
        <v>663</v>
      </c>
      <c r="D1423">
        <f>IFERROR(VLOOKUP(A1423,depara!A:B,2,0),A1423)</f>
        <v>16598599</v>
      </c>
      <c r="E1423">
        <f>VLOOKUP(B1423,'inumos depara'!$A:$B,2,0)</f>
        <v>16298809</v>
      </c>
      <c r="F1423" s="1" t="str">
        <f t="shared" si="44"/>
        <v>0.00999973428518286</v>
      </c>
      <c r="G1423" t="str">
        <f t="shared" si="45"/>
        <v>16598599,16298809,0.00999973428518286</v>
      </c>
    </row>
    <row r="1424" spans="1:7" x14ac:dyDescent="0.25">
      <c r="A1424" s="1" t="s">
        <v>662</v>
      </c>
      <c r="B1424" s="1" t="s">
        <v>664</v>
      </c>
      <c r="C1424" s="1" t="s">
        <v>665</v>
      </c>
      <c r="D1424">
        <f>IFERROR(VLOOKUP(A1424,depara!A:B,2,0),A1424)</f>
        <v>16598599</v>
      </c>
      <c r="E1424">
        <f>VLOOKUP(B1424,'inumos depara'!$A:$B,2,0)</f>
        <v>16299046</v>
      </c>
      <c r="F1424" s="1" t="str">
        <f t="shared" si="44"/>
        <v>0.00198400396800794</v>
      </c>
      <c r="G1424" t="str">
        <f t="shared" si="45"/>
        <v>16598599,16299046,0.00198400396800794</v>
      </c>
    </row>
    <row r="1425" spans="1:7" x14ac:dyDescent="0.25">
      <c r="A1425" s="1" t="s">
        <v>662</v>
      </c>
      <c r="B1425" s="1" t="s">
        <v>666</v>
      </c>
      <c r="C1425" s="1" t="s">
        <v>667</v>
      </c>
      <c r="D1425">
        <f>IFERROR(VLOOKUP(A1425,depara!A:B,2,0),A1425)</f>
        <v>16598599</v>
      </c>
      <c r="E1425">
        <f>VLOOKUP(B1425,'inumos depara'!$A:$B,2,0)</f>
        <v>16299047</v>
      </c>
      <c r="F1425" s="1" t="str">
        <f t="shared" si="44"/>
        <v>0.00911401822803646</v>
      </c>
      <c r="G1425" t="str">
        <f t="shared" si="45"/>
        <v>16598599,16299047,0.00911401822803646</v>
      </c>
    </row>
    <row r="1426" spans="1:7" x14ac:dyDescent="0.25">
      <c r="A1426" s="1" t="s">
        <v>668</v>
      </c>
      <c r="B1426" s="1" t="s">
        <v>669</v>
      </c>
      <c r="C1426" s="1" t="s">
        <v>665</v>
      </c>
      <c r="D1426">
        <f>IFERROR(VLOOKUP(A1426,depara!A:B,2,0),A1426)</f>
        <v>16598600</v>
      </c>
      <c r="E1426">
        <f>VLOOKUP(B1426,'inumos depara'!$A:$B,2,0)</f>
        <v>16299048</v>
      </c>
      <c r="F1426" s="1" t="str">
        <f t="shared" si="44"/>
        <v>0.00198400396800794</v>
      </c>
      <c r="G1426" t="str">
        <f t="shared" si="45"/>
        <v>16598600,16299048,0.00198400396800794</v>
      </c>
    </row>
    <row r="1427" spans="1:7" x14ac:dyDescent="0.25">
      <c r="A1427" s="1" t="s">
        <v>668</v>
      </c>
      <c r="B1427" s="1" t="s">
        <v>1443</v>
      </c>
      <c r="C1427" s="1" t="s">
        <v>663</v>
      </c>
      <c r="D1427">
        <f>IFERROR(VLOOKUP(A1427,depara!A:B,2,0),A1427)</f>
        <v>16598600</v>
      </c>
      <c r="E1427">
        <f>VLOOKUP(B1427,'inumos depara'!$A:$B,2,0)</f>
        <v>16298809</v>
      </c>
      <c r="F1427" s="1" t="str">
        <f t="shared" si="44"/>
        <v>0.00999973428518286</v>
      </c>
      <c r="G1427" t="str">
        <f t="shared" si="45"/>
        <v>16598600,16298809,0.00999973428518286</v>
      </c>
    </row>
    <row r="1428" spans="1:7" x14ac:dyDescent="0.25">
      <c r="A1428" s="1" t="s">
        <v>668</v>
      </c>
      <c r="B1428" s="1" t="s">
        <v>670</v>
      </c>
      <c r="C1428" s="1" t="s">
        <v>667</v>
      </c>
      <c r="D1428">
        <f>IFERROR(VLOOKUP(A1428,depara!A:B,2,0),A1428)</f>
        <v>16598600</v>
      </c>
      <c r="E1428">
        <f>VLOOKUP(B1428,'inumos depara'!$A:$B,2,0)</f>
        <v>16299049</v>
      </c>
      <c r="F1428" s="1" t="str">
        <f t="shared" si="44"/>
        <v>0.00911401822803646</v>
      </c>
      <c r="G1428" t="str">
        <f t="shared" si="45"/>
        <v>16598600,16299049,0.00911401822803646</v>
      </c>
    </row>
    <row r="1429" spans="1:7" x14ac:dyDescent="0.25">
      <c r="A1429" s="1" t="s">
        <v>671</v>
      </c>
      <c r="B1429" s="1" t="s">
        <v>672</v>
      </c>
      <c r="C1429" s="1" t="s">
        <v>673</v>
      </c>
      <c r="D1429">
        <f>IFERROR(VLOOKUP(A1429,depara!A:B,2,0),A1429)</f>
        <v>16598601</v>
      </c>
      <c r="E1429">
        <f>VLOOKUP(B1429,'inumos depara'!$A:$B,2,0)</f>
        <v>16299050</v>
      </c>
      <c r="F1429" s="1" t="str">
        <f t="shared" si="44"/>
        <v>0.00580123714158778</v>
      </c>
      <c r="G1429" t="str">
        <f t="shared" si="45"/>
        <v>16598601,16299050,0.00580123714158778</v>
      </c>
    </row>
    <row r="1430" spans="1:7" x14ac:dyDescent="0.25">
      <c r="A1430" s="1" t="s">
        <v>671</v>
      </c>
      <c r="B1430" s="1" t="s">
        <v>1443</v>
      </c>
      <c r="C1430" s="1" t="s">
        <v>674</v>
      </c>
      <c r="D1430">
        <f>IFERROR(VLOOKUP(A1430,depara!A:B,2,0),A1430)</f>
        <v>16598601</v>
      </c>
      <c r="E1430">
        <f>VLOOKUP(B1430,'inumos depara'!$A:$B,2,0)</f>
        <v>16298809</v>
      </c>
      <c r="F1430" s="1" t="str">
        <f t="shared" si="44"/>
        <v>0.0100019365936457</v>
      </c>
      <c r="G1430" t="str">
        <f t="shared" si="45"/>
        <v>16598601,16298809,0.0100019365936457</v>
      </c>
    </row>
    <row r="1431" spans="1:7" x14ac:dyDescent="0.25">
      <c r="A1431" s="1" t="s">
        <v>671</v>
      </c>
      <c r="B1431" s="1" t="s">
        <v>675</v>
      </c>
      <c r="C1431" s="1" t="s">
        <v>676</v>
      </c>
      <c r="D1431">
        <f>IFERROR(VLOOKUP(A1431,depara!A:B,2,0),A1431)</f>
        <v>16598601</v>
      </c>
      <c r="E1431">
        <f>VLOOKUP(B1431,'inumos depara'!$A:$B,2,0)</f>
        <v>16299051</v>
      </c>
      <c r="F1431" s="1" t="str">
        <f t="shared" si="44"/>
        <v>0.00136131141564996</v>
      </c>
      <c r="G1431" t="str">
        <f t="shared" si="45"/>
        <v>16598601,16299051,0.00136131141564996</v>
      </c>
    </row>
    <row r="1432" spans="1:7" x14ac:dyDescent="0.25">
      <c r="A1432" s="1" t="s">
        <v>677</v>
      </c>
      <c r="B1432" s="1" t="s">
        <v>154</v>
      </c>
      <c r="C1432" s="1" t="s">
        <v>678</v>
      </c>
      <c r="D1432">
        <f>IFERROR(VLOOKUP(A1432,depara!A:B,2,0),A1432)</f>
        <v>16598602</v>
      </c>
      <c r="E1432">
        <f>VLOOKUP(B1432,'inumos depara'!$A:$B,2,0)</f>
        <v>16298742</v>
      </c>
      <c r="F1432" s="1" t="str">
        <f t="shared" si="44"/>
        <v>0.0624920127795527</v>
      </c>
      <c r="G1432" t="str">
        <f t="shared" si="45"/>
        <v>16598602,16298742,0.0624920127795527</v>
      </c>
    </row>
    <row r="1433" spans="1:7" x14ac:dyDescent="0.25">
      <c r="A1433" s="1" t="s">
        <v>677</v>
      </c>
      <c r="B1433" s="1" t="s">
        <v>679</v>
      </c>
      <c r="C1433" s="1" t="s">
        <v>1602</v>
      </c>
      <c r="D1433">
        <f>IFERROR(VLOOKUP(A1433,depara!A:B,2,0),A1433)</f>
        <v>16598602</v>
      </c>
      <c r="E1433">
        <f>VLOOKUP(B1433,'inumos depara'!$A:$B,2,0)</f>
        <v>16299052</v>
      </c>
      <c r="F1433" s="1" t="str">
        <f t="shared" si="44"/>
        <v>1.05003194888179</v>
      </c>
      <c r="G1433" t="str">
        <f t="shared" si="45"/>
        <v>16598602,16299052,1.05003194888179</v>
      </c>
    </row>
    <row r="1434" spans="1:7" x14ac:dyDescent="0.25">
      <c r="A1434" s="1" t="s">
        <v>677</v>
      </c>
      <c r="B1434" s="1" t="s">
        <v>672</v>
      </c>
      <c r="C1434" s="1" t="s">
        <v>680</v>
      </c>
      <c r="D1434">
        <f>IFERROR(VLOOKUP(A1434,depara!A:B,2,0),A1434)</f>
        <v>16598602</v>
      </c>
      <c r="E1434">
        <f>VLOOKUP(B1434,'inumos depara'!$A:$B,2,0)</f>
        <v>16299050</v>
      </c>
      <c r="F1434" s="1" t="str">
        <f t="shared" si="44"/>
        <v>0.0650798722044728</v>
      </c>
      <c r="G1434" t="str">
        <f t="shared" si="45"/>
        <v>16598602,16299050,0.0650798722044728</v>
      </c>
    </row>
    <row r="1435" spans="1:7" x14ac:dyDescent="0.25">
      <c r="A1435" s="1" t="s">
        <v>681</v>
      </c>
      <c r="B1435" s="1" t="s">
        <v>368</v>
      </c>
      <c r="C1435" s="1" t="s">
        <v>682</v>
      </c>
      <c r="D1435">
        <f>IFERROR(VLOOKUP(A1435,depara!A:B,2,0),A1435)</f>
        <v>16598603</v>
      </c>
      <c r="E1435">
        <f>VLOOKUP(B1435,'inumos depara'!$A:$B,2,0)</f>
        <v>16298874</v>
      </c>
      <c r="F1435" s="1" t="str">
        <f t="shared" si="44"/>
        <v>0.0624900872323553</v>
      </c>
      <c r="G1435" t="str">
        <f t="shared" si="45"/>
        <v>16598603,16298874,0.0624900872323553</v>
      </c>
    </row>
    <row r="1436" spans="1:7" x14ac:dyDescent="0.25">
      <c r="A1436" s="1" t="s">
        <v>681</v>
      </c>
      <c r="B1436" s="1" t="s">
        <v>683</v>
      </c>
      <c r="C1436" s="1" t="s">
        <v>1603</v>
      </c>
      <c r="D1436">
        <f>IFERROR(VLOOKUP(A1436,depara!A:B,2,0),A1436)</f>
        <v>16598603</v>
      </c>
      <c r="E1436">
        <f>VLOOKUP(B1436,'inumos depara'!$A:$B,2,0)</f>
        <v>16299053</v>
      </c>
      <c r="F1436" s="1" t="str">
        <f t="shared" si="44"/>
        <v>1.04996034892942</v>
      </c>
      <c r="G1436" t="str">
        <f t="shared" si="45"/>
        <v>16598603,16299053,1.04996034892942</v>
      </c>
    </row>
    <row r="1437" spans="1:7" x14ac:dyDescent="0.25">
      <c r="A1437" s="1" t="s">
        <v>681</v>
      </c>
      <c r="B1437" s="1" t="s">
        <v>672</v>
      </c>
      <c r="C1437" s="1" t="s">
        <v>684</v>
      </c>
      <c r="D1437">
        <f>IFERROR(VLOOKUP(A1437,depara!A:B,2,0),A1437)</f>
        <v>16598603</v>
      </c>
      <c r="E1437">
        <f>VLOOKUP(B1437,'inumos depara'!$A:$B,2,0)</f>
        <v>16299050</v>
      </c>
      <c r="F1437" s="1" t="str">
        <f t="shared" si="44"/>
        <v>0.161538461538462</v>
      </c>
      <c r="G1437" t="str">
        <f t="shared" si="45"/>
        <v>16598603,16299050,0.161538461538462</v>
      </c>
    </row>
    <row r="1438" spans="1:7" x14ac:dyDescent="0.25">
      <c r="A1438" s="1" t="s">
        <v>685</v>
      </c>
      <c r="B1438" s="1" t="s">
        <v>686</v>
      </c>
      <c r="C1438" s="1" t="s">
        <v>687</v>
      </c>
      <c r="D1438">
        <f>IFERROR(VLOOKUP(A1438,depara!A:B,2,0),A1438)</f>
        <v>16598604</v>
      </c>
      <c r="E1438">
        <f>VLOOKUP(B1438,'inumos depara'!$A:$B,2,0)</f>
        <v>16299054</v>
      </c>
      <c r="F1438" s="1" t="str">
        <f t="shared" si="44"/>
        <v>0.00198857986989006</v>
      </c>
      <c r="G1438" t="str">
        <f t="shared" si="45"/>
        <v>16598604,16299054,0.00198857986989006</v>
      </c>
    </row>
    <row r="1439" spans="1:7" x14ac:dyDescent="0.25">
      <c r="A1439" s="1" t="s">
        <v>685</v>
      </c>
      <c r="B1439" s="1" t="s">
        <v>1443</v>
      </c>
      <c r="C1439" s="1" t="s">
        <v>688</v>
      </c>
      <c r="D1439">
        <f>IFERROR(VLOOKUP(A1439,depara!A:B,2,0),A1439)</f>
        <v>16598604</v>
      </c>
      <c r="E1439">
        <f>VLOOKUP(B1439,'inumos depara'!$A:$B,2,0)</f>
        <v>16298809</v>
      </c>
      <c r="F1439" s="1" t="str">
        <f t="shared" si="44"/>
        <v>0.00999971591716145</v>
      </c>
      <c r="G1439" t="str">
        <f t="shared" si="45"/>
        <v>16598604,16298809,0.00999971591716145</v>
      </c>
    </row>
    <row r="1440" spans="1:7" x14ac:dyDescent="0.25">
      <c r="A1440" s="1" t="s">
        <v>685</v>
      </c>
      <c r="B1440" s="1" t="s">
        <v>689</v>
      </c>
      <c r="C1440" s="1" t="s">
        <v>690</v>
      </c>
      <c r="D1440">
        <f>IFERROR(VLOOKUP(A1440,depara!A:B,2,0),A1440)</f>
        <v>16598604</v>
      </c>
      <c r="E1440">
        <f>VLOOKUP(B1440,'inumos depara'!$A:$B,2,0)</f>
        <v>16299055</v>
      </c>
      <c r="F1440" s="1" t="str">
        <f t="shared" si="44"/>
        <v>0.00974404136246129</v>
      </c>
      <c r="G1440" t="str">
        <f t="shared" si="45"/>
        <v>16598604,16299055,0.00974404136246129</v>
      </c>
    </row>
    <row r="1441" spans="1:7" x14ac:dyDescent="0.25">
      <c r="A1441" s="1" t="s">
        <v>691</v>
      </c>
      <c r="B1441" s="1" t="s">
        <v>692</v>
      </c>
      <c r="C1441" s="1" t="s">
        <v>693</v>
      </c>
      <c r="D1441">
        <f>IFERROR(VLOOKUP(A1441,depara!A:B,2,0),A1441)</f>
        <v>16598605</v>
      </c>
      <c r="E1441">
        <f>VLOOKUP(B1441,'inumos depara'!$A:$B,2,0)</f>
        <v>16299056</v>
      </c>
      <c r="F1441" s="1" t="str">
        <f t="shared" si="44"/>
        <v>0.00198695292855761</v>
      </c>
      <c r="G1441" t="str">
        <f t="shared" si="45"/>
        <v>16598605,16299056,0.00198695292855761</v>
      </c>
    </row>
    <row r="1442" spans="1:7" x14ac:dyDescent="0.25">
      <c r="A1442" s="1" t="s">
        <v>691</v>
      </c>
      <c r="B1442" s="1" t="s">
        <v>1443</v>
      </c>
      <c r="C1442" s="1" t="s">
        <v>694</v>
      </c>
      <c r="D1442">
        <f>IFERROR(VLOOKUP(A1442,depara!A:B,2,0),A1442)</f>
        <v>16598605</v>
      </c>
      <c r="E1442">
        <f>VLOOKUP(B1442,'inumos depara'!$A:$B,2,0)</f>
        <v>16298809</v>
      </c>
      <c r="F1442" s="1" t="str">
        <f t="shared" si="44"/>
        <v>0.00999630743261064</v>
      </c>
      <c r="G1442" t="str">
        <f t="shared" si="45"/>
        <v>16598605,16298809,0.00999630743261064</v>
      </c>
    </row>
    <row r="1443" spans="1:7" x14ac:dyDescent="0.25">
      <c r="A1443" s="1" t="s">
        <v>691</v>
      </c>
      <c r="B1443" s="1" t="s">
        <v>695</v>
      </c>
      <c r="C1443" s="1" t="s">
        <v>696</v>
      </c>
      <c r="D1443">
        <f>IFERROR(VLOOKUP(A1443,depara!A:B,2,0),A1443)</f>
        <v>16598605</v>
      </c>
      <c r="E1443">
        <f>VLOOKUP(B1443,'inumos depara'!$A:$B,2,0)</f>
        <v>16299057</v>
      </c>
      <c r="F1443" s="1" t="str">
        <f t="shared" si="44"/>
        <v>0.0090467901039194</v>
      </c>
      <c r="G1443" t="str">
        <f t="shared" si="45"/>
        <v>16598605,16299057,0.0090467901039194</v>
      </c>
    </row>
    <row r="1444" spans="1:7" x14ac:dyDescent="0.25">
      <c r="A1444" s="1" t="s">
        <v>697</v>
      </c>
      <c r="B1444" s="1" t="s">
        <v>1443</v>
      </c>
      <c r="C1444" s="1" t="s">
        <v>698</v>
      </c>
      <c r="D1444">
        <f>IFERROR(VLOOKUP(A1444,depara!A:B,2,0),A1444)</f>
        <v>16598606</v>
      </c>
      <c r="E1444">
        <f>VLOOKUP(B1444,'inumos depara'!$A:$B,2,0)</f>
        <v>16298809</v>
      </c>
      <c r="F1444" s="1" t="str">
        <f t="shared" si="44"/>
        <v>0.00999745055905598</v>
      </c>
      <c r="G1444" t="str">
        <f t="shared" si="45"/>
        <v>16598606,16298809,0.00999745055905598</v>
      </c>
    </row>
    <row r="1445" spans="1:7" x14ac:dyDescent="0.25">
      <c r="A1445" s="1" t="s">
        <v>697</v>
      </c>
      <c r="B1445" s="1" t="s">
        <v>699</v>
      </c>
      <c r="C1445" s="1" t="s">
        <v>700</v>
      </c>
      <c r="D1445">
        <f>IFERROR(VLOOKUP(A1445,depara!A:B,2,0),A1445)</f>
        <v>16598606</v>
      </c>
      <c r="E1445">
        <f>VLOOKUP(B1445,'inumos depara'!$A:$B,2,0)</f>
        <v>16299058</v>
      </c>
      <c r="F1445" s="1" t="str">
        <f t="shared" si="44"/>
        <v>0.00167534690607131</v>
      </c>
      <c r="G1445" t="str">
        <f t="shared" si="45"/>
        <v>16598606,16299058,0.00167534690607131</v>
      </c>
    </row>
    <row r="1446" spans="1:7" x14ac:dyDescent="0.25">
      <c r="A1446" s="1" t="s">
        <v>697</v>
      </c>
      <c r="B1446" s="1" t="s">
        <v>701</v>
      </c>
      <c r="C1446" s="1" t="s">
        <v>702</v>
      </c>
      <c r="D1446">
        <f>IFERROR(VLOOKUP(A1446,depara!A:B,2,0),A1446)</f>
        <v>16598606</v>
      </c>
      <c r="E1446">
        <f>VLOOKUP(B1446,'inumos depara'!$A:$B,2,0)</f>
        <v>16299059</v>
      </c>
      <c r="F1446" s="1" t="str">
        <f t="shared" si="44"/>
        <v>0.00927359143387843</v>
      </c>
      <c r="G1446" t="str">
        <f t="shared" si="45"/>
        <v>16598606,16299059,0.00927359143387843</v>
      </c>
    </row>
    <row r="1447" spans="1:7" x14ac:dyDescent="0.25">
      <c r="A1447" s="1" t="s">
        <v>703</v>
      </c>
      <c r="B1447" s="1" t="s">
        <v>1257</v>
      </c>
      <c r="C1447" s="1" t="s">
        <v>704</v>
      </c>
      <c r="D1447">
        <f>IFERROR(VLOOKUP(A1447,depara!A:B,2,0),A1447)</f>
        <v>16598607</v>
      </c>
      <c r="E1447">
        <f>VLOOKUP(B1447,'inumos depara'!$A:$B,2,0)</f>
        <v>16298836</v>
      </c>
      <c r="F1447" s="1" t="str">
        <f t="shared" si="44"/>
        <v>0.00377370375036125</v>
      </c>
      <c r="G1447" t="str">
        <f t="shared" si="45"/>
        <v>16598607,16298836,0.00377370375036125</v>
      </c>
    </row>
    <row r="1448" spans="1:7" x14ac:dyDescent="0.25">
      <c r="A1448" s="1" t="s">
        <v>703</v>
      </c>
      <c r="B1448" s="1" t="s">
        <v>705</v>
      </c>
      <c r="C1448" s="1" t="s">
        <v>706</v>
      </c>
      <c r="D1448">
        <f>IFERROR(VLOOKUP(A1448,depara!A:B,2,0),A1448)</f>
        <v>16598607</v>
      </c>
      <c r="E1448">
        <f>VLOOKUP(B1448,'inumos depara'!$A:$B,2,0)</f>
        <v>16299060</v>
      </c>
      <c r="F1448" s="1" t="str">
        <f t="shared" si="44"/>
        <v>0.00135979310395933</v>
      </c>
      <c r="G1448" t="str">
        <f t="shared" si="45"/>
        <v>16598607,16299060,0.00135979310395933</v>
      </c>
    </row>
    <row r="1449" spans="1:7" x14ac:dyDescent="0.25">
      <c r="A1449" s="1" t="s">
        <v>703</v>
      </c>
      <c r="B1449" s="1" t="s">
        <v>1443</v>
      </c>
      <c r="C1449" s="1" t="s">
        <v>707</v>
      </c>
      <c r="D1449">
        <f>IFERROR(VLOOKUP(A1449,depara!A:B,2,0),A1449)</f>
        <v>16598607</v>
      </c>
      <c r="E1449">
        <f>VLOOKUP(B1449,'inumos depara'!$A:$B,2,0)</f>
        <v>16298809</v>
      </c>
      <c r="F1449" s="1" t="str">
        <f t="shared" si="44"/>
        <v>0.0100002223094993</v>
      </c>
      <c r="G1449" t="str">
        <f t="shared" si="45"/>
        <v>16598607,16298809,0.0100002223094993</v>
      </c>
    </row>
    <row r="1450" spans="1:7" x14ac:dyDescent="0.25">
      <c r="A1450" s="1" t="s">
        <v>708</v>
      </c>
      <c r="B1450" s="1" t="s">
        <v>1241</v>
      </c>
      <c r="C1450" s="1" t="s">
        <v>709</v>
      </c>
      <c r="D1450">
        <f>IFERROR(VLOOKUP(A1450,depara!A:B,2,0),A1450)</f>
        <v>16598608</v>
      </c>
      <c r="E1450">
        <f>VLOOKUP(B1450,'inumos depara'!$A:$B,2,0)</f>
        <v>16298796</v>
      </c>
      <c r="F1450" s="1" t="str">
        <f t="shared" si="44"/>
        <v>0.00386190422022523</v>
      </c>
      <c r="G1450" t="str">
        <f t="shared" si="45"/>
        <v>16598608,16298796,0.00386190422022523</v>
      </c>
    </row>
    <row r="1451" spans="1:7" x14ac:dyDescent="0.25">
      <c r="A1451" s="1" t="s">
        <v>708</v>
      </c>
      <c r="B1451" s="1" t="s">
        <v>710</v>
      </c>
      <c r="C1451" s="1" t="s">
        <v>711</v>
      </c>
      <c r="D1451">
        <f>IFERROR(VLOOKUP(A1451,depara!A:B,2,0),A1451)</f>
        <v>16598608</v>
      </c>
      <c r="E1451">
        <f>VLOOKUP(B1451,'inumos depara'!$A:$B,2,0)</f>
        <v>16299061</v>
      </c>
      <c r="F1451" s="1" t="str">
        <f t="shared" si="44"/>
        <v>0.00135744890607819</v>
      </c>
      <c r="G1451" t="str">
        <f t="shared" si="45"/>
        <v>16598608,16299061,0.00135744890607819</v>
      </c>
    </row>
    <row r="1452" spans="1:7" x14ac:dyDescent="0.25">
      <c r="A1452" s="1" t="s">
        <v>708</v>
      </c>
      <c r="B1452" s="1" t="s">
        <v>1443</v>
      </c>
      <c r="C1452" s="1" t="s">
        <v>712</v>
      </c>
      <c r="D1452">
        <f>IFERROR(VLOOKUP(A1452,depara!A:B,2,0),A1452)</f>
        <v>16598608</v>
      </c>
      <c r="E1452">
        <f>VLOOKUP(B1452,'inumos depara'!$A:$B,2,0)</f>
        <v>16298809</v>
      </c>
      <c r="F1452" s="1" t="str">
        <f t="shared" si="44"/>
        <v>0.00999886247298373</v>
      </c>
      <c r="G1452" t="str">
        <f t="shared" si="45"/>
        <v>16598608,16298809,0.00999886247298373</v>
      </c>
    </row>
    <row r="1453" spans="1:7" x14ac:dyDescent="0.25">
      <c r="A1453" s="1" t="s">
        <v>713</v>
      </c>
      <c r="B1453" s="1" t="s">
        <v>1151</v>
      </c>
      <c r="C1453" s="1" t="s">
        <v>4</v>
      </c>
      <c r="D1453" t="str">
        <f>IFERROR(VLOOKUP(A1453,depara!A:B,2,0),A1453)</f>
        <v>P0001754</v>
      </c>
      <c r="E1453">
        <f>VLOOKUP(B1453,'inumos depara'!$A:$B,2,0)</f>
        <v>16298562</v>
      </c>
      <c r="F1453" s="1" t="str">
        <f t="shared" si="44"/>
        <v>0.005</v>
      </c>
      <c r="G1453" t="str">
        <f t="shared" si="45"/>
        <v>P0001754,16298562,0.005</v>
      </c>
    </row>
    <row r="1454" spans="1:7" x14ac:dyDescent="0.25">
      <c r="A1454" s="1" t="s">
        <v>713</v>
      </c>
      <c r="B1454" s="1" t="s">
        <v>1147</v>
      </c>
      <c r="C1454" s="1" t="s">
        <v>0</v>
      </c>
      <c r="D1454" t="str">
        <f>IFERROR(VLOOKUP(A1454,depara!A:B,2,0),A1454)</f>
        <v>P0001754</v>
      </c>
      <c r="E1454">
        <f>VLOOKUP(B1454,'inumos depara'!$A:$B,2,0)</f>
        <v>16298559</v>
      </c>
      <c r="F1454" s="1" t="str">
        <f t="shared" si="44"/>
        <v>0.05</v>
      </c>
      <c r="G1454" t="str">
        <f t="shared" si="45"/>
        <v>P0001754,16298559,0.05</v>
      </c>
    </row>
    <row r="1455" spans="1:7" x14ac:dyDescent="0.25">
      <c r="A1455" s="1" t="s">
        <v>713</v>
      </c>
      <c r="B1455" s="1" t="s">
        <v>1158</v>
      </c>
      <c r="C1455" s="1" t="s">
        <v>7</v>
      </c>
      <c r="D1455" t="str">
        <f>IFERROR(VLOOKUP(A1455,depara!A:B,2,0),A1455)</f>
        <v>P0001754</v>
      </c>
      <c r="E1455">
        <f>VLOOKUP(B1455,'inumos depara'!$A:$B,2,0)</f>
        <v>16298569</v>
      </c>
      <c r="F1455" s="1" t="str">
        <f t="shared" si="44"/>
        <v>0.025</v>
      </c>
      <c r="G1455" t="str">
        <f t="shared" si="45"/>
        <v>P0001754,16298569,0.025</v>
      </c>
    </row>
    <row r="1456" spans="1:7" x14ac:dyDescent="0.25">
      <c r="A1456" s="1" t="s">
        <v>713</v>
      </c>
      <c r="B1456" s="1" t="s">
        <v>1156</v>
      </c>
      <c r="C1456" s="1" t="s">
        <v>4</v>
      </c>
      <c r="D1456" t="str">
        <f>IFERROR(VLOOKUP(A1456,depara!A:B,2,0),A1456)</f>
        <v>P0001754</v>
      </c>
      <c r="E1456">
        <f>VLOOKUP(B1456,'inumos depara'!$A:$B,2,0)</f>
        <v>16298567</v>
      </c>
      <c r="F1456" s="1" t="str">
        <f t="shared" si="44"/>
        <v>0.005</v>
      </c>
      <c r="G1456" t="str">
        <f t="shared" si="45"/>
        <v>P0001754,16298567,0.005</v>
      </c>
    </row>
    <row r="1457" spans="1:7" x14ac:dyDescent="0.25">
      <c r="A1457" s="1" t="s">
        <v>713</v>
      </c>
      <c r="B1457" s="1" t="s">
        <v>1251</v>
      </c>
      <c r="C1457" s="1" t="s">
        <v>5</v>
      </c>
      <c r="D1457" t="str">
        <f>IFERROR(VLOOKUP(A1457,depara!A:B,2,0),A1457)</f>
        <v>P0001754</v>
      </c>
      <c r="E1457">
        <f>VLOOKUP(B1457,'inumos depara'!$A:$B,2,0)</f>
        <v>16298653</v>
      </c>
      <c r="F1457" s="1" t="str">
        <f t="shared" si="44"/>
        <v>0.002</v>
      </c>
      <c r="G1457" t="str">
        <f t="shared" si="45"/>
        <v>P0001754,16298653,0.002</v>
      </c>
    </row>
    <row r="1458" spans="1:7" x14ac:dyDescent="0.25">
      <c r="A1458" s="1" t="s">
        <v>713</v>
      </c>
      <c r="B1458" s="1" t="s">
        <v>1157</v>
      </c>
      <c r="C1458" s="1" t="s">
        <v>6</v>
      </c>
      <c r="D1458" t="str">
        <f>IFERROR(VLOOKUP(A1458,depara!A:B,2,0),A1458)</f>
        <v>P0001754</v>
      </c>
      <c r="E1458">
        <f>VLOOKUP(B1458,'inumos depara'!$A:$B,2,0)</f>
        <v>16298568</v>
      </c>
      <c r="F1458" s="1" t="str">
        <f t="shared" si="44"/>
        <v>0.01</v>
      </c>
      <c r="G1458" t="str">
        <f t="shared" si="45"/>
        <v>P0001754,16298568,0.01</v>
      </c>
    </row>
    <row r="1459" spans="1:7" x14ac:dyDescent="0.25">
      <c r="A1459" s="1" t="s">
        <v>713</v>
      </c>
      <c r="B1459" s="1" t="s">
        <v>1159</v>
      </c>
      <c r="C1459" s="1" t="s">
        <v>4</v>
      </c>
      <c r="D1459" t="str">
        <f>IFERROR(VLOOKUP(A1459,depara!A:B,2,0),A1459)</f>
        <v>P0001754</v>
      </c>
      <c r="E1459">
        <f>VLOOKUP(B1459,'inumos depara'!$A:$B,2,0)</f>
        <v>16298570</v>
      </c>
      <c r="F1459" s="1" t="str">
        <f t="shared" si="44"/>
        <v>0.005</v>
      </c>
      <c r="G1459" t="str">
        <f t="shared" si="45"/>
        <v>P0001754,16298570,0.005</v>
      </c>
    </row>
    <row r="1460" spans="1:7" x14ac:dyDescent="0.25">
      <c r="A1460" s="1" t="s">
        <v>713</v>
      </c>
      <c r="B1460" s="1" t="s">
        <v>1148</v>
      </c>
      <c r="C1460" s="1" t="s">
        <v>3</v>
      </c>
      <c r="D1460" t="str">
        <f>IFERROR(VLOOKUP(A1460,depara!A:B,2,0),A1460)</f>
        <v>P0001754</v>
      </c>
      <c r="E1460">
        <f>VLOOKUP(B1460,'inumos depara'!$A:$B,2,0)</f>
        <v>16298560</v>
      </c>
      <c r="F1460" s="1" t="str">
        <f t="shared" si="44"/>
        <v>0.055</v>
      </c>
      <c r="G1460" t="str">
        <f t="shared" si="45"/>
        <v>P0001754,16298560,0.055</v>
      </c>
    </row>
    <row r="1461" spans="1:7" x14ac:dyDescent="0.25">
      <c r="A1461" s="1" t="s">
        <v>713</v>
      </c>
      <c r="B1461" s="1" t="s">
        <v>1160</v>
      </c>
      <c r="C1461" s="1" t="s">
        <v>8</v>
      </c>
      <c r="D1461" t="str">
        <f>IFERROR(VLOOKUP(A1461,depara!A:B,2,0),A1461)</f>
        <v>P0001754</v>
      </c>
      <c r="E1461">
        <f>VLOOKUP(B1461,'inumos depara'!$A:$B,2,0)</f>
        <v>16298571</v>
      </c>
      <c r="F1461" s="1" t="str">
        <f t="shared" si="44"/>
        <v>0.06</v>
      </c>
      <c r="G1461" t="str">
        <f t="shared" si="45"/>
        <v>P0001754,16298571,0.06</v>
      </c>
    </row>
    <row r="1462" spans="1:7" x14ac:dyDescent="0.25">
      <c r="A1462" s="1" t="s">
        <v>713</v>
      </c>
      <c r="B1462" s="1" t="s">
        <v>1161</v>
      </c>
      <c r="C1462" s="1" t="s">
        <v>8</v>
      </c>
      <c r="D1462" t="str">
        <f>IFERROR(VLOOKUP(A1462,depara!A:B,2,0),A1462)</f>
        <v>P0001754</v>
      </c>
      <c r="E1462">
        <f>VLOOKUP(B1462,'inumos depara'!$A:$B,2,0)</f>
        <v>16298572</v>
      </c>
      <c r="F1462" s="1" t="str">
        <f t="shared" si="44"/>
        <v>0.06</v>
      </c>
      <c r="G1462" t="str">
        <f t="shared" si="45"/>
        <v>P0001754,16298572,0.06</v>
      </c>
    </row>
    <row r="1463" spans="1:7" x14ac:dyDescent="0.25">
      <c r="A1463" s="1" t="s">
        <v>713</v>
      </c>
      <c r="B1463" s="1" t="s">
        <v>1144</v>
      </c>
      <c r="C1463" s="1" t="s">
        <v>0</v>
      </c>
      <c r="D1463" t="str">
        <f>IFERROR(VLOOKUP(A1463,depara!A:B,2,0),A1463)</f>
        <v>P0001754</v>
      </c>
      <c r="E1463">
        <f>VLOOKUP(B1463,'inumos depara'!$A:$B,2,0)</f>
        <v>16298556</v>
      </c>
      <c r="F1463" s="1" t="str">
        <f t="shared" si="44"/>
        <v>0.05</v>
      </c>
      <c r="G1463" t="str">
        <f t="shared" si="45"/>
        <v>P0001754,16298556,0.05</v>
      </c>
    </row>
    <row r="1464" spans="1:7" x14ac:dyDescent="0.25">
      <c r="A1464" s="1" t="s">
        <v>713</v>
      </c>
      <c r="B1464" s="1" t="s">
        <v>1145</v>
      </c>
      <c r="C1464" s="1" t="s">
        <v>1</v>
      </c>
      <c r="D1464" t="str">
        <f>IFERROR(VLOOKUP(A1464,depara!A:B,2,0),A1464)</f>
        <v>P0001754</v>
      </c>
      <c r="E1464">
        <f>VLOOKUP(B1464,'inumos depara'!$A:$B,2,0)</f>
        <v>16298557</v>
      </c>
      <c r="F1464" s="1" t="str">
        <f t="shared" si="44"/>
        <v>0.003</v>
      </c>
      <c r="G1464" t="str">
        <f t="shared" si="45"/>
        <v>P0001754,16298557,0.003</v>
      </c>
    </row>
    <row r="1465" spans="1:7" x14ac:dyDescent="0.25">
      <c r="A1465" s="1" t="s">
        <v>713</v>
      </c>
      <c r="B1465" s="1" t="s">
        <v>1146</v>
      </c>
      <c r="C1465" s="1" t="s">
        <v>714</v>
      </c>
      <c r="D1465" t="str">
        <f>IFERROR(VLOOKUP(A1465,depara!A:B,2,0),A1465)</f>
        <v>P0001754</v>
      </c>
      <c r="E1465">
        <f>VLOOKUP(B1465,'inumos depara'!$A:$B,2,0)</f>
        <v>16298558</v>
      </c>
      <c r="F1465" s="1" t="str">
        <f t="shared" si="44"/>
        <v>0.00132</v>
      </c>
      <c r="G1465" t="str">
        <f t="shared" si="45"/>
        <v>P0001754,16298558,0.00132</v>
      </c>
    </row>
    <row r="1466" spans="1:7" x14ac:dyDescent="0.25">
      <c r="A1466" s="1" t="s">
        <v>713</v>
      </c>
      <c r="B1466" s="1" t="s">
        <v>1154</v>
      </c>
      <c r="C1466" s="1" t="s">
        <v>5</v>
      </c>
      <c r="D1466" t="str">
        <f>IFERROR(VLOOKUP(A1466,depara!A:B,2,0),A1466)</f>
        <v>P0001754</v>
      </c>
      <c r="E1466">
        <f>VLOOKUP(B1466,'inumos depara'!$A:$B,2,0)</f>
        <v>16298565</v>
      </c>
      <c r="F1466" s="1" t="str">
        <f t="shared" si="44"/>
        <v>0.002</v>
      </c>
      <c r="G1466" t="str">
        <f t="shared" si="45"/>
        <v>P0001754,16298565,0.002</v>
      </c>
    </row>
    <row r="1467" spans="1:7" x14ac:dyDescent="0.25">
      <c r="A1467" s="1" t="s">
        <v>713</v>
      </c>
      <c r="B1467" s="1" t="s">
        <v>1155</v>
      </c>
      <c r="C1467" s="1" t="s">
        <v>4</v>
      </c>
      <c r="D1467" t="str">
        <f>IFERROR(VLOOKUP(A1467,depara!A:B,2,0),A1467)</f>
        <v>P0001754</v>
      </c>
      <c r="E1467">
        <f>VLOOKUP(B1467,'inumos depara'!$A:$B,2,0)</f>
        <v>16298566</v>
      </c>
      <c r="F1467" s="1" t="str">
        <f t="shared" si="44"/>
        <v>0.005</v>
      </c>
      <c r="G1467" t="str">
        <f t="shared" si="45"/>
        <v>P0001754,16298566,0.005</v>
      </c>
    </row>
    <row r="1468" spans="1:7" x14ac:dyDescent="0.25">
      <c r="A1468" s="1" t="s">
        <v>715</v>
      </c>
      <c r="B1468" s="1" t="s">
        <v>716</v>
      </c>
      <c r="C1468" s="1" t="s">
        <v>717</v>
      </c>
      <c r="D1468">
        <f>IFERROR(VLOOKUP(A1468,depara!A:B,2,0),A1468)</f>
        <v>16598609</v>
      </c>
      <c r="E1468">
        <f>VLOOKUP(B1468,'inumos depara'!$A:$B,2,0)</f>
        <v>16299062</v>
      </c>
      <c r="F1468" s="1" t="str">
        <f t="shared" si="44"/>
        <v>0.00167120158554201</v>
      </c>
      <c r="G1468" t="str">
        <f t="shared" si="45"/>
        <v>16598609,16299062,0.00167120158554201</v>
      </c>
    </row>
    <row r="1469" spans="1:7" x14ac:dyDescent="0.25">
      <c r="A1469" s="1" t="s">
        <v>715</v>
      </c>
      <c r="B1469" s="1" t="s">
        <v>1443</v>
      </c>
      <c r="C1469" s="1" t="s">
        <v>718</v>
      </c>
      <c r="D1469">
        <f>IFERROR(VLOOKUP(A1469,depara!A:B,2,0),A1469)</f>
        <v>16598609</v>
      </c>
      <c r="E1469">
        <f>VLOOKUP(B1469,'inumos depara'!$A:$B,2,0)</f>
        <v>16298809</v>
      </c>
      <c r="F1469" s="1" t="str">
        <f t="shared" si="44"/>
        <v>0.0100020155195002</v>
      </c>
      <c r="G1469" t="str">
        <f t="shared" si="45"/>
        <v>16598609,16298809,0.0100020155195002</v>
      </c>
    </row>
    <row r="1470" spans="1:7" x14ac:dyDescent="0.25">
      <c r="A1470" s="1" t="s">
        <v>715</v>
      </c>
      <c r="B1470" s="1" t="s">
        <v>719</v>
      </c>
      <c r="C1470" s="1" t="s">
        <v>720</v>
      </c>
      <c r="D1470">
        <f>IFERROR(VLOOKUP(A1470,depara!A:B,2,0),A1470)</f>
        <v>16598609</v>
      </c>
      <c r="E1470">
        <f>VLOOKUP(B1470,'inumos depara'!$A:$B,2,0)</f>
        <v>16299063</v>
      </c>
      <c r="F1470" s="1" t="str">
        <f t="shared" si="44"/>
        <v>0.00868562934596392</v>
      </c>
      <c r="G1470" t="str">
        <f t="shared" si="45"/>
        <v>16598609,16299063,0.00868562934596392</v>
      </c>
    </row>
    <row r="1471" spans="1:7" x14ac:dyDescent="0.25">
      <c r="A1471" s="1" t="s">
        <v>721</v>
      </c>
      <c r="B1471" s="1" t="s">
        <v>722</v>
      </c>
      <c r="C1471" s="1" t="s">
        <v>1604</v>
      </c>
      <c r="D1471">
        <f>IFERROR(VLOOKUP(A1471,depara!A:B,2,0),A1471)</f>
        <v>16598610</v>
      </c>
      <c r="E1471">
        <f>VLOOKUP(B1471,'inumos depara'!$A:$B,2,0)</f>
        <v>16299064</v>
      </c>
      <c r="F1471" s="1" t="str">
        <f t="shared" si="44"/>
        <v>1.04999661269562</v>
      </c>
      <c r="G1471" t="str">
        <f t="shared" si="45"/>
        <v>16598610,16299064,1.04999661269562</v>
      </c>
    </row>
    <row r="1472" spans="1:7" x14ac:dyDescent="0.25">
      <c r="A1472" s="1" t="s">
        <v>721</v>
      </c>
      <c r="B1472" s="1" t="s">
        <v>404</v>
      </c>
      <c r="C1472" s="1" t="s">
        <v>723</v>
      </c>
      <c r="D1472">
        <f>IFERROR(VLOOKUP(A1472,depara!A:B,2,0),A1472)</f>
        <v>16598610</v>
      </c>
      <c r="E1472">
        <f>VLOOKUP(B1472,'inumos depara'!$A:$B,2,0)</f>
        <v>16298893</v>
      </c>
      <c r="F1472" s="1" t="str">
        <f t="shared" si="44"/>
        <v>0.0625296389133528</v>
      </c>
      <c r="G1472" t="str">
        <f t="shared" si="45"/>
        <v>16598610,16298893,0.0625296389133528</v>
      </c>
    </row>
    <row r="1473" spans="1:7" x14ac:dyDescent="0.25">
      <c r="A1473" s="1" t="s">
        <v>721</v>
      </c>
      <c r="B1473" s="1" t="s">
        <v>719</v>
      </c>
      <c r="C1473" s="1" t="s">
        <v>724</v>
      </c>
      <c r="D1473">
        <f>IFERROR(VLOOKUP(A1473,depara!A:B,2,0),A1473)</f>
        <v>16598610</v>
      </c>
      <c r="E1473">
        <f>VLOOKUP(B1473,'inumos depara'!$A:$B,2,0)</f>
        <v>16299063</v>
      </c>
      <c r="F1473" s="1" t="str">
        <f t="shared" si="44"/>
        <v>0.210199173497731</v>
      </c>
      <c r="G1473" t="str">
        <f t="shared" si="45"/>
        <v>16598610,16299063,0.210199173497731</v>
      </c>
    </row>
    <row r="1474" spans="1:7" x14ac:dyDescent="0.25">
      <c r="A1474" s="1" t="s">
        <v>725</v>
      </c>
      <c r="B1474" s="1" t="s">
        <v>726</v>
      </c>
      <c r="C1474" s="1" t="s">
        <v>717</v>
      </c>
      <c r="D1474">
        <f>IFERROR(VLOOKUP(A1474,depara!A:B,2,0),A1474)</f>
        <v>16598611</v>
      </c>
      <c r="E1474">
        <f>VLOOKUP(B1474,'inumos depara'!$A:$B,2,0)</f>
        <v>16299065</v>
      </c>
      <c r="F1474" s="1" t="str">
        <f t="shared" ref="F1474:F1537" si="46">C1474</f>
        <v>0.00167120158554201</v>
      </c>
      <c r="G1474" t="str">
        <f t="shared" ref="G1474:G1537" si="47">D1474&amp;","&amp;E1474&amp;","&amp;F1474</f>
        <v>16598611,16299065,0.00167120158554201</v>
      </c>
    </row>
    <row r="1475" spans="1:7" x14ac:dyDescent="0.25">
      <c r="A1475" s="1" t="s">
        <v>725</v>
      </c>
      <c r="B1475" s="1" t="s">
        <v>1443</v>
      </c>
      <c r="C1475" s="1" t="s">
        <v>718</v>
      </c>
      <c r="D1475">
        <f>IFERROR(VLOOKUP(A1475,depara!A:B,2,0),A1475)</f>
        <v>16598611</v>
      </c>
      <c r="E1475">
        <f>VLOOKUP(B1475,'inumos depara'!$A:$B,2,0)</f>
        <v>16298809</v>
      </c>
      <c r="F1475" s="1" t="str">
        <f t="shared" si="46"/>
        <v>0.0100020155195002</v>
      </c>
      <c r="G1475" t="str">
        <f t="shared" si="47"/>
        <v>16598611,16298809,0.0100020155195002</v>
      </c>
    </row>
    <row r="1476" spans="1:7" x14ac:dyDescent="0.25">
      <c r="A1476" s="1" t="s">
        <v>725</v>
      </c>
      <c r="B1476" s="1" t="s">
        <v>727</v>
      </c>
      <c r="C1476" s="1" t="s">
        <v>720</v>
      </c>
      <c r="D1476">
        <f>IFERROR(VLOOKUP(A1476,depara!A:B,2,0),A1476)</f>
        <v>16598611</v>
      </c>
      <c r="E1476">
        <f>VLOOKUP(B1476,'inumos depara'!$A:$B,2,0)</f>
        <v>16299066</v>
      </c>
      <c r="F1476" s="1" t="str">
        <f t="shared" si="46"/>
        <v>0.00868562934596392</v>
      </c>
      <c r="G1476" t="str">
        <f t="shared" si="47"/>
        <v>16598611,16299066,0.00868562934596392</v>
      </c>
    </row>
    <row r="1477" spans="1:7" x14ac:dyDescent="0.25">
      <c r="A1477" s="1" t="s">
        <v>728</v>
      </c>
      <c r="B1477" s="1" t="s">
        <v>729</v>
      </c>
      <c r="C1477" s="1" t="s">
        <v>1604</v>
      </c>
      <c r="D1477">
        <f>IFERROR(VLOOKUP(A1477,depara!A:B,2,0),A1477)</f>
        <v>16598612</v>
      </c>
      <c r="E1477">
        <f>VLOOKUP(B1477,'inumos depara'!$A:$B,2,0)</f>
        <v>16299067</v>
      </c>
      <c r="F1477" s="1" t="str">
        <f t="shared" si="46"/>
        <v>1.04999661269562</v>
      </c>
      <c r="G1477" t="str">
        <f t="shared" si="47"/>
        <v>16598612,16299067,1.04999661269562</v>
      </c>
    </row>
    <row r="1478" spans="1:7" x14ac:dyDescent="0.25">
      <c r="A1478" s="1" t="s">
        <v>728</v>
      </c>
      <c r="B1478" s="1" t="s">
        <v>404</v>
      </c>
      <c r="C1478" s="1" t="s">
        <v>723</v>
      </c>
      <c r="D1478">
        <f>IFERROR(VLOOKUP(A1478,depara!A:B,2,0),A1478)</f>
        <v>16598612</v>
      </c>
      <c r="E1478">
        <f>VLOOKUP(B1478,'inumos depara'!$A:$B,2,0)</f>
        <v>16298893</v>
      </c>
      <c r="F1478" s="1" t="str">
        <f t="shared" si="46"/>
        <v>0.0625296389133528</v>
      </c>
      <c r="G1478" t="str">
        <f t="shared" si="47"/>
        <v>16598612,16298893,0.0625296389133528</v>
      </c>
    </row>
    <row r="1479" spans="1:7" x14ac:dyDescent="0.25">
      <c r="A1479" s="1" t="s">
        <v>728</v>
      </c>
      <c r="B1479" s="1" t="s">
        <v>727</v>
      </c>
      <c r="C1479" s="1" t="s">
        <v>724</v>
      </c>
      <c r="D1479">
        <f>IFERROR(VLOOKUP(A1479,depara!A:B,2,0),A1479)</f>
        <v>16598612</v>
      </c>
      <c r="E1479">
        <f>VLOOKUP(B1479,'inumos depara'!$A:$B,2,0)</f>
        <v>16299066</v>
      </c>
      <c r="F1479" s="1" t="str">
        <f t="shared" si="46"/>
        <v>0.210199173497731</v>
      </c>
      <c r="G1479" t="str">
        <f t="shared" si="47"/>
        <v>16598612,16299066,0.210199173497731</v>
      </c>
    </row>
    <row r="1480" spans="1:7" x14ac:dyDescent="0.25">
      <c r="A1480" s="1" t="s">
        <v>730</v>
      </c>
      <c r="B1480" s="1" t="s">
        <v>731</v>
      </c>
      <c r="C1480" s="1" t="s">
        <v>1605</v>
      </c>
      <c r="D1480">
        <f>IFERROR(VLOOKUP(A1480,depara!A:B,2,0),A1480)</f>
        <v>16598613</v>
      </c>
      <c r="E1480">
        <f>VLOOKUP(B1480,'inumos depara'!$A:$B,2,0)</f>
        <v>16299068</v>
      </c>
      <c r="F1480" s="1" t="str">
        <f t="shared" si="46"/>
        <v>1.00488997555012</v>
      </c>
      <c r="G1480" t="str">
        <f t="shared" si="47"/>
        <v>16598613,16299068,1.00488997555012</v>
      </c>
    </row>
    <row r="1481" spans="1:7" x14ac:dyDescent="0.25">
      <c r="A1481" s="1" t="s">
        <v>730</v>
      </c>
      <c r="B1481" s="1" t="s">
        <v>732</v>
      </c>
      <c r="C1481" s="1" t="s">
        <v>1605</v>
      </c>
      <c r="D1481">
        <f>IFERROR(VLOOKUP(A1481,depara!A:B,2,0),A1481)</f>
        <v>16598613</v>
      </c>
      <c r="E1481">
        <f>VLOOKUP(B1481,'inumos depara'!$A:$B,2,0)</f>
        <v>16299069</v>
      </c>
      <c r="F1481" s="1" t="str">
        <f t="shared" si="46"/>
        <v>1.00488997555012</v>
      </c>
      <c r="G1481" t="str">
        <f t="shared" si="47"/>
        <v>16598613,16299069,1.00488997555012</v>
      </c>
    </row>
    <row r="1482" spans="1:7" x14ac:dyDescent="0.25">
      <c r="A1482" s="1" t="s">
        <v>730</v>
      </c>
      <c r="B1482" s="1" t="s">
        <v>594</v>
      </c>
      <c r="C1482" s="1" t="s">
        <v>733</v>
      </c>
      <c r="D1482">
        <f>IFERROR(VLOOKUP(A1482,depara!A:B,2,0),A1482)</f>
        <v>16598613</v>
      </c>
      <c r="E1482">
        <f>VLOOKUP(B1482,'inumos depara'!$A:$B,2,0)</f>
        <v>16299017</v>
      </c>
      <c r="F1482" s="1" t="str">
        <f t="shared" si="46"/>
        <v>0.0831295843520782</v>
      </c>
      <c r="G1482" t="str">
        <f t="shared" si="47"/>
        <v>16598613,16299017,0.0831295843520782</v>
      </c>
    </row>
    <row r="1483" spans="1:7" x14ac:dyDescent="0.25">
      <c r="A1483" s="1" t="s">
        <v>730</v>
      </c>
      <c r="B1483" s="1" t="s">
        <v>727</v>
      </c>
      <c r="C1483" s="1" t="s">
        <v>734</v>
      </c>
      <c r="D1483">
        <f>IFERROR(VLOOKUP(A1483,depara!A:B,2,0),A1483)</f>
        <v>16598613</v>
      </c>
      <c r="E1483">
        <f>VLOOKUP(B1483,'inumos depara'!$A:$B,2,0)</f>
        <v>16299066</v>
      </c>
      <c r="F1483" s="1" t="str">
        <f t="shared" si="46"/>
        <v>0.421454767726161</v>
      </c>
      <c r="G1483" t="str">
        <f t="shared" si="47"/>
        <v>16598613,16299066,0.421454767726161</v>
      </c>
    </row>
    <row r="1484" spans="1:7" x14ac:dyDescent="0.25">
      <c r="A1484" s="1" t="s">
        <v>735</v>
      </c>
      <c r="B1484" s="1" t="s">
        <v>736</v>
      </c>
      <c r="C1484" s="1" t="s">
        <v>737</v>
      </c>
      <c r="D1484">
        <f>IFERROR(VLOOKUP(A1484,depara!A:B,2,0),A1484)</f>
        <v>16598614</v>
      </c>
      <c r="E1484">
        <f>VLOOKUP(B1484,'inumos depara'!$A:$B,2,0)</f>
        <v>16299070</v>
      </c>
      <c r="F1484" s="1" t="str">
        <f t="shared" si="46"/>
        <v>0.00166929844349199</v>
      </c>
      <c r="G1484" t="str">
        <f t="shared" si="47"/>
        <v>16598614,16299070,0.00166929844349199</v>
      </c>
    </row>
    <row r="1485" spans="1:7" x14ac:dyDescent="0.25">
      <c r="A1485" s="1" t="s">
        <v>735</v>
      </c>
      <c r="B1485" s="1" t="s">
        <v>1443</v>
      </c>
      <c r="C1485" s="1" t="s">
        <v>738</v>
      </c>
      <c r="D1485">
        <f>IFERROR(VLOOKUP(A1485,depara!A:B,2,0),A1485)</f>
        <v>16598614</v>
      </c>
      <c r="E1485">
        <f>VLOOKUP(B1485,'inumos depara'!$A:$B,2,0)</f>
        <v>16298809</v>
      </c>
      <c r="F1485" s="1" t="str">
        <f t="shared" si="46"/>
        <v>0.00999774419129258</v>
      </c>
      <c r="G1485" t="str">
        <f t="shared" si="47"/>
        <v>16598614,16298809,0.00999774419129258</v>
      </c>
    </row>
    <row r="1486" spans="1:7" x14ac:dyDescent="0.25">
      <c r="A1486" s="1" t="s">
        <v>735</v>
      </c>
      <c r="B1486" s="1" t="s">
        <v>529</v>
      </c>
      <c r="C1486" s="1" t="s">
        <v>739</v>
      </c>
      <c r="D1486">
        <f>IFERROR(VLOOKUP(A1486,depara!A:B,2,0),A1486)</f>
        <v>16598614</v>
      </c>
      <c r="E1486">
        <f>VLOOKUP(B1486,'inumos depara'!$A:$B,2,0)</f>
        <v>16299071</v>
      </c>
      <c r="F1486" s="1" t="str">
        <f t="shared" si="46"/>
        <v>0.00937965260545906</v>
      </c>
      <c r="G1486" t="str">
        <f t="shared" si="47"/>
        <v>16598614,16299071,0.00937965260545906</v>
      </c>
    </row>
    <row r="1487" spans="1:7" x14ac:dyDescent="0.25">
      <c r="A1487" s="1" t="s">
        <v>740</v>
      </c>
      <c r="B1487" s="1" t="s">
        <v>1339</v>
      </c>
      <c r="C1487" s="1" t="s">
        <v>1606</v>
      </c>
      <c r="D1487">
        <f>IFERROR(VLOOKUP(A1487,depara!A:B,2,0),A1487)</f>
        <v>16598615</v>
      </c>
      <c r="E1487">
        <f>VLOOKUP(B1487,'inumos depara'!$A:$B,2,0)</f>
        <v>16298732</v>
      </c>
      <c r="F1487" s="1" t="str">
        <f t="shared" si="46"/>
        <v>1.00497512437811</v>
      </c>
      <c r="G1487" t="str">
        <f t="shared" si="47"/>
        <v>16598615,16298732,1.00497512437811</v>
      </c>
    </row>
    <row r="1488" spans="1:7" x14ac:dyDescent="0.25">
      <c r="A1488" s="1" t="s">
        <v>740</v>
      </c>
      <c r="B1488" s="1" t="s">
        <v>741</v>
      </c>
      <c r="C1488" s="1" t="s">
        <v>1606</v>
      </c>
      <c r="D1488">
        <f>IFERROR(VLOOKUP(A1488,depara!A:B,2,0),A1488)</f>
        <v>16598615</v>
      </c>
      <c r="E1488">
        <f>VLOOKUP(B1488,'inumos depara'!$A:$B,2,0)</f>
        <v>16299072</v>
      </c>
      <c r="F1488" s="1" t="str">
        <f t="shared" si="46"/>
        <v>1.00497512437811</v>
      </c>
      <c r="G1488" t="str">
        <f t="shared" si="47"/>
        <v>16598615,16299072,1.00497512437811</v>
      </c>
    </row>
    <row r="1489" spans="1:7" x14ac:dyDescent="0.25">
      <c r="A1489" s="1" t="s">
        <v>740</v>
      </c>
      <c r="B1489" s="1" t="s">
        <v>742</v>
      </c>
      <c r="C1489" s="1" t="s">
        <v>1607</v>
      </c>
      <c r="D1489">
        <f>IFERROR(VLOOKUP(A1489,depara!A:B,2,0),A1489)</f>
        <v>16598615</v>
      </c>
      <c r="E1489">
        <f>VLOOKUP(B1489,'inumos depara'!$A:$B,2,0)</f>
        <v>16299073</v>
      </c>
      <c r="F1489" s="1" t="str">
        <f t="shared" si="46"/>
        <v>1.03497817037263</v>
      </c>
      <c r="G1489" t="str">
        <f t="shared" si="47"/>
        <v>16598615,16299073,1.03497817037263</v>
      </c>
    </row>
    <row r="1490" spans="1:7" x14ac:dyDescent="0.25">
      <c r="A1490" s="1" t="s">
        <v>740</v>
      </c>
      <c r="B1490" s="1" t="s">
        <v>743</v>
      </c>
      <c r="C1490" s="1" t="s">
        <v>1608</v>
      </c>
      <c r="D1490">
        <f>IFERROR(VLOOKUP(A1490,depara!A:B,2,0),A1490)</f>
        <v>16598615</v>
      </c>
      <c r="E1490">
        <f>VLOOKUP(B1490,'inumos depara'!$A:$B,2,0)</f>
        <v>16299074</v>
      </c>
      <c r="F1490" s="1" t="str">
        <f t="shared" si="46"/>
        <v>1.03000304599452</v>
      </c>
      <c r="G1490" t="str">
        <f t="shared" si="47"/>
        <v>16598615,16299074,1.03000304599452</v>
      </c>
    </row>
    <row r="1491" spans="1:7" x14ac:dyDescent="0.25">
      <c r="A1491" s="1" t="s">
        <v>740</v>
      </c>
      <c r="B1491" s="1" t="s">
        <v>1287</v>
      </c>
      <c r="C1491" s="1" t="s">
        <v>1609</v>
      </c>
      <c r="D1491">
        <f>IFERROR(VLOOKUP(A1491,depara!A:B,2,0),A1491)</f>
        <v>16598615</v>
      </c>
      <c r="E1491">
        <f>VLOOKUP(B1491,'inumos depara'!$A:$B,2,0)</f>
        <v>16298691</v>
      </c>
      <c r="F1491" s="1" t="str">
        <f t="shared" si="46"/>
        <v>1.02000203066301</v>
      </c>
      <c r="G1491" t="str">
        <f t="shared" si="47"/>
        <v>16598615,16298691,1.02000203066301</v>
      </c>
    </row>
    <row r="1492" spans="1:7" x14ac:dyDescent="0.25">
      <c r="A1492" s="1" t="s">
        <v>740</v>
      </c>
      <c r="B1492" s="1" t="s">
        <v>1345</v>
      </c>
      <c r="C1492" s="1" t="s">
        <v>744</v>
      </c>
      <c r="D1492">
        <f>IFERROR(VLOOKUP(A1492,depara!A:B,2,0),A1492)</f>
        <v>16598615</v>
      </c>
      <c r="E1492">
        <f>VLOOKUP(B1492,'inumos depara'!$A:$B,2,0)</f>
        <v>16298736</v>
      </c>
      <c r="F1492" s="1" t="str">
        <f t="shared" si="46"/>
        <v>0.0624936541780891</v>
      </c>
      <c r="G1492" t="str">
        <f t="shared" si="47"/>
        <v>16598615,16298736,0.0624936541780891</v>
      </c>
    </row>
    <row r="1493" spans="1:7" x14ac:dyDescent="0.25">
      <c r="A1493" s="1" t="s">
        <v>740</v>
      </c>
      <c r="B1493" s="1" t="s">
        <v>529</v>
      </c>
      <c r="C1493" s="1" t="s">
        <v>745</v>
      </c>
      <c r="D1493">
        <f>IFERROR(VLOOKUP(A1493,depara!A:B,2,0),A1493)</f>
        <v>16598615</v>
      </c>
      <c r="E1493">
        <f>VLOOKUP(B1493,'inumos depara'!$A:$B,2,0)</f>
        <v>16299071</v>
      </c>
      <c r="F1493" s="1" t="str">
        <f t="shared" si="46"/>
        <v>0.158315565031983</v>
      </c>
      <c r="G1493" t="str">
        <f t="shared" si="47"/>
        <v>16598615,16299071,0.158315565031983</v>
      </c>
    </row>
    <row r="1494" spans="1:7" x14ac:dyDescent="0.25">
      <c r="A1494" s="1" t="s">
        <v>746</v>
      </c>
      <c r="B1494" s="1" t="s">
        <v>747</v>
      </c>
      <c r="C1494" s="1" t="s">
        <v>748</v>
      </c>
      <c r="D1494">
        <f>IFERROR(VLOOKUP(A1494,depara!A:B,2,0),A1494)</f>
        <v>16598616</v>
      </c>
      <c r="E1494">
        <f>VLOOKUP(B1494,'inumos depara'!$A:$B,2,0)</f>
        <v>16299075</v>
      </c>
      <c r="F1494" s="1" t="str">
        <f t="shared" si="46"/>
        <v>0.000510401992609379</v>
      </c>
      <c r="G1494" t="str">
        <f t="shared" si="47"/>
        <v>16598616,16299075,0.000510401992609379</v>
      </c>
    </row>
    <row r="1495" spans="1:7" x14ac:dyDescent="0.25">
      <c r="A1495" s="1" t="s">
        <v>746</v>
      </c>
      <c r="B1495" s="1" t="s">
        <v>1301</v>
      </c>
      <c r="C1495" s="1" t="s">
        <v>749</v>
      </c>
      <c r="D1495">
        <f>IFERROR(VLOOKUP(A1495,depara!A:B,2,0),A1495)</f>
        <v>16598616</v>
      </c>
      <c r="E1495">
        <f>VLOOKUP(B1495,'inumos depara'!$A:$B,2,0)</f>
        <v>16298703</v>
      </c>
      <c r="F1495" s="1" t="str">
        <f t="shared" si="46"/>
        <v>0.0100038790551438</v>
      </c>
      <c r="G1495" t="str">
        <f t="shared" si="47"/>
        <v>16598616,16298703,0.0100038790551438</v>
      </c>
    </row>
    <row r="1496" spans="1:7" x14ac:dyDescent="0.25">
      <c r="A1496" s="1" t="s">
        <v>746</v>
      </c>
      <c r="B1496" s="1" t="s">
        <v>1171</v>
      </c>
      <c r="C1496" s="1" t="s">
        <v>1610</v>
      </c>
      <c r="D1496">
        <f>IFERROR(VLOOKUP(A1496,depara!A:B,2,0),A1496)</f>
        <v>16598616</v>
      </c>
      <c r="E1496">
        <f>VLOOKUP(B1496,'inumos depara'!$A:$B,2,0)</f>
        <v>16298580</v>
      </c>
      <c r="F1496" s="1" t="str">
        <f t="shared" si="46"/>
        <v>1.85786325309814E-05</v>
      </c>
      <c r="G1496" t="str">
        <f t="shared" si="47"/>
        <v>16598616,16298580,1.85786325309814E-05</v>
      </c>
    </row>
    <row r="1497" spans="1:7" x14ac:dyDescent="0.25">
      <c r="A1497" s="1" t="s">
        <v>746</v>
      </c>
      <c r="B1497" s="1" t="s">
        <v>1239</v>
      </c>
      <c r="C1497" s="1" t="s">
        <v>1610</v>
      </c>
      <c r="D1497">
        <f>IFERROR(VLOOKUP(A1497,depara!A:B,2,0),A1497)</f>
        <v>16598616</v>
      </c>
      <c r="E1497">
        <f>VLOOKUP(B1497,'inumos depara'!$A:$B,2,0)</f>
        <v>16298641</v>
      </c>
      <c r="F1497" s="1" t="str">
        <f t="shared" si="46"/>
        <v>1.85786325309814E-05</v>
      </c>
      <c r="G1497" t="str">
        <f t="shared" si="47"/>
        <v>16598616,16298641,1.85786325309814E-05</v>
      </c>
    </row>
    <row r="1498" spans="1:7" x14ac:dyDescent="0.25">
      <c r="A1498" s="1" t="s">
        <v>746</v>
      </c>
      <c r="B1498" s="1" t="s">
        <v>1315</v>
      </c>
      <c r="C1498" s="1" t="s">
        <v>750</v>
      </c>
      <c r="D1498">
        <f>IFERROR(VLOOKUP(A1498,depara!A:B,2,0),A1498)</f>
        <v>16598616</v>
      </c>
      <c r="E1498">
        <f>VLOOKUP(B1498,'inumos depara'!$A:$B,2,0)</f>
        <v>16298713</v>
      </c>
      <c r="F1498" s="1" t="str">
        <f t="shared" si="46"/>
        <v>0.000092893162654907</v>
      </c>
      <c r="G1498" t="str">
        <f t="shared" si="47"/>
        <v>16598616,16298713,0.000092893162654907</v>
      </c>
    </row>
    <row r="1499" spans="1:7" x14ac:dyDescent="0.25">
      <c r="A1499" s="1" t="s">
        <v>746</v>
      </c>
      <c r="B1499" s="1" t="s">
        <v>1316</v>
      </c>
      <c r="C1499" s="1" t="s">
        <v>1611</v>
      </c>
      <c r="D1499">
        <f>IFERROR(VLOOKUP(A1499,depara!A:B,2,0),A1499)</f>
        <v>16598616</v>
      </c>
      <c r="E1499">
        <f>VLOOKUP(B1499,'inumos depara'!$A:$B,2,0)</f>
        <v>16298714</v>
      </c>
      <c r="F1499" s="1" t="str">
        <f t="shared" si="46"/>
        <v>4.64465813274535E-05</v>
      </c>
      <c r="G1499" t="str">
        <f t="shared" si="47"/>
        <v>16598616,16298714,4.64465813274535E-05</v>
      </c>
    </row>
    <row r="1500" spans="1:7" x14ac:dyDescent="0.25">
      <c r="A1500" s="1" t="s">
        <v>746</v>
      </c>
      <c r="B1500" s="1" t="s">
        <v>1317</v>
      </c>
      <c r="C1500" s="1" t="s">
        <v>751</v>
      </c>
      <c r="D1500">
        <f>IFERROR(VLOOKUP(A1500,depara!A:B,2,0),A1500)</f>
        <v>16598616</v>
      </c>
      <c r="E1500">
        <f>VLOOKUP(B1500,'inumos depara'!$A:$B,2,0)</f>
        <v>16298715</v>
      </c>
      <c r="F1500" s="1" t="str">
        <f t="shared" si="46"/>
        <v>0.000185786325309814</v>
      </c>
      <c r="G1500" t="str">
        <f t="shared" si="47"/>
        <v>16598616,16298715,0.000185786325309814</v>
      </c>
    </row>
    <row r="1501" spans="1:7" x14ac:dyDescent="0.25">
      <c r="A1501" s="1" t="s">
        <v>746</v>
      </c>
      <c r="B1501" s="1" t="s">
        <v>1304</v>
      </c>
      <c r="C1501" s="1" t="s">
        <v>752</v>
      </c>
      <c r="D1501">
        <f>IFERROR(VLOOKUP(A1501,depara!A:B,2,0),A1501)</f>
        <v>16598616</v>
      </c>
      <c r="E1501">
        <f>VLOOKUP(B1501,'inumos depara'!$A:$B,2,0)</f>
        <v>16298705</v>
      </c>
      <c r="F1501" s="1" t="str">
        <f t="shared" si="46"/>
        <v>0.00111471795185888</v>
      </c>
      <c r="G1501" t="str">
        <f t="shared" si="47"/>
        <v>16598616,16298705,0.00111471795185888</v>
      </c>
    </row>
    <row r="1502" spans="1:7" x14ac:dyDescent="0.25">
      <c r="A1502" s="1" t="s">
        <v>746</v>
      </c>
      <c r="B1502" s="1" t="s">
        <v>1303</v>
      </c>
      <c r="C1502" s="1" t="s">
        <v>753</v>
      </c>
      <c r="D1502">
        <f>IFERROR(VLOOKUP(A1502,depara!A:B,2,0),A1502)</f>
        <v>16598616</v>
      </c>
      <c r="E1502">
        <f>VLOOKUP(B1502,'inumos depara'!$A:$B,2,0)</f>
        <v>16298704</v>
      </c>
      <c r="F1502" s="1" t="str">
        <f t="shared" si="46"/>
        <v>0.0171016312447684</v>
      </c>
      <c r="G1502" t="str">
        <f t="shared" si="47"/>
        <v>16598616,16298704,0.0171016312447684</v>
      </c>
    </row>
    <row r="1503" spans="1:7" x14ac:dyDescent="0.25">
      <c r="A1503" s="1" t="s">
        <v>754</v>
      </c>
      <c r="B1503" s="1" t="s">
        <v>755</v>
      </c>
      <c r="C1503" s="1" t="s">
        <v>1612</v>
      </c>
      <c r="D1503">
        <f>IFERROR(VLOOKUP(A1503,depara!A:B,2,0),A1503)</f>
        <v>16598617</v>
      </c>
      <c r="E1503">
        <f>VLOOKUP(B1503,'inumos depara'!$A:$B,2,0)</f>
        <v>16299076</v>
      </c>
      <c r="F1503" s="1" t="str">
        <f t="shared" si="46"/>
        <v>1.00998636223659</v>
      </c>
      <c r="G1503" t="str">
        <f t="shared" si="47"/>
        <v>16598617,16299076,1.00998636223659</v>
      </c>
    </row>
    <row r="1504" spans="1:7" x14ac:dyDescent="0.25">
      <c r="A1504" s="1" t="s">
        <v>754</v>
      </c>
      <c r="B1504" s="1" t="s">
        <v>160</v>
      </c>
      <c r="C1504" s="1" t="s">
        <v>756</v>
      </c>
      <c r="D1504">
        <f>IFERROR(VLOOKUP(A1504,depara!A:B,2,0),A1504)</f>
        <v>16598617</v>
      </c>
      <c r="E1504">
        <f>VLOOKUP(B1504,'inumos depara'!$A:$B,2,0)</f>
        <v>16298745</v>
      </c>
      <c r="F1504" s="1" t="str">
        <f t="shared" si="46"/>
        <v>0.000894373322775065</v>
      </c>
      <c r="G1504" t="str">
        <f t="shared" si="47"/>
        <v>16598617,16298745,0.000894373322775065</v>
      </c>
    </row>
    <row r="1505" spans="1:7" x14ac:dyDescent="0.25">
      <c r="A1505" s="1" t="s">
        <v>754</v>
      </c>
      <c r="B1505" s="1" t="s">
        <v>1312</v>
      </c>
      <c r="C1505" s="1" t="s">
        <v>757</v>
      </c>
      <c r="D1505">
        <f>IFERROR(VLOOKUP(A1505,depara!A:B,2,0),A1505)</f>
        <v>16598617</v>
      </c>
      <c r="E1505">
        <f>VLOOKUP(B1505,'inumos depara'!$A:$B,2,0)</f>
        <v>16298712</v>
      </c>
      <c r="F1505" s="1" t="str">
        <f t="shared" si="46"/>
        <v>0.0280673969469007</v>
      </c>
      <c r="G1505" t="str">
        <f t="shared" si="47"/>
        <v>16598617,16298712,0.0280673969469007</v>
      </c>
    </row>
    <row r="1506" spans="1:7" x14ac:dyDescent="0.25">
      <c r="A1506" s="1" t="s">
        <v>754</v>
      </c>
      <c r="B1506" s="1" t="s">
        <v>1171</v>
      </c>
      <c r="C1506" s="1" t="s">
        <v>1613</v>
      </c>
      <c r="D1506">
        <f>IFERROR(VLOOKUP(A1506,depara!A:B,2,0),A1506)</f>
        <v>16598617</v>
      </c>
      <c r="E1506">
        <f>VLOOKUP(B1506,'inumos depara'!$A:$B,2,0)</f>
        <v>16298580</v>
      </c>
      <c r="F1506" s="1" t="str">
        <f t="shared" si="46"/>
        <v>8.57859311072984E-05</v>
      </c>
      <c r="G1506" t="str">
        <f t="shared" si="47"/>
        <v>16598617,16298580,8.57859311072984E-05</v>
      </c>
    </row>
    <row r="1507" spans="1:7" x14ac:dyDescent="0.25">
      <c r="A1507" s="1" t="s">
        <v>754</v>
      </c>
      <c r="B1507" s="1" t="s">
        <v>1239</v>
      </c>
      <c r="C1507" s="1" t="s">
        <v>1613</v>
      </c>
      <c r="D1507">
        <f>IFERROR(VLOOKUP(A1507,depara!A:B,2,0),A1507)</f>
        <v>16598617</v>
      </c>
      <c r="E1507">
        <f>VLOOKUP(B1507,'inumos depara'!$A:$B,2,0)</f>
        <v>16298641</v>
      </c>
      <c r="F1507" s="1" t="str">
        <f t="shared" si="46"/>
        <v>8.57859311072984E-05</v>
      </c>
      <c r="G1507" t="str">
        <f t="shared" si="47"/>
        <v>16598617,16298641,8.57859311072984E-05</v>
      </c>
    </row>
    <row r="1508" spans="1:7" x14ac:dyDescent="0.25">
      <c r="A1508" s="1" t="s">
        <v>754</v>
      </c>
      <c r="B1508" s="1" t="s">
        <v>1315</v>
      </c>
      <c r="C1508" s="1" t="s">
        <v>758</v>
      </c>
      <c r="D1508">
        <f>IFERROR(VLOOKUP(A1508,depara!A:B,2,0),A1508)</f>
        <v>16598617</v>
      </c>
      <c r="E1508">
        <f>VLOOKUP(B1508,'inumos depara'!$A:$B,2,0)</f>
        <v>16298713</v>
      </c>
      <c r="F1508" s="1" t="str">
        <f t="shared" si="46"/>
        <v>0.000428929655536492</v>
      </c>
      <c r="G1508" t="str">
        <f t="shared" si="47"/>
        <v>16598617,16298713,0.000428929655536492</v>
      </c>
    </row>
    <row r="1509" spans="1:7" x14ac:dyDescent="0.25">
      <c r="A1509" s="1" t="s">
        <v>754</v>
      </c>
      <c r="B1509" s="1" t="s">
        <v>1316</v>
      </c>
      <c r="C1509" s="1" t="s">
        <v>759</v>
      </c>
      <c r="D1509">
        <f>IFERROR(VLOOKUP(A1509,depara!A:B,2,0),A1509)</f>
        <v>16598617</v>
      </c>
      <c r="E1509">
        <f>VLOOKUP(B1509,'inumos depara'!$A:$B,2,0)</f>
        <v>16298714</v>
      </c>
      <c r="F1509" s="1" t="str">
        <f t="shared" si="46"/>
        <v>0.000214464827768246</v>
      </c>
      <c r="G1509" t="str">
        <f t="shared" si="47"/>
        <v>16598617,16298714,0.000214464827768246</v>
      </c>
    </row>
    <row r="1510" spans="1:7" x14ac:dyDescent="0.25">
      <c r="A1510" s="1" t="s">
        <v>754</v>
      </c>
      <c r="B1510" s="1" t="s">
        <v>1317</v>
      </c>
      <c r="C1510" s="1" t="s">
        <v>760</v>
      </c>
      <c r="D1510">
        <f>IFERROR(VLOOKUP(A1510,depara!A:B,2,0),A1510)</f>
        <v>16598617</v>
      </c>
      <c r="E1510">
        <f>VLOOKUP(B1510,'inumos depara'!$A:$B,2,0)</f>
        <v>16298715</v>
      </c>
      <c r="F1510" s="1" t="str">
        <f t="shared" si="46"/>
        <v>0.000857859311072984</v>
      </c>
      <c r="G1510" t="str">
        <f t="shared" si="47"/>
        <v>16598617,16298715,0.000857859311072984</v>
      </c>
    </row>
    <row r="1511" spans="1:7" x14ac:dyDescent="0.25">
      <c r="A1511" s="1" t="s">
        <v>754</v>
      </c>
      <c r="B1511" s="1" t="s">
        <v>1304</v>
      </c>
      <c r="C1511" s="1" t="s">
        <v>761</v>
      </c>
      <c r="D1511">
        <f>IFERROR(VLOOKUP(A1511,depara!A:B,2,0),A1511)</f>
        <v>16598617</v>
      </c>
      <c r="E1511">
        <f>VLOOKUP(B1511,'inumos depara'!$A:$B,2,0)</f>
        <v>16298705</v>
      </c>
      <c r="F1511" s="1" t="str">
        <f t="shared" si="46"/>
        <v>0.0051471558664379</v>
      </c>
      <c r="G1511" t="str">
        <f t="shared" si="47"/>
        <v>16598617,16298705,0.0051471558664379</v>
      </c>
    </row>
    <row r="1512" spans="1:7" x14ac:dyDescent="0.25">
      <c r="A1512" s="1" t="s">
        <v>754</v>
      </c>
      <c r="B1512" s="1" t="s">
        <v>1303</v>
      </c>
      <c r="C1512" s="1" t="s">
        <v>762</v>
      </c>
      <c r="D1512">
        <f>IFERROR(VLOOKUP(A1512,depara!A:B,2,0),A1512)</f>
        <v>16598617</v>
      </c>
      <c r="E1512">
        <f>VLOOKUP(B1512,'inumos depara'!$A:$B,2,0)</f>
        <v>16298704</v>
      </c>
      <c r="F1512" s="1" t="str">
        <f t="shared" si="46"/>
        <v>0.0789659495842682</v>
      </c>
      <c r="G1512" t="str">
        <f t="shared" si="47"/>
        <v>16598617,16298704,0.0789659495842682</v>
      </c>
    </row>
    <row r="1513" spans="1:7" x14ac:dyDescent="0.25">
      <c r="A1513" s="1" t="s">
        <v>763</v>
      </c>
      <c r="B1513" s="1" t="s">
        <v>193</v>
      </c>
      <c r="C1513" s="1" t="s">
        <v>764</v>
      </c>
      <c r="D1513">
        <f>IFERROR(VLOOKUP(A1513,depara!A:B,2,0),A1513)</f>
        <v>16598618</v>
      </c>
      <c r="E1513">
        <f>VLOOKUP(B1513,'inumos depara'!$A:$B,2,0)</f>
        <v>16298784</v>
      </c>
      <c r="F1513" s="1" t="str">
        <f t="shared" si="46"/>
        <v>0.00595350595350595</v>
      </c>
      <c r="G1513" t="str">
        <f t="shared" si="47"/>
        <v>16598618,16298784,0.00595350595350595</v>
      </c>
    </row>
    <row r="1514" spans="1:7" x14ac:dyDescent="0.25">
      <c r="A1514" s="1" t="s">
        <v>763</v>
      </c>
      <c r="B1514" s="1" t="s">
        <v>765</v>
      </c>
      <c r="C1514" s="1" t="s">
        <v>766</v>
      </c>
      <c r="D1514">
        <f>IFERROR(VLOOKUP(A1514,depara!A:B,2,0),A1514)</f>
        <v>16598618</v>
      </c>
      <c r="E1514">
        <f>VLOOKUP(B1514,'inumos depara'!$A:$B,2,0)</f>
        <v>16299077</v>
      </c>
      <c r="F1514" s="1" t="str">
        <f t="shared" si="46"/>
        <v>0.00135736499372863</v>
      </c>
      <c r="G1514" t="str">
        <f t="shared" si="47"/>
        <v>16598618,16299077,0.00135736499372863</v>
      </c>
    </row>
    <row r="1515" spans="1:7" x14ac:dyDescent="0.25">
      <c r="A1515" s="1" t="s">
        <v>763</v>
      </c>
      <c r="B1515" s="1" t="s">
        <v>1443</v>
      </c>
      <c r="C1515" s="1" t="s">
        <v>767</v>
      </c>
      <c r="D1515">
        <f>IFERROR(VLOOKUP(A1515,depara!A:B,2,0),A1515)</f>
        <v>16598618</v>
      </c>
      <c r="E1515">
        <f>VLOOKUP(B1515,'inumos depara'!$A:$B,2,0)</f>
        <v>16298809</v>
      </c>
      <c r="F1515" s="1" t="str">
        <f t="shared" si="46"/>
        <v>0.00999982818164636</v>
      </c>
      <c r="G1515" t="str">
        <f t="shared" si="47"/>
        <v>16598618,16298809,0.00999982818164636</v>
      </c>
    </row>
    <row r="1516" spans="1:7" x14ac:dyDescent="0.25">
      <c r="A1516" s="1" t="s">
        <v>768</v>
      </c>
      <c r="B1516" s="1" t="s">
        <v>193</v>
      </c>
      <c r="C1516" s="1" t="s">
        <v>769</v>
      </c>
      <c r="D1516">
        <f>IFERROR(VLOOKUP(A1516,depara!A:B,2,0),A1516)</f>
        <v>16598619</v>
      </c>
      <c r="E1516">
        <f>VLOOKUP(B1516,'inumos depara'!$A:$B,2,0)</f>
        <v>16298784</v>
      </c>
      <c r="F1516" s="1" t="str">
        <f t="shared" si="46"/>
        <v>0.0669349645846748</v>
      </c>
      <c r="G1516" t="str">
        <f t="shared" si="47"/>
        <v>16598619,16298784,0.0669349645846748</v>
      </c>
    </row>
    <row r="1517" spans="1:7" x14ac:dyDescent="0.25">
      <c r="A1517" s="1" t="s">
        <v>768</v>
      </c>
      <c r="B1517" s="1" t="s">
        <v>770</v>
      </c>
      <c r="C1517" s="1" t="s">
        <v>1614</v>
      </c>
      <c r="D1517">
        <f>IFERROR(VLOOKUP(A1517,depara!A:B,2,0),A1517)</f>
        <v>16598619</v>
      </c>
      <c r="E1517">
        <f>VLOOKUP(B1517,'inumos depara'!$A:$B,2,0)</f>
        <v>16299078</v>
      </c>
      <c r="F1517" s="1" t="str">
        <f t="shared" si="46"/>
        <v>1.05003219575016</v>
      </c>
      <c r="G1517" t="str">
        <f t="shared" si="47"/>
        <v>16598619,16299078,1.05003219575016</v>
      </c>
    </row>
    <row r="1518" spans="1:7" x14ac:dyDescent="0.25">
      <c r="A1518" s="1" t="s">
        <v>768</v>
      </c>
      <c r="B1518" s="1" t="s">
        <v>1280</v>
      </c>
      <c r="C1518" s="1" t="s">
        <v>771</v>
      </c>
      <c r="D1518">
        <f>IFERROR(VLOOKUP(A1518,depara!A:B,2,0),A1518)</f>
        <v>16598619</v>
      </c>
      <c r="E1518">
        <f>VLOOKUP(B1518,'inumos depara'!$A:$B,2,0)</f>
        <v>16298685</v>
      </c>
      <c r="F1518" s="1" t="str">
        <f t="shared" si="46"/>
        <v>0.0625241468126207</v>
      </c>
      <c r="G1518" t="str">
        <f t="shared" si="47"/>
        <v>16598619,16298685,0.0625241468126207</v>
      </c>
    </row>
    <row r="1519" spans="1:7" x14ac:dyDescent="0.25">
      <c r="A1519" s="1" t="s">
        <v>772</v>
      </c>
      <c r="B1519" s="1" t="s">
        <v>773</v>
      </c>
      <c r="C1519" s="1" t="s">
        <v>1615</v>
      </c>
      <c r="D1519">
        <f>IFERROR(VLOOKUP(A1519,depara!A:B,2,0),A1519)</f>
        <v>16598620</v>
      </c>
      <c r="E1519">
        <f>VLOOKUP(B1519,'inumos depara'!$A:$B,2,0)</f>
        <v>16299079</v>
      </c>
      <c r="F1519" s="1" t="str">
        <f t="shared" si="46"/>
        <v>1.0199850857569</v>
      </c>
      <c r="G1519" t="str">
        <f t="shared" si="47"/>
        <v>16598620,16299079,1.0199850857569</v>
      </c>
    </row>
    <row r="1520" spans="1:7" x14ac:dyDescent="0.25">
      <c r="A1520" s="1" t="s">
        <v>772</v>
      </c>
      <c r="B1520" s="1" t="s">
        <v>193</v>
      </c>
      <c r="C1520" s="1" t="s">
        <v>774</v>
      </c>
      <c r="D1520">
        <f>IFERROR(VLOOKUP(A1520,depara!A:B,2,0),A1520)</f>
        <v>16598620</v>
      </c>
      <c r="E1520">
        <f>VLOOKUP(B1520,'inumos depara'!$A:$B,2,0)</f>
        <v>16298784</v>
      </c>
      <c r="F1520" s="1" t="str">
        <f t="shared" si="46"/>
        <v>0.15503355704698</v>
      </c>
      <c r="G1520" t="str">
        <f t="shared" si="47"/>
        <v>16598620,16298784,0.15503355704698</v>
      </c>
    </row>
    <row r="1521" spans="1:7" x14ac:dyDescent="0.25">
      <c r="A1521" s="1" t="s">
        <v>772</v>
      </c>
      <c r="B1521" s="1" t="s">
        <v>1367</v>
      </c>
      <c r="C1521" s="1" t="s">
        <v>1616</v>
      </c>
      <c r="D1521">
        <f>IFERROR(VLOOKUP(A1521,depara!A:B,2,0),A1521)</f>
        <v>16598620</v>
      </c>
      <c r="E1521">
        <f>VLOOKUP(B1521,'inumos depara'!$A:$B,2,0)</f>
        <v>16298755</v>
      </c>
      <c r="F1521" s="1" t="str">
        <f t="shared" si="46"/>
        <v>1.00497141436739</v>
      </c>
      <c r="G1521" t="str">
        <f t="shared" si="47"/>
        <v>16598620,16298755,1.00497141436739</v>
      </c>
    </row>
    <row r="1522" spans="1:7" x14ac:dyDescent="0.25">
      <c r="A1522" s="1" t="s">
        <v>772</v>
      </c>
      <c r="B1522" s="1" t="s">
        <v>98</v>
      </c>
      <c r="C1522" s="1" t="s">
        <v>1616</v>
      </c>
      <c r="D1522">
        <f>IFERROR(VLOOKUP(A1522,depara!A:B,2,0),A1522)</f>
        <v>16598620</v>
      </c>
      <c r="E1522">
        <f>VLOOKUP(B1522,'inumos depara'!$A:$B,2,0)</f>
        <v>16298690</v>
      </c>
      <c r="F1522" s="1" t="str">
        <f t="shared" si="46"/>
        <v>1.00497141436739</v>
      </c>
      <c r="G1522" t="str">
        <f t="shared" si="47"/>
        <v>16598620,16298690,1.00497141436739</v>
      </c>
    </row>
    <row r="1523" spans="1:7" x14ac:dyDescent="0.25">
      <c r="A1523" s="1" t="s">
        <v>772</v>
      </c>
      <c r="B1523" s="1" t="s">
        <v>775</v>
      </c>
      <c r="C1523" s="1" t="s">
        <v>1617</v>
      </c>
      <c r="D1523">
        <f>IFERROR(VLOOKUP(A1523,depara!A:B,2,0),A1523)</f>
        <v>16598620</v>
      </c>
      <c r="E1523">
        <f>VLOOKUP(B1523,'inumos depara'!$A:$B,2,0)</f>
        <v>16299080</v>
      </c>
      <c r="F1523" s="1" t="str">
        <f t="shared" si="46"/>
        <v>1.03499875714641</v>
      </c>
      <c r="G1523" t="str">
        <f t="shared" si="47"/>
        <v>16598620,16299080,1.03499875714641</v>
      </c>
    </row>
    <row r="1524" spans="1:7" x14ac:dyDescent="0.25">
      <c r="A1524" s="1" t="s">
        <v>772</v>
      </c>
      <c r="B1524" s="1" t="s">
        <v>776</v>
      </c>
      <c r="C1524" s="1" t="s">
        <v>1618</v>
      </c>
      <c r="D1524">
        <f>IFERROR(VLOOKUP(A1524,depara!A:B,2,0),A1524)</f>
        <v>16598620</v>
      </c>
      <c r="E1524">
        <f>VLOOKUP(B1524,'inumos depara'!$A:$B,2,0)</f>
        <v>16299081</v>
      </c>
      <c r="F1524" s="1" t="str">
        <f t="shared" si="46"/>
        <v>1.02997762863535</v>
      </c>
      <c r="G1524" t="str">
        <f t="shared" si="47"/>
        <v>16598620,16299081,1.02997762863535</v>
      </c>
    </row>
    <row r="1525" spans="1:7" x14ac:dyDescent="0.25">
      <c r="A1525" s="1" t="s">
        <v>772</v>
      </c>
      <c r="B1525" s="1" t="s">
        <v>1288</v>
      </c>
      <c r="C1525" s="1" t="s">
        <v>777</v>
      </c>
      <c r="D1525">
        <f>IFERROR(VLOOKUP(A1525,depara!A:B,2,0),A1525)</f>
        <v>16598620</v>
      </c>
      <c r="E1525">
        <f>VLOOKUP(B1525,'inumos depara'!$A:$B,2,0)</f>
        <v>16298692</v>
      </c>
      <c r="F1525" s="1" t="str">
        <f t="shared" si="46"/>
        <v>0.0624906785980612</v>
      </c>
      <c r="G1525" t="str">
        <f t="shared" si="47"/>
        <v>16598620,16298692,0.0624906785980612</v>
      </c>
    </row>
    <row r="1526" spans="1:7" x14ac:dyDescent="0.25">
      <c r="A1526" s="1" t="s">
        <v>778</v>
      </c>
      <c r="B1526" s="1" t="s">
        <v>1303</v>
      </c>
      <c r="C1526" s="1" t="s">
        <v>779</v>
      </c>
      <c r="D1526">
        <f>IFERROR(VLOOKUP(A1526,depara!A:B,2,0),A1526)</f>
        <v>16598621</v>
      </c>
      <c r="E1526">
        <f>VLOOKUP(B1526,'inumos depara'!$A:$B,2,0)</f>
        <v>16298704</v>
      </c>
      <c r="F1526" s="1" t="str">
        <f t="shared" si="46"/>
        <v>0.0152979845409232</v>
      </c>
      <c r="G1526" t="str">
        <f t="shared" si="47"/>
        <v>16598621,16298704,0.0152979845409232</v>
      </c>
    </row>
    <row r="1527" spans="1:7" x14ac:dyDescent="0.25">
      <c r="A1527" s="1" t="s">
        <v>778</v>
      </c>
      <c r="B1527" s="1" t="s">
        <v>1304</v>
      </c>
      <c r="C1527" s="1" t="s">
        <v>780</v>
      </c>
      <c r="D1527">
        <f>IFERROR(VLOOKUP(A1527,depara!A:B,2,0),A1527)</f>
        <v>16598621</v>
      </c>
      <c r="E1527">
        <f>VLOOKUP(B1527,'inumos depara'!$A:$B,2,0)</f>
        <v>16298705</v>
      </c>
      <c r="F1527" s="1" t="str">
        <f t="shared" si="46"/>
        <v>0.000751282236509427</v>
      </c>
      <c r="G1527" t="str">
        <f t="shared" si="47"/>
        <v>16598621,16298705,0.000751282236509427</v>
      </c>
    </row>
    <row r="1528" spans="1:7" x14ac:dyDescent="0.25">
      <c r="A1528" s="1" t="s">
        <v>778</v>
      </c>
      <c r="B1528" s="1" t="s">
        <v>1305</v>
      </c>
      <c r="C1528" s="1" t="s">
        <v>781</v>
      </c>
      <c r="D1528">
        <f>IFERROR(VLOOKUP(A1528,depara!A:B,2,0),A1528)</f>
        <v>16598621</v>
      </c>
      <c r="E1528">
        <f>VLOOKUP(B1528,'inumos depara'!$A:$B,2,0)</f>
        <v>16298706</v>
      </c>
      <c r="F1528" s="1" t="str">
        <f t="shared" si="46"/>
        <v>0.000375641118254714</v>
      </c>
      <c r="G1528" t="str">
        <f t="shared" si="47"/>
        <v>16598621,16298706,0.000375641118254714</v>
      </c>
    </row>
    <row r="1529" spans="1:7" x14ac:dyDescent="0.25">
      <c r="A1529" s="1" t="s">
        <v>778</v>
      </c>
      <c r="B1529" s="1" t="s">
        <v>1376</v>
      </c>
      <c r="C1529" s="1" t="s">
        <v>782</v>
      </c>
      <c r="D1529">
        <f>IFERROR(VLOOKUP(A1529,depara!A:B,2,0),A1529)</f>
        <v>16598621</v>
      </c>
      <c r="E1529">
        <f>VLOOKUP(B1529,'inumos depara'!$A:$B,2,0)</f>
        <v>16298760</v>
      </c>
      <c r="F1529" s="1" t="str">
        <f t="shared" si="46"/>
        <v>0.000187820559127357</v>
      </c>
      <c r="G1529" t="str">
        <f t="shared" si="47"/>
        <v>16598621,16298760,0.000187820559127357</v>
      </c>
    </row>
    <row r="1530" spans="1:7" x14ac:dyDescent="0.25">
      <c r="A1530" s="1" t="s">
        <v>778</v>
      </c>
      <c r="B1530" s="1" t="s">
        <v>1205</v>
      </c>
      <c r="C1530" s="1" t="s">
        <v>1619</v>
      </c>
      <c r="D1530">
        <f>IFERROR(VLOOKUP(A1530,depara!A:B,2,0),A1530)</f>
        <v>16598621</v>
      </c>
      <c r="E1530">
        <f>VLOOKUP(B1530,'inumos depara'!$A:$B,2,0)</f>
        <v>16298610</v>
      </c>
      <c r="F1530" s="1" t="str">
        <f t="shared" si="46"/>
        <v>9.39102795636784E-05</v>
      </c>
      <c r="G1530" t="str">
        <f t="shared" si="47"/>
        <v>16598621,16298610,9.39102795636784E-05</v>
      </c>
    </row>
    <row r="1531" spans="1:7" x14ac:dyDescent="0.25">
      <c r="A1531" s="1" t="s">
        <v>778</v>
      </c>
      <c r="B1531" s="1" t="s">
        <v>1377</v>
      </c>
      <c r="C1531" s="1" t="s">
        <v>782</v>
      </c>
      <c r="D1531">
        <f>IFERROR(VLOOKUP(A1531,depara!A:B,2,0),A1531)</f>
        <v>16598621</v>
      </c>
      <c r="E1531">
        <f>VLOOKUP(B1531,'inumos depara'!$A:$B,2,0)</f>
        <v>16298761</v>
      </c>
      <c r="F1531" s="1" t="str">
        <f t="shared" si="46"/>
        <v>0.000187820559127357</v>
      </c>
      <c r="G1531" t="str">
        <f t="shared" si="47"/>
        <v>16598621,16298761,0.000187820559127357</v>
      </c>
    </row>
    <row r="1532" spans="1:7" x14ac:dyDescent="0.25">
      <c r="A1532" s="1" t="s">
        <v>778</v>
      </c>
      <c r="B1532" s="1" t="s">
        <v>1157</v>
      </c>
      <c r="C1532" s="1" t="s">
        <v>1619</v>
      </c>
      <c r="D1532">
        <f>IFERROR(VLOOKUP(A1532,depara!A:B,2,0),A1532)</f>
        <v>16598621</v>
      </c>
      <c r="E1532">
        <f>VLOOKUP(B1532,'inumos depara'!$A:$B,2,0)</f>
        <v>16298568</v>
      </c>
      <c r="F1532" s="1" t="str">
        <f t="shared" si="46"/>
        <v>9.39102795636784E-05</v>
      </c>
      <c r="G1532" t="str">
        <f t="shared" si="47"/>
        <v>16598621,16298568,9.39102795636784E-05</v>
      </c>
    </row>
    <row r="1533" spans="1:7" x14ac:dyDescent="0.25">
      <c r="A1533" s="1" t="s">
        <v>778</v>
      </c>
      <c r="B1533" s="1" t="s">
        <v>1378</v>
      </c>
      <c r="C1533" s="1" t="s">
        <v>781</v>
      </c>
      <c r="D1533">
        <f>IFERROR(VLOOKUP(A1533,depara!A:B,2,0),A1533)</f>
        <v>16598621</v>
      </c>
      <c r="E1533">
        <f>VLOOKUP(B1533,'inumos depara'!$A:$B,2,0)</f>
        <v>16298762</v>
      </c>
      <c r="F1533" s="1" t="str">
        <f t="shared" si="46"/>
        <v>0.000375641118254714</v>
      </c>
      <c r="G1533" t="str">
        <f t="shared" si="47"/>
        <v>16598621,16298762,0.000375641118254714</v>
      </c>
    </row>
    <row r="1534" spans="1:7" x14ac:dyDescent="0.25">
      <c r="A1534" s="1" t="s">
        <v>778</v>
      </c>
      <c r="B1534" s="1" t="s">
        <v>1379</v>
      </c>
      <c r="C1534" s="1" t="s">
        <v>782</v>
      </c>
      <c r="D1534">
        <f>IFERROR(VLOOKUP(A1534,depara!A:B,2,0),A1534)</f>
        <v>16598621</v>
      </c>
      <c r="E1534">
        <f>VLOOKUP(B1534,'inumos depara'!$A:$B,2,0)</f>
        <v>16298763</v>
      </c>
      <c r="F1534" s="1" t="str">
        <f t="shared" si="46"/>
        <v>0.000187820559127357</v>
      </c>
      <c r="G1534" t="str">
        <f t="shared" si="47"/>
        <v>16598621,16298763,0.000187820559127357</v>
      </c>
    </row>
    <row r="1535" spans="1:7" x14ac:dyDescent="0.25">
      <c r="A1535" s="1" t="s">
        <v>778</v>
      </c>
      <c r="B1535" s="1" t="s">
        <v>1380</v>
      </c>
      <c r="C1535" s="1" t="s">
        <v>782</v>
      </c>
      <c r="D1535">
        <f>IFERROR(VLOOKUP(A1535,depara!A:B,2,0),A1535)</f>
        <v>16598621</v>
      </c>
      <c r="E1535">
        <f>VLOOKUP(B1535,'inumos depara'!$A:$B,2,0)</f>
        <v>16298764</v>
      </c>
      <c r="F1535" s="1" t="str">
        <f t="shared" si="46"/>
        <v>0.000187820559127357</v>
      </c>
      <c r="G1535" t="str">
        <f t="shared" si="47"/>
        <v>16598621,16298764,0.000187820559127357</v>
      </c>
    </row>
    <row r="1536" spans="1:7" x14ac:dyDescent="0.25">
      <c r="A1536" s="1" t="s">
        <v>778</v>
      </c>
      <c r="B1536" s="1" t="s">
        <v>1180</v>
      </c>
      <c r="C1536" s="1" t="s">
        <v>1619</v>
      </c>
      <c r="D1536">
        <f>IFERROR(VLOOKUP(A1536,depara!A:B,2,0),A1536)</f>
        <v>16598621</v>
      </c>
      <c r="E1536">
        <f>VLOOKUP(B1536,'inumos depara'!$A:$B,2,0)</f>
        <v>16298588</v>
      </c>
      <c r="F1536" s="1" t="str">
        <f t="shared" si="46"/>
        <v>9.39102795636784E-05</v>
      </c>
      <c r="G1536" t="str">
        <f t="shared" si="47"/>
        <v>16598621,16298588,9.39102795636784E-05</v>
      </c>
    </row>
    <row r="1537" spans="1:7" x14ac:dyDescent="0.25">
      <c r="A1537" s="1" t="s">
        <v>778</v>
      </c>
      <c r="B1537" s="1" t="s">
        <v>1381</v>
      </c>
      <c r="C1537" s="1" t="s">
        <v>782</v>
      </c>
      <c r="D1537">
        <f>IFERROR(VLOOKUP(A1537,depara!A:B,2,0),A1537)</f>
        <v>16598621</v>
      </c>
      <c r="E1537">
        <f>VLOOKUP(B1537,'inumos depara'!$A:$B,2,0)</f>
        <v>16298765</v>
      </c>
      <c r="F1537" s="1" t="str">
        <f t="shared" si="46"/>
        <v>0.000187820559127357</v>
      </c>
      <c r="G1537" t="str">
        <f t="shared" si="47"/>
        <v>16598621,16298765,0.000187820559127357</v>
      </c>
    </row>
    <row r="1538" spans="1:7" x14ac:dyDescent="0.25">
      <c r="A1538" s="1" t="s">
        <v>778</v>
      </c>
      <c r="B1538" s="1" t="s">
        <v>1382</v>
      </c>
      <c r="C1538" s="1" t="s">
        <v>781</v>
      </c>
      <c r="D1538">
        <f>IFERROR(VLOOKUP(A1538,depara!A:B,2,0),A1538)</f>
        <v>16598621</v>
      </c>
      <c r="E1538">
        <f>VLOOKUP(B1538,'inumos depara'!$A:$B,2,0)</f>
        <v>16298766</v>
      </c>
      <c r="F1538" s="1" t="str">
        <f t="shared" ref="F1538:F1601" si="48">C1538</f>
        <v>0.000375641118254714</v>
      </c>
      <c r="G1538" t="str">
        <f t="shared" ref="G1538:G1601" si="49">D1538&amp;","&amp;E1538&amp;","&amp;F1538</f>
        <v>16598621,16298766,0.000375641118254714</v>
      </c>
    </row>
    <row r="1539" spans="1:7" x14ac:dyDescent="0.25">
      <c r="A1539" s="1" t="s">
        <v>778</v>
      </c>
      <c r="B1539" s="1" t="s">
        <v>1154</v>
      </c>
      <c r="C1539" s="1" t="s">
        <v>782</v>
      </c>
      <c r="D1539">
        <f>IFERROR(VLOOKUP(A1539,depara!A:B,2,0),A1539)</f>
        <v>16598621</v>
      </c>
      <c r="E1539">
        <f>VLOOKUP(B1539,'inumos depara'!$A:$B,2,0)</f>
        <v>16298565</v>
      </c>
      <c r="F1539" s="1" t="str">
        <f t="shared" si="48"/>
        <v>0.000187820559127357</v>
      </c>
      <c r="G1539" t="str">
        <f t="shared" si="49"/>
        <v>16598621,16298565,0.000187820559127357</v>
      </c>
    </row>
    <row r="1540" spans="1:7" x14ac:dyDescent="0.25">
      <c r="A1540" s="1" t="s">
        <v>778</v>
      </c>
      <c r="B1540" s="1" t="s">
        <v>1383</v>
      </c>
      <c r="C1540" s="1" t="s">
        <v>1620</v>
      </c>
      <c r="D1540">
        <f>IFERROR(VLOOKUP(A1540,depara!A:B,2,0),A1540)</f>
        <v>16598621</v>
      </c>
      <c r="E1540">
        <f>VLOOKUP(B1540,'inumos depara'!$A:$B,2,0)</f>
        <v>16298767</v>
      </c>
      <c r="F1540" s="1" t="str">
        <f t="shared" si="48"/>
        <v>9.39102795636784E-06</v>
      </c>
      <c r="G1540" t="str">
        <f t="shared" si="49"/>
        <v>16598621,16298767,9.39102795636784E-06</v>
      </c>
    </row>
    <row r="1541" spans="1:7" x14ac:dyDescent="0.25">
      <c r="A1541" s="1" t="s">
        <v>778</v>
      </c>
      <c r="B1541" s="1" t="s">
        <v>1385</v>
      </c>
      <c r="C1541" s="1" t="s">
        <v>1619</v>
      </c>
      <c r="D1541">
        <f>IFERROR(VLOOKUP(A1541,depara!A:B,2,0),A1541)</f>
        <v>16598621</v>
      </c>
      <c r="E1541">
        <f>VLOOKUP(B1541,'inumos depara'!$A:$B,2,0)</f>
        <v>16298768</v>
      </c>
      <c r="F1541" s="1" t="str">
        <f t="shared" si="48"/>
        <v>9.39102795636784E-05</v>
      </c>
      <c r="G1541" t="str">
        <f t="shared" si="49"/>
        <v>16598621,16298768,9.39102795636784E-05</v>
      </c>
    </row>
    <row r="1542" spans="1:7" x14ac:dyDescent="0.25">
      <c r="A1542" s="1" t="s">
        <v>778</v>
      </c>
      <c r="B1542" s="1" t="s">
        <v>1386</v>
      </c>
      <c r="C1542" s="1" t="s">
        <v>1619</v>
      </c>
      <c r="D1542">
        <f>IFERROR(VLOOKUP(A1542,depara!A:B,2,0),A1542)</f>
        <v>16598621</v>
      </c>
      <c r="E1542">
        <f>VLOOKUP(B1542,'inumos depara'!$A:$B,2,0)</f>
        <v>16298769</v>
      </c>
      <c r="F1542" s="1" t="str">
        <f t="shared" si="48"/>
        <v>9.39102795636784E-05</v>
      </c>
      <c r="G1542" t="str">
        <f t="shared" si="49"/>
        <v>16598621,16298769,9.39102795636784E-05</v>
      </c>
    </row>
    <row r="1543" spans="1:7" x14ac:dyDescent="0.25">
      <c r="A1543" s="1" t="s">
        <v>778</v>
      </c>
      <c r="B1543" s="1" t="s">
        <v>783</v>
      </c>
      <c r="C1543" s="1" t="s">
        <v>784</v>
      </c>
      <c r="D1543">
        <f>IFERROR(VLOOKUP(A1543,depara!A:B,2,0),A1543)</f>
        <v>16598621</v>
      </c>
      <c r="E1543">
        <f>VLOOKUP(B1543,'inumos depara'!$A:$B,2,0)</f>
        <v>16299082</v>
      </c>
      <c r="F1543" s="1" t="str">
        <f t="shared" si="48"/>
        <v>0.000505670736112114</v>
      </c>
      <c r="G1543" t="str">
        <f t="shared" si="49"/>
        <v>16598621,16299082,0.000505670736112114</v>
      </c>
    </row>
    <row r="1544" spans="1:7" x14ac:dyDescent="0.25">
      <c r="A1544" s="1" t="s">
        <v>778</v>
      </c>
      <c r="B1544" s="1" t="s">
        <v>1301</v>
      </c>
      <c r="C1544" s="1" t="s">
        <v>785</v>
      </c>
      <c r="D1544">
        <f>IFERROR(VLOOKUP(A1544,depara!A:B,2,0),A1544)</f>
        <v>16598621</v>
      </c>
      <c r="E1544">
        <f>VLOOKUP(B1544,'inumos depara'!$A:$B,2,0)</f>
        <v>16298703</v>
      </c>
      <c r="F1544" s="1" t="str">
        <f t="shared" si="48"/>
        <v>0.0100050567073611</v>
      </c>
      <c r="G1544" t="str">
        <f t="shared" si="49"/>
        <v>16598621,16298703,0.0100050567073611</v>
      </c>
    </row>
    <row r="1545" spans="1:7" x14ac:dyDescent="0.25">
      <c r="A1545" s="1" t="s">
        <v>786</v>
      </c>
      <c r="B1545" s="1" t="s">
        <v>1312</v>
      </c>
      <c r="C1545" s="1" t="s">
        <v>787</v>
      </c>
      <c r="D1545">
        <f>IFERROR(VLOOKUP(A1545,depara!A:B,2,0),A1545)</f>
        <v>16598622</v>
      </c>
      <c r="E1545">
        <f>VLOOKUP(B1545,'inumos depara'!$A:$B,2,0)</f>
        <v>16298712</v>
      </c>
      <c r="F1545" s="1" t="str">
        <f t="shared" si="48"/>
        <v>0.0280612244897959</v>
      </c>
      <c r="G1545" t="str">
        <f t="shared" si="49"/>
        <v>16598622,16298712,0.0280612244897959</v>
      </c>
    </row>
    <row r="1546" spans="1:7" x14ac:dyDescent="0.25">
      <c r="A1546" s="1" t="s">
        <v>786</v>
      </c>
      <c r="B1546" s="1" t="s">
        <v>788</v>
      </c>
      <c r="C1546" s="1" t="s">
        <v>1621</v>
      </c>
      <c r="D1546">
        <f>IFERROR(VLOOKUP(A1546,depara!A:B,2,0),A1546)</f>
        <v>16598622</v>
      </c>
      <c r="E1546">
        <f>VLOOKUP(B1546,'inumos depara'!$A:$B,2,0)</f>
        <v>16299083</v>
      </c>
      <c r="F1546" s="1" t="str">
        <f t="shared" si="48"/>
        <v>1.00998542274052</v>
      </c>
      <c r="G1546" t="str">
        <f t="shared" si="49"/>
        <v>16598622,16299083,1.00998542274052</v>
      </c>
    </row>
    <row r="1547" spans="1:7" x14ac:dyDescent="0.25">
      <c r="A1547" s="1" t="s">
        <v>786</v>
      </c>
      <c r="B1547" s="1" t="s">
        <v>160</v>
      </c>
      <c r="C1547" s="1" t="s">
        <v>789</v>
      </c>
      <c r="D1547">
        <f>IFERROR(VLOOKUP(A1547,depara!A:B,2,0),A1547)</f>
        <v>16598622</v>
      </c>
      <c r="E1547">
        <f>VLOOKUP(B1547,'inumos depara'!$A:$B,2,0)</f>
        <v>16298745</v>
      </c>
      <c r="F1547" s="1" t="str">
        <f t="shared" si="48"/>
        <v>0.00087463556851312</v>
      </c>
      <c r="G1547" t="str">
        <f t="shared" si="49"/>
        <v>16598622,16298745,0.00087463556851312</v>
      </c>
    </row>
    <row r="1548" spans="1:7" x14ac:dyDescent="0.25">
      <c r="A1548" s="1" t="s">
        <v>786</v>
      </c>
      <c r="B1548" s="1" t="s">
        <v>1303</v>
      </c>
      <c r="C1548" s="1" t="s">
        <v>790</v>
      </c>
      <c r="D1548">
        <f>IFERROR(VLOOKUP(A1548,depara!A:B,2,0),A1548)</f>
        <v>16598622</v>
      </c>
      <c r="E1548">
        <f>VLOOKUP(B1548,'inumos depara'!$A:$B,2,0)</f>
        <v>16298704</v>
      </c>
      <c r="F1548" s="1" t="str">
        <f t="shared" si="48"/>
        <v>0.0694580903790088</v>
      </c>
      <c r="G1548" t="str">
        <f t="shared" si="49"/>
        <v>16598622,16298704,0.0694580903790088</v>
      </c>
    </row>
    <row r="1549" spans="1:7" x14ac:dyDescent="0.25">
      <c r="A1549" s="1" t="s">
        <v>786</v>
      </c>
      <c r="B1549" s="1" t="s">
        <v>1304</v>
      </c>
      <c r="C1549" s="1" t="s">
        <v>791</v>
      </c>
      <c r="D1549">
        <f>IFERROR(VLOOKUP(A1549,depara!A:B,2,0),A1549)</f>
        <v>16598622</v>
      </c>
      <c r="E1549">
        <f>VLOOKUP(B1549,'inumos depara'!$A:$B,2,0)</f>
        <v>16298705</v>
      </c>
      <c r="F1549" s="1" t="str">
        <f t="shared" si="48"/>
        <v>0.00341107871720117</v>
      </c>
      <c r="G1549" t="str">
        <f t="shared" si="49"/>
        <v>16598622,16298705,0.00341107871720117</v>
      </c>
    </row>
    <row r="1550" spans="1:7" x14ac:dyDescent="0.25">
      <c r="A1550" s="1" t="s">
        <v>786</v>
      </c>
      <c r="B1550" s="1" t="s">
        <v>1305</v>
      </c>
      <c r="C1550" s="1" t="s">
        <v>792</v>
      </c>
      <c r="D1550">
        <f>IFERROR(VLOOKUP(A1550,depara!A:B,2,0),A1550)</f>
        <v>16598622</v>
      </c>
      <c r="E1550">
        <f>VLOOKUP(B1550,'inumos depara'!$A:$B,2,0)</f>
        <v>16298706</v>
      </c>
      <c r="F1550" s="1" t="str">
        <f t="shared" si="48"/>
        <v>0.00170553935860058</v>
      </c>
      <c r="G1550" t="str">
        <f t="shared" si="49"/>
        <v>16598622,16298706,0.00170553935860058</v>
      </c>
    </row>
    <row r="1551" spans="1:7" x14ac:dyDescent="0.25">
      <c r="A1551" s="1" t="s">
        <v>786</v>
      </c>
      <c r="B1551" s="1" t="s">
        <v>1376</v>
      </c>
      <c r="C1551" s="1" t="s">
        <v>793</v>
      </c>
      <c r="D1551">
        <f>IFERROR(VLOOKUP(A1551,depara!A:B,2,0),A1551)</f>
        <v>16598622</v>
      </c>
      <c r="E1551">
        <f>VLOOKUP(B1551,'inumos depara'!$A:$B,2,0)</f>
        <v>16298760</v>
      </c>
      <c r="F1551" s="1" t="str">
        <f t="shared" si="48"/>
        <v>0.000852769679300291</v>
      </c>
      <c r="G1551" t="str">
        <f t="shared" si="49"/>
        <v>16598622,16298760,0.000852769679300291</v>
      </c>
    </row>
    <row r="1552" spans="1:7" x14ac:dyDescent="0.25">
      <c r="A1552" s="1" t="s">
        <v>786</v>
      </c>
      <c r="B1552" s="1" t="s">
        <v>1205</v>
      </c>
      <c r="C1552" s="1" t="s">
        <v>794</v>
      </c>
      <c r="D1552">
        <f>IFERROR(VLOOKUP(A1552,depara!A:B,2,0),A1552)</f>
        <v>16598622</v>
      </c>
      <c r="E1552">
        <f>VLOOKUP(B1552,'inumos depara'!$A:$B,2,0)</f>
        <v>16298610</v>
      </c>
      <c r="F1552" s="1" t="str">
        <f t="shared" si="48"/>
        <v>0.000426384839650146</v>
      </c>
      <c r="G1552" t="str">
        <f t="shared" si="49"/>
        <v>16598622,16298610,0.000426384839650146</v>
      </c>
    </row>
    <row r="1553" spans="1:7" x14ac:dyDescent="0.25">
      <c r="A1553" s="1" t="s">
        <v>786</v>
      </c>
      <c r="B1553" s="1" t="s">
        <v>1377</v>
      </c>
      <c r="C1553" s="1" t="s">
        <v>793</v>
      </c>
      <c r="D1553">
        <f>IFERROR(VLOOKUP(A1553,depara!A:B,2,0),A1553)</f>
        <v>16598622</v>
      </c>
      <c r="E1553">
        <f>VLOOKUP(B1553,'inumos depara'!$A:$B,2,0)</f>
        <v>16298761</v>
      </c>
      <c r="F1553" s="1" t="str">
        <f t="shared" si="48"/>
        <v>0.000852769679300291</v>
      </c>
      <c r="G1553" t="str">
        <f t="shared" si="49"/>
        <v>16598622,16298761,0.000852769679300291</v>
      </c>
    </row>
    <row r="1554" spans="1:7" x14ac:dyDescent="0.25">
      <c r="A1554" s="1" t="s">
        <v>786</v>
      </c>
      <c r="B1554" s="1" t="s">
        <v>1157</v>
      </c>
      <c r="C1554" s="1" t="s">
        <v>794</v>
      </c>
      <c r="D1554">
        <f>IFERROR(VLOOKUP(A1554,depara!A:B,2,0),A1554)</f>
        <v>16598622</v>
      </c>
      <c r="E1554">
        <f>VLOOKUP(B1554,'inumos depara'!$A:$B,2,0)</f>
        <v>16298568</v>
      </c>
      <c r="F1554" s="1" t="str">
        <f t="shared" si="48"/>
        <v>0.000426384839650146</v>
      </c>
      <c r="G1554" t="str">
        <f t="shared" si="49"/>
        <v>16598622,16298568,0.000426384839650146</v>
      </c>
    </row>
    <row r="1555" spans="1:7" x14ac:dyDescent="0.25">
      <c r="A1555" s="1" t="s">
        <v>786</v>
      </c>
      <c r="B1555" s="1" t="s">
        <v>1378</v>
      </c>
      <c r="C1555" s="1" t="s">
        <v>792</v>
      </c>
      <c r="D1555">
        <f>IFERROR(VLOOKUP(A1555,depara!A:B,2,0),A1555)</f>
        <v>16598622</v>
      </c>
      <c r="E1555">
        <f>VLOOKUP(B1555,'inumos depara'!$A:$B,2,0)</f>
        <v>16298762</v>
      </c>
      <c r="F1555" s="1" t="str">
        <f t="shared" si="48"/>
        <v>0.00170553935860058</v>
      </c>
      <c r="G1555" t="str">
        <f t="shared" si="49"/>
        <v>16598622,16298762,0.00170553935860058</v>
      </c>
    </row>
    <row r="1556" spans="1:7" x14ac:dyDescent="0.25">
      <c r="A1556" s="1" t="s">
        <v>786</v>
      </c>
      <c r="B1556" s="1" t="s">
        <v>1379</v>
      </c>
      <c r="C1556" s="1" t="s">
        <v>793</v>
      </c>
      <c r="D1556">
        <f>IFERROR(VLOOKUP(A1556,depara!A:B,2,0),A1556)</f>
        <v>16598622</v>
      </c>
      <c r="E1556">
        <f>VLOOKUP(B1556,'inumos depara'!$A:$B,2,0)</f>
        <v>16298763</v>
      </c>
      <c r="F1556" s="1" t="str">
        <f t="shared" si="48"/>
        <v>0.000852769679300291</v>
      </c>
      <c r="G1556" t="str">
        <f t="shared" si="49"/>
        <v>16598622,16298763,0.000852769679300291</v>
      </c>
    </row>
    <row r="1557" spans="1:7" x14ac:dyDescent="0.25">
      <c r="A1557" s="1" t="s">
        <v>786</v>
      </c>
      <c r="B1557" s="1" t="s">
        <v>1380</v>
      </c>
      <c r="C1557" s="1" t="s">
        <v>793</v>
      </c>
      <c r="D1557">
        <f>IFERROR(VLOOKUP(A1557,depara!A:B,2,0),A1557)</f>
        <v>16598622</v>
      </c>
      <c r="E1557">
        <f>VLOOKUP(B1557,'inumos depara'!$A:$B,2,0)</f>
        <v>16298764</v>
      </c>
      <c r="F1557" s="1" t="str">
        <f t="shared" si="48"/>
        <v>0.000852769679300291</v>
      </c>
      <c r="G1557" t="str">
        <f t="shared" si="49"/>
        <v>16598622,16298764,0.000852769679300291</v>
      </c>
    </row>
    <row r="1558" spans="1:7" x14ac:dyDescent="0.25">
      <c r="A1558" s="1" t="s">
        <v>786</v>
      </c>
      <c r="B1558" s="1" t="s">
        <v>1180</v>
      </c>
      <c r="C1558" s="1" t="s">
        <v>794</v>
      </c>
      <c r="D1558">
        <f>IFERROR(VLOOKUP(A1558,depara!A:B,2,0),A1558)</f>
        <v>16598622</v>
      </c>
      <c r="E1558">
        <f>VLOOKUP(B1558,'inumos depara'!$A:$B,2,0)</f>
        <v>16298588</v>
      </c>
      <c r="F1558" s="1" t="str">
        <f t="shared" si="48"/>
        <v>0.000426384839650146</v>
      </c>
      <c r="G1558" t="str">
        <f t="shared" si="49"/>
        <v>16598622,16298588,0.000426384839650146</v>
      </c>
    </row>
    <row r="1559" spans="1:7" x14ac:dyDescent="0.25">
      <c r="A1559" s="1" t="s">
        <v>786</v>
      </c>
      <c r="B1559" s="1" t="s">
        <v>1381</v>
      </c>
      <c r="C1559" s="1" t="s">
        <v>793</v>
      </c>
      <c r="D1559">
        <f>IFERROR(VLOOKUP(A1559,depara!A:B,2,0),A1559)</f>
        <v>16598622</v>
      </c>
      <c r="E1559">
        <f>VLOOKUP(B1559,'inumos depara'!$A:$B,2,0)</f>
        <v>16298765</v>
      </c>
      <c r="F1559" s="1" t="str">
        <f t="shared" si="48"/>
        <v>0.000852769679300291</v>
      </c>
      <c r="G1559" t="str">
        <f t="shared" si="49"/>
        <v>16598622,16298765,0.000852769679300291</v>
      </c>
    </row>
    <row r="1560" spans="1:7" x14ac:dyDescent="0.25">
      <c r="A1560" s="1" t="s">
        <v>786</v>
      </c>
      <c r="B1560" s="1" t="s">
        <v>1382</v>
      </c>
      <c r="C1560" s="1" t="s">
        <v>792</v>
      </c>
      <c r="D1560">
        <f>IFERROR(VLOOKUP(A1560,depara!A:B,2,0),A1560)</f>
        <v>16598622</v>
      </c>
      <c r="E1560">
        <f>VLOOKUP(B1560,'inumos depara'!$A:$B,2,0)</f>
        <v>16298766</v>
      </c>
      <c r="F1560" s="1" t="str">
        <f t="shared" si="48"/>
        <v>0.00170553935860058</v>
      </c>
      <c r="G1560" t="str">
        <f t="shared" si="49"/>
        <v>16598622,16298766,0.00170553935860058</v>
      </c>
    </row>
    <row r="1561" spans="1:7" x14ac:dyDescent="0.25">
      <c r="A1561" s="1" t="s">
        <v>786</v>
      </c>
      <c r="B1561" s="1" t="s">
        <v>1154</v>
      </c>
      <c r="C1561" s="1" t="s">
        <v>793</v>
      </c>
      <c r="D1561">
        <f>IFERROR(VLOOKUP(A1561,depara!A:B,2,0),A1561)</f>
        <v>16598622</v>
      </c>
      <c r="E1561">
        <f>VLOOKUP(B1561,'inumos depara'!$A:$B,2,0)</f>
        <v>16298565</v>
      </c>
      <c r="F1561" s="1" t="str">
        <f t="shared" si="48"/>
        <v>0.000852769679300291</v>
      </c>
      <c r="G1561" t="str">
        <f t="shared" si="49"/>
        <v>16598622,16298565,0.000852769679300291</v>
      </c>
    </row>
    <row r="1562" spans="1:7" x14ac:dyDescent="0.25">
      <c r="A1562" s="1" t="s">
        <v>786</v>
      </c>
      <c r="B1562" s="1" t="s">
        <v>1383</v>
      </c>
      <c r="C1562" s="1" t="s">
        <v>1622</v>
      </c>
      <c r="D1562">
        <f>IFERROR(VLOOKUP(A1562,depara!A:B,2,0),A1562)</f>
        <v>16598622</v>
      </c>
      <c r="E1562">
        <f>VLOOKUP(B1562,'inumos depara'!$A:$B,2,0)</f>
        <v>16298767</v>
      </c>
      <c r="F1562" s="1" t="str">
        <f t="shared" si="48"/>
        <v>4.26384839650146E-05</v>
      </c>
      <c r="G1562" t="str">
        <f t="shared" si="49"/>
        <v>16598622,16298767,4.26384839650146E-05</v>
      </c>
    </row>
    <row r="1563" spans="1:7" x14ac:dyDescent="0.25">
      <c r="A1563" s="1" t="s">
        <v>786</v>
      </c>
      <c r="B1563" s="1" t="s">
        <v>1385</v>
      </c>
      <c r="C1563" s="1" t="s">
        <v>794</v>
      </c>
      <c r="D1563">
        <f>IFERROR(VLOOKUP(A1563,depara!A:B,2,0),A1563)</f>
        <v>16598622</v>
      </c>
      <c r="E1563">
        <f>VLOOKUP(B1563,'inumos depara'!$A:$B,2,0)</f>
        <v>16298768</v>
      </c>
      <c r="F1563" s="1" t="str">
        <f t="shared" si="48"/>
        <v>0.000426384839650146</v>
      </c>
      <c r="G1563" t="str">
        <f t="shared" si="49"/>
        <v>16598622,16298768,0.000426384839650146</v>
      </c>
    </row>
    <row r="1564" spans="1:7" x14ac:dyDescent="0.25">
      <c r="A1564" s="1" t="s">
        <v>786</v>
      </c>
      <c r="B1564" s="1" t="s">
        <v>1386</v>
      </c>
      <c r="C1564" s="1" t="s">
        <v>794</v>
      </c>
      <c r="D1564">
        <f>IFERROR(VLOOKUP(A1564,depara!A:B,2,0),A1564)</f>
        <v>16598622</v>
      </c>
      <c r="E1564">
        <f>VLOOKUP(B1564,'inumos depara'!$A:$B,2,0)</f>
        <v>16298769</v>
      </c>
      <c r="F1564" s="1" t="str">
        <f t="shared" si="48"/>
        <v>0.000426384839650146</v>
      </c>
      <c r="G1564" t="str">
        <f t="shared" si="49"/>
        <v>16598622,16298769,0.000426384839650146</v>
      </c>
    </row>
    <row r="1565" spans="1:7" x14ac:dyDescent="0.25">
      <c r="A1565" s="1" t="s">
        <v>795</v>
      </c>
      <c r="B1565" s="1" t="s">
        <v>796</v>
      </c>
      <c r="C1565" s="1" t="s">
        <v>797</v>
      </c>
      <c r="D1565">
        <f>IFERROR(VLOOKUP(A1565,depara!A:B,2,0),A1565)</f>
        <v>16598623</v>
      </c>
      <c r="E1565">
        <f>VLOOKUP(B1565,'inumos depara'!$A:$B,2,0)</f>
        <v>16299084</v>
      </c>
      <c r="F1565" s="1" t="str">
        <f t="shared" si="48"/>
        <v>0.00136034563288183</v>
      </c>
      <c r="G1565" t="str">
        <f t="shared" si="49"/>
        <v>16598623,16299084,0.00136034563288183</v>
      </c>
    </row>
    <row r="1566" spans="1:7" x14ac:dyDescent="0.25">
      <c r="A1566" s="1" t="s">
        <v>795</v>
      </c>
      <c r="B1566" s="1" t="s">
        <v>1443</v>
      </c>
      <c r="C1566" s="1" t="s">
        <v>798</v>
      </c>
      <c r="D1566">
        <f>IFERROR(VLOOKUP(A1566,depara!A:B,2,0),A1566)</f>
        <v>16598623</v>
      </c>
      <c r="E1566">
        <f>VLOOKUP(B1566,'inumos depara'!$A:$B,2,0)</f>
        <v>16298809</v>
      </c>
      <c r="F1566" s="1" t="str">
        <f t="shared" si="48"/>
        <v>0.0100011676786548</v>
      </c>
      <c r="G1566" t="str">
        <f t="shared" si="49"/>
        <v>16598623,16298809,0.0100011676786548</v>
      </c>
    </row>
    <row r="1567" spans="1:7" x14ac:dyDescent="0.25">
      <c r="A1567" s="1" t="s">
        <v>795</v>
      </c>
      <c r="B1567" s="1" t="s">
        <v>799</v>
      </c>
      <c r="C1567" s="1" t="s">
        <v>800</v>
      </c>
      <c r="D1567">
        <f>IFERROR(VLOOKUP(A1567,depara!A:B,2,0),A1567)</f>
        <v>16598623</v>
      </c>
      <c r="E1567">
        <f>VLOOKUP(B1567,'inumos depara'!$A:$B,2,0)</f>
        <v>16299085</v>
      </c>
      <c r="F1567" s="1" t="str">
        <f t="shared" si="48"/>
        <v>0.0060690098085007</v>
      </c>
      <c r="G1567" t="str">
        <f t="shared" si="49"/>
        <v>16598623,16299085,0.0060690098085007</v>
      </c>
    </row>
    <row r="1568" spans="1:7" x14ac:dyDescent="0.25">
      <c r="A1568" s="1" t="s">
        <v>801</v>
      </c>
      <c r="B1568" s="1" t="s">
        <v>773</v>
      </c>
      <c r="C1568" s="1" t="s">
        <v>1623</v>
      </c>
      <c r="D1568">
        <f>IFERROR(VLOOKUP(A1568,depara!A:B,2,0),A1568)</f>
        <v>16598624</v>
      </c>
      <c r="E1568">
        <f>VLOOKUP(B1568,'inumos depara'!$A:$B,2,0)</f>
        <v>16299079</v>
      </c>
      <c r="F1568" s="1" t="str">
        <f t="shared" si="48"/>
        <v>1.01995126408772</v>
      </c>
      <c r="G1568" t="str">
        <f t="shared" si="49"/>
        <v>16598624,16299079,1.01995126408772</v>
      </c>
    </row>
    <row r="1569" spans="1:7" x14ac:dyDescent="0.25">
      <c r="A1569" s="1" t="s">
        <v>801</v>
      </c>
      <c r="B1569" s="1" t="s">
        <v>1288</v>
      </c>
      <c r="C1569" s="1" t="s">
        <v>802</v>
      </c>
      <c r="D1569">
        <f>IFERROR(VLOOKUP(A1569,depara!A:B,2,0),A1569)</f>
        <v>16598624</v>
      </c>
      <c r="E1569">
        <f>VLOOKUP(B1569,'inumos depara'!$A:$B,2,0)</f>
        <v>16298692</v>
      </c>
      <c r="F1569" s="1" t="str">
        <f t="shared" si="48"/>
        <v>0.0624428876028023</v>
      </c>
      <c r="G1569" t="str">
        <f t="shared" si="49"/>
        <v>16598624,16298692,0.0624428876028023</v>
      </c>
    </row>
    <row r="1570" spans="1:7" x14ac:dyDescent="0.25">
      <c r="A1570" s="1" t="s">
        <v>801</v>
      </c>
      <c r="B1570" s="1" t="s">
        <v>1367</v>
      </c>
      <c r="C1570" s="1" t="s">
        <v>1624</v>
      </c>
      <c r="D1570">
        <f>IFERROR(VLOOKUP(A1570,depara!A:B,2,0),A1570)</f>
        <v>16598624</v>
      </c>
      <c r="E1570">
        <f>VLOOKUP(B1570,'inumos depara'!$A:$B,2,0)</f>
        <v>16298755</v>
      </c>
      <c r="F1570" s="1" t="str">
        <f t="shared" si="48"/>
        <v>1.0050258909534</v>
      </c>
      <c r="G1570" t="str">
        <f t="shared" si="49"/>
        <v>16598624,16298755,1.0050258909534</v>
      </c>
    </row>
    <row r="1571" spans="1:7" x14ac:dyDescent="0.25">
      <c r="A1571" s="1" t="s">
        <v>801</v>
      </c>
      <c r="B1571" s="1" t="s">
        <v>98</v>
      </c>
      <c r="C1571" s="1" t="s">
        <v>1624</v>
      </c>
      <c r="D1571">
        <f>IFERROR(VLOOKUP(A1571,depara!A:B,2,0),A1571)</f>
        <v>16598624</v>
      </c>
      <c r="E1571">
        <f>VLOOKUP(B1571,'inumos depara'!$A:$B,2,0)</f>
        <v>16298690</v>
      </c>
      <c r="F1571" s="1" t="str">
        <f t="shared" si="48"/>
        <v>1.0050258909534</v>
      </c>
      <c r="G1571" t="str">
        <f t="shared" si="49"/>
        <v>16598624,16298690,1.0050258909534</v>
      </c>
    </row>
    <row r="1572" spans="1:7" x14ac:dyDescent="0.25">
      <c r="A1572" s="1" t="s">
        <v>801</v>
      </c>
      <c r="B1572" s="1" t="s">
        <v>803</v>
      </c>
      <c r="C1572" s="1" t="s">
        <v>1608</v>
      </c>
      <c r="D1572">
        <f>IFERROR(VLOOKUP(A1572,depara!A:B,2,0),A1572)</f>
        <v>16598624</v>
      </c>
      <c r="E1572">
        <f>VLOOKUP(B1572,'inumos depara'!$A:$B,2,0)</f>
        <v>16299086</v>
      </c>
      <c r="F1572" s="1" t="str">
        <f t="shared" si="48"/>
        <v>1.03000304599452</v>
      </c>
      <c r="G1572" t="str">
        <f t="shared" si="49"/>
        <v>16598624,16299086,1.03000304599452</v>
      </c>
    </row>
    <row r="1573" spans="1:7" x14ac:dyDescent="0.25">
      <c r="A1573" s="1" t="s">
        <v>801</v>
      </c>
      <c r="B1573" s="1" t="s">
        <v>804</v>
      </c>
      <c r="C1573" s="1" t="s">
        <v>1625</v>
      </c>
      <c r="D1573">
        <f>IFERROR(VLOOKUP(A1573,depara!A:B,2,0),A1573)</f>
        <v>16598624</v>
      </c>
      <c r="E1573">
        <f>VLOOKUP(B1573,'inumos depara'!$A:$B,2,0)</f>
        <v>16299087</v>
      </c>
      <c r="F1573" s="1" t="str">
        <f t="shared" si="48"/>
        <v>1.03502893694791</v>
      </c>
      <c r="G1573" t="str">
        <f t="shared" si="49"/>
        <v>16598624,16299087,1.03502893694791</v>
      </c>
    </row>
    <row r="1574" spans="1:7" x14ac:dyDescent="0.25">
      <c r="A1574" s="1" t="s">
        <v>801</v>
      </c>
      <c r="B1574" s="1" t="s">
        <v>799</v>
      </c>
      <c r="C1574" s="1" t="s">
        <v>745</v>
      </c>
      <c r="D1574">
        <f>IFERROR(VLOOKUP(A1574,depara!A:B,2,0),A1574)</f>
        <v>16598624</v>
      </c>
      <c r="E1574">
        <f>VLOOKUP(B1574,'inumos depara'!$A:$B,2,0)</f>
        <v>16299085</v>
      </c>
      <c r="F1574" s="1" t="str">
        <f t="shared" si="48"/>
        <v>0.158315565031983</v>
      </c>
      <c r="G1574" t="str">
        <f t="shared" si="49"/>
        <v>16598624,16299085,0.158315565031983</v>
      </c>
    </row>
    <row r="1575" spans="1:7" x14ac:dyDescent="0.25">
      <c r="A1575" s="1" t="s">
        <v>805</v>
      </c>
      <c r="B1575" s="1" t="s">
        <v>1260</v>
      </c>
      <c r="C1575" s="1" t="s">
        <v>806</v>
      </c>
      <c r="D1575">
        <f>IFERROR(VLOOKUP(A1575,depara!A:B,2,0),A1575)</f>
        <v>16598625</v>
      </c>
      <c r="E1575">
        <f>VLOOKUP(B1575,'inumos depara'!$A:$B,2,0)</f>
        <v>16298727</v>
      </c>
      <c r="F1575" s="1" t="str">
        <f t="shared" si="48"/>
        <v>0.0340896050492493</v>
      </c>
      <c r="G1575" t="str">
        <f t="shared" si="49"/>
        <v>16598625,16298727,0.0340896050492493</v>
      </c>
    </row>
    <row r="1576" spans="1:7" x14ac:dyDescent="0.25">
      <c r="A1576" s="1" t="s">
        <v>805</v>
      </c>
      <c r="B1576" s="1" t="s">
        <v>807</v>
      </c>
      <c r="C1576" s="1" t="s">
        <v>1626</v>
      </c>
      <c r="D1576">
        <f>IFERROR(VLOOKUP(A1576,depara!A:B,2,0),A1576)</f>
        <v>16598625</v>
      </c>
      <c r="E1576">
        <f>VLOOKUP(B1576,'inumos depara'!$A:$B,2,0)</f>
        <v>16299088</v>
      </c>
      <c r="F1576" s="1" t="str">
        <f t="shared" si="48"/>
        <v>1.0499665295974</v>
      </c>
      <c r="G1576" t="str">
        <f t="shared" si="49"/>
        <v>16598625,16299088,1.0499665295974</v>
      </c>
    </row>
    <row r="1577" spans="1:7" x14ac:dyDescent="0.25">
      <c r="A1577" s="1" t="s">
        <v>805</v>
      </c>
      <c r="B1577" s="1" t="s">
        <v>144</v>
      </c>
      <c r="C1577" s="1" t="s">
        <v>808</v>
      </c>
      <c r="D1577">
        <f>IFERROR(VLOOKUP(A1577,depara!A:B,2,0),A1577)</f>
        <v>16598625</v>
      </c>
      <c r="E1577">
        <f>VLOOKUP(B1577,'inumos depara'!$A:$B,2,0)</f>
        <v>16298729</v>
      </c>
      <c r="F1577" s="1" t="str">
        <f t="shared" si="48"/>
        <v>0.0624940231423927</v>
      </c>
      <c r="G1577" t="str">
        <f t="shared" si="49"/>
        <v>16598625,16298729,0.0624940231423927</v>
      </c>
    </row>
    <row r="1578" spans="1:7" x14ac:dyDescent="0.25">
      <c r="A1578" s="1" t="s">
        <v>805</v>
      </c>
      <c r="B1578" s="1" t="s">
        <v>809</v>
      </c>
      <c r="C1578" s="1" t="s">
        <v>1627</v>
      </c>
      <c r="D1578">
        <f>IFERROR(VLOOKUP(A1578,depara!A:B,2,0),A1578)</f>
        <v>16598625</v>
      </c>
      <c r="E1578">
        <f>VLOOKUP(B1578,'inumos depara'!$A:$B,2,0)</f>
        <v>16299089</v>
      </c>
      <c r="F1578" s="1" t="str">
        <f t="shared" si="48"/>
        <v>1.00497274552931</v>
      </c>
      <c r="G1578" t="str">
        <f t="shared" si="49"/>
        <v>16598625,16299089,1.00497274552931</v>
      </c>
    </row>
    <row r="1579" spans="1:7" x14ac:dyDescent="0.25">
      <c r="A1579" s="1" t="s">
        <v>810</v>
      </c>
      <c r="B1579" s="1" t="s">
        <v>1260</v>
      </c>
      <c r="C1579" s="1" t="s">
        <v>811</v>
      </c>
      <c r="D1579">
        <f>IFERROR(VLOOKUP(A1579,depara!A:B,2,0),A1579)</f>
        <v>16598626</v>
      </c>
      <c r="E1579">
        <f>VLOOKUP(B1579,'inumos depara'!$A:$B,2,0)</f>
        <v>16298727</v>
      </c>
      <c r="F1579" s="1" t="str">
        <f t="shared" si="48"/>
        <v>0.00373274205624113</v>
      </c>
      <c r="G1579" t="str">
        <f t="shared" si="49"/>
        <v>16598626,16298727,0.00373274205624113</v>
      </c>
    </row>
    <row r="1580" spans="1:7" x14ac:dyDescent="0.25">
      <c r="A1580" s="1" t="s">
        <v>810</v>
      </c>
      <c r="B1580" s="1" t="s">
        <v>812</v>
      </c>
      <c r="C1580" s="1" t="s">
        <v>813</v>
      </c>
      <c r="D1580">
        <f>IFERROR(VLOOKUP(A1580,depara!A:B,2,0),A1580)</f>
        <v>16598626</v>
      </c>
      <c r="E1580">
        <f>VLOOKUP(B1580,'inumos depara'!$A:$B,2,0)</f>
        <v>16299090</v>
      </c>
      <c r="F1580" s="1" t="str">
        <f t="shared" si="48"/>
        <v>0.00135602804203163</v>
      </c>
      <c r="G1580" t="str">
        <f t="shared" si="49"/>
        <v>16598626,16299090,0.00135602804203163</v>
      </c>
    </row>
    <row r="1581" spans="1:7" x14ac:dyDescent="0.25">
      <c r="A1581" s="1" t="s">
        <v>810</v>
      </c>
      <c r="B1581" s="1" t="s">
        <v>1443</v>
      </c>
      <c r="C1581" s="1" t="s">
        <v>814</v>
      </c>
      <c r="D1581">
        <f>IFERROR(VLOOKUP(A1581,depara!A:B,2,0),A1581)</f>
        <v>16598626</v>
      </c>
      <c r="E1581">
        <f>VLOOKUP(B1581,'inumos depara'!$A:$B,2,0)</f>
        <v>16298809</v>
      </c>
      <c r="F1581" s="1" t="str">
        <f t="shared" si="48"/>
        <v>0.0100000523562951</v>
      </c>
      <c r="G1581" t="str">
        <f t="shared" si="49"/>
        <v>16598626,16298809,0.0100000523562951</v>
      </c>
    </row>
    <row r="1582" spans="1:7" x14ac:dyDescent="0.25">
      <c r="A1582" s="1" t="s">
        <v>815</v>
      </c>
      <c r="B1582" s="1" t="s">
        <v>1259</v>
      </c>
      <c r="C1582" s="1" t="s">
        <v>816</v>
      </c>
      <c r="D1582">
        <f>IFERROR(VLOOKUP(A1582,depara!A:B,2,0),A1582)</f>
        <v>16598627</v>
      </c>
      <c r="E1582">
        <f>VLOOKUP(B1582,'inumos depara'!$A:$B,2,0)</f>
        <v>16298793</v>
      </c>
      <c r="F1582" s="1" t="str">
        <f t="shared" si="48"/>
        <v>0.0037863016550432</v>
      </c>
      <c r="G1582" t="str">
        <f t="shared" si="49"/>
        <v>16598627,16298793,0.0037863016550432</v>
      </c>
    </row>
    <row r="1583" spans="1:7" x14ac:dyDescent="0.25">
      <c r="A1583" s="1" t="s">
        <v>815</v>
      </c>
      <c r="B1583" s="1" t="s">
        <v>817</v>
      </c>
      <c r="C1583" s="1" t="s">
        <v>818</v>
      </c>
      <c r="D1583">
        <f>IFERROR(VLOOKUP(A1583,depara!A:B,2,0),A1583)</f>
        <v>16598627</v>
      </c>
      <c r="E1583">
        <f>VLOOKUP(B1583,'inumos depara'!$A:$B,2,0)</f>
        <v>16299091</v>
      </c>
      <c r="F1583" s="1" t="str">
        <f t="shared" si="48"/>
        <v>0.00135689750033458</v>
      </c>
      <c r="G1583" t="str">
        <f t="shared" si="49"/>
        <v>16598627,16299091,0.00135689750033458</v>
      </c>
    </row>
    <row r="1584" spans="1:7" x14ac:dyDescent="0.25">
      <c r="A1584" s="1" t="s">
        <v>815</v>
      </c>
      <c r="B1584" s="1" t="s">
        <v>1443</v>
      </c>
      <c r="C1584" s="1" t="s">
        <v>819</v>
      </c>
      <c r="D1584">
        <f>IFERROR(VLOOKUP(A1584,depara!A:B,2,0),A1584)</f>
        <v>16598627</v>
      </c>
      <c r="E1584">
        <f>VLOOKUP(B1584,'inumos depara'!$A:$B,2,0)</f>
        <v>16298809</v>
      </c>
      <c r="F1584" s="1" t="str">
        <f t="shared" si="48"/>
        <v>0.0100001487010959</v>
      </c>
      <c r="G1584" t="str">
        <f t="shared" si="49"/>
        <v>16598627,16298809,0.0100001487010959</v>
      </c>
    </row>
    <row r="1585" spans="1:7" x14ac:dyDescent="0.25">
      <c r="A1585" s="1" t="s">
        <v>820</v>
      </c>
      <c r="B1585" s="1" t="s">
        <v>1259</v>
      </c>
      <c r="C1585" s="1" t="s">
        <v>200</v>
      </c>
      <c r="D1585">
        <f>IFERROR(VLOOKUP(A1585,depara!A:B,2,0),A1585)</f>
        <v>16598628</v>
      </c>
      <c r="E1585">
        <f>VLOOKUP(B1585,'inumos depara'!$A:$B,2,0)</f>
        <v>16298793</v>
      </c>
      <c r="F1585" s="1" t="str">
        <f t="shared" si="48"/>
        <v>0.0553261991417242</v>
      </c>
      <c r="G1585" t="str">
        <f t="shared" si="49"/>
        <v>16598628,16298793,0.0553261991417242</v>
      </c>
    </row>
    <row r="1586" spans="1:7" x14ac:dyDescent="0.25">
      <c r="A1586" s="1" t="s">
        <v>820</v>
      </c>
      <c r="B1586" s="1" t="s">
        <v>821</v>
      </c>
      <c r="C1586" s="1" t="s">
        <v>1419</v>
      </c>
      <c r="D1586">
        <f>IFERROR(VLOOKUP(A1586,depara!A:B,2,0),A1586)</f>
        <v>16598628</v>
      </c>
      <c r="E1586">
        <f>VLOOKUP(B1586,'inumos depara'!$A:$B,2,0)</f>
        <v>16299092</v>
      </c>
      <c r="F1586" s="1" t="str">
        <f t="shared" si="48"/>
        <v>1.00499755554348</v>
      </c>
      <c r="G1586" t="str">
        <f t="shared" si="49"/>
        <v>16598628,16299092,1.00499755554348</v>
      </c>
    </row>
    <row r="1587" spans="1:7" x14ac:dyDescent="0.25">
      <c r="A1587" s="1" t="s">
        <v>820</v>
      </c>
      <c r="B1587" s="1" t="s">
        <v>822</v>
      </c>
      <c r="C1587" s="1" t="s">
        <v>1417</v>
      </c>
      <c r="D1587">
        <f>IFERROR(VLOOKUP(A1587,depara!A:B,2,0),A1587)</f>
        <v>16598628</v>
      </c>
      <c r="E1587">
        <f>VLOOKUP(B1587,'inumos depara'!$A:$B,2,0)</f>
        <v>16299093</v>
      </c>
      <c r="F1587" s="1" t="str">
        <f t="shared" si="48"/>
        <v>1.05002987669075</v>
      </c>
      <c r="G1587" t="str">
        <f t="shared" si="49"/>
        <v>16598628,16299093,1.05002987669075</v>
      </c>
    </row>
    <row r="1588" spans="1:7" x14ac:dyDescent="0.25">
      <c r="A1588" s="1" t="s">
        <v>820</v>
      </c>
      <c r="B1588" s="1" t="s">
        <v>1301</v>
      </c>
      <c r="C1588" s="1" t="s">
        <v>199</v>
      </c>
      <c r="D1588">
        <f>IFERROR(VLOOKUP(A1588,depara!A:B,2,0),A1588)</f>
        <v>16598628</v>
      </c>
      <c r="E1588">
        <f>VLOOKUP(B1588,'inumos depara'!$A:$B,2,0)</f>
        <v>16298703</v>
      </c>
      <c r="F1588" s="1" t="str">
        <f t="shared" si="48"/>
        <v>0.0625237655494595</v>
      </c>
      <c r="G1588" t="str">
        <f t="shared" si="49"/>
        <v>16598628,16298703,0.0625237655494595</v>
      </c>
    </row>
    <row r="1589" spans="1:7" x14ac:dyDescent="0.25">
      <c r="A1589" s="1" t="s">
        <v>823</v>
      </c>
      <c r="B1589" s="1" t="s">
        <v>1258</v>
      </c>
      <c r="C1589" s="1" t="s">
        <v>824</v>
      </c>
      <c r="D1589">
        <f>IFERROR(VLOOKUP(A1589,depara!A:B,2,0),A1589)</f>
        <v>16598629</v>
      </c>
      <c r="E1589">
        <f>VLOOKUP(B1589,'inumos depara'!$A:$B,2,0)</f>
        <v>16298799</v>
      </c>
      <c r="F1589" s="1" t="str">
        <f t="shared" si="48"/>
        <v>0.00308636363636364</v>
      </c>
      <c r="G1589" t="str">
        <f t="shared" si="49"/>
        <v>16598629,16298799,0.00308636363636364</v>
      </c>
    </row>
    <row r="1590" spans="1:7" x14ac:dyDescent="0.25">
      <c r="A1590" s="1" t="s">
        <v>823</v>
      </c>
      <c r="B1590" s="1" t="s">
        <v>825</v>
      </c>
      <c r="C1590" s="1" t="s">
        <v>826</v>
      </c>
      <c r="D1590">
        <f>IFERROR(VLOOKUP(A1590,depara!A:B,2,0),A1590)</f>
        <v>16598629</v>
      </c>
      <c r="E1590">
        <f>VLOOKUP(B1590,'inumos depara'!$A:$B,2,0)</f>
        <v>16299094</v>
      </c>
      <c r="F1590" s="1" t="str">
        <f t="shared" si="48"/>
        <v>0.00135696556652362</v>
      </c>
      <c r="G1590" t="str">
        <f t="shared" si="49"/>
        <v>16598629,16299094,0.00135696556652362</v>
      </c>
    </row>
    <row r="1591" spans="1:7" x14ac:dyDescent="0.25">
      <c r="A1591" s="1" t="s">
        <v>823</v>
      </c>
      <c r="B1591" s="1" t="s">
        <v>1443</v>
      </c>
      <c r="C1591" s="1" t="s">
        <v>827</v>
      </c>
      <c r="D1591">
        <f>IFERROR(VLOOKUP(A1591,depara!A:B,2,0),A1591)</f>
        <v>16598629</v>
      </c>
      <c r="E1591">
        <f>VLOOKUP(B1591,'inumos depara'!$A:$B,2,0)</f>
        <v>16298809</v>
      </c>
      <c r="F1591" s="1" t="str">
        <f t="shared" si="48"/>
        <v>0.0100004941331195</v>
      </c>
      <c r="G1591" t="str">
        <f t="shared" si="49"/>
        <v>16598629,16298809,0.0100004941331195</v>
      </c>
    </row>
    <row r="1592" spans="1:7" x14ac:dyDescent="0.25">
      <c r="A1592" s="1" t="s">
        <v>828</v>
      </c>
      <c r="B1592" s="1" t="s">
        <v>829</v>
      </c>
      <c r="C1592" s="1" t="s">
        <v>1429</v>
      </c>
      <c r="D1592">
        <f>IFERROR(VLOOKUP(A1592,depara!A:B,2,0),A1592)</f>
        <v>16598630</v>
      </c>
      <c r="E1592">
        <f>VLOOKUP(B1592,'inumos depara'!$A:$B,2,0)</f>
        <v>16299095</v>
      </c>
      <c r="F1592" s="1" t="str">
        <f t="shared" si="48"/>
        <v>1.00496015159115</v>
      </c>
      <c r="G1592" t="str">
        <f t="shared" si="49"/>
        <v>16598630,16299095,1.00496015159115</v>
      </c>
    </row>
    <row r="1593" spans="1:7" x14ac:dyDescent="0.25">
      <c r="A1593" s="1" t="s">
        <v>828</v>
      </c>
      <c r="B1593" s="1" t="s">
        <v>830</v>
      </c>
      <c r="C1593" s="1" t="s">
        <v>1427</v>
      </c>
      <c r="D1593">
        <f>IFERROR(VLOOKUP(A1593,depara!A:B,2,0),A1593)</f>
        <v>16598630</v>
      </c>
      <c r="E1593">
        <f>VLOOKUP(B1593,'inumos depara'!$A:$B,2,0)</f>
        <v>16299096</v>
      </c>
      <c r="F1593" s="1" t="str">
        <f t="shared" si="48"/>
        <v>1.04999164019395</v>
      </c>
      <c r="G1593" t="str">
        <f t="shared" si="49"/>
        <v>16598630,16299096,1.04999164019395</v>
      </c>
    </row>
    <row r="1594" spans="1:7" x14ac:dyDescent="0.25">
      <c r="A1594" s="1" t="s">
        <v>828</v>
      </c>
      <c r="B1594" s="1" t="s">
        <v>1301</v>
      </c>
      <c r="C1594" s="1" t="s">
        <v>203</v>
      </c>
      <c r="D1594">
        <f>IFERROR(VLOOKUP(A1594,depara!A:B,2,0),A1594)</f>
        <v>16598630</v>
      </c>
      <c r="E1594">
        <f>VLOOKUP(B1594,'inumos depara'!$A:$B,2,0)</f>
        <v>16298703</v>
      </c>
      <c r="F1594" s="1" t="str">
        <f t="shared" si="48"/>
        <v>0.0624756172323469</v>
      </c>
      <c r="G1594" t="str">
        <f t="shared" si="49"/>
        <v>16598630,16298703,0.0624756172323469</v>
      </c>
    </row>
    <row r="1595" spans="1:7" x14ac:dyDescent="0.25">
      <c r="A1595" s="1" t="s">
        <v>828</v>
      </c>
      <c r="B1595" s="1" t="s">
        <v>1258</v>
      </c>
      <c r="C1595" s="1" t="s">
        <v>831</v>
      </c>
      <c r="D1595">
        <f>IFERROR(VLOOKUP(A1595,depara!A:B,2,0),A1595)</f>
        <v>16598630</v>
      </c>
      <c r="E1595">
        <f>VLOOKUP(B1595,'inumos depara'!$A:$B,2,0)</f>
        <v>16298799</v>
      </c>
      <c r="F1595" s="1" t="str">
        <f t="shared" si="48"/>
        <v>0.04074</v>
      </c>
      <c r="G1595" t="str">
        <f t="shared" si="49"/>
        <v>16598630,16298799,0.04074</v>
      </c>
    </row>
    <row r="1596" spans="1:7" x14ac:dyDescent="0.25">
      <c r="A1596" s="1" t="s">
        <v>832</v>
      </c>
      <c r="B1596" s="1" t="s">
        <v>1257</v>
      </c>
      <c r="C1596" s="1" t="s">
        <v>831</v>
      </c>
      <c r="D1596">
        <f>IFERROR(VLOOKUP(A1596,depara!A:B,2,0),A1596)</f>
        <v>16598631</v>
      </c>
      <c r="E1596">
        <f>VLOOKUP(B1596,'inumos depara'!$A:$B,2,0)</f>
        <v>16298836</v>
      </c>
      <c r="F1596" s="1" t="str">
        <f t="shared" si="48"/>
        <v>0.04074</v>
      </c>
      <c r="G1596" t="str">
        <f t="shared" si="49"/>
        <v>16598631,16298836,0.04074</v>
      </c>
    </row>
    <row r="1597" spans="1:7" x14ac:dyDescent="0.25">
      <c r="A1597" s="1" t="s">
        <v>832</v>
      </c>
      <c r="B1597" s="1" t="s">
        <v>833</v>
      </c>
      <c r="C1597" s="1" t="s">
        <v>1628</v>
      </c>
      <c r="D1597">
        <f>IFERROR(VLOOKUP(A1597,depara!A:B,2,0),A1597)</f>
        <v>16598631</v>
      </c>
      <c r="E1597">
        <f>VLOOKUP(B1597,'inumos depara'!$A:$B,2,0)</f>
        <v>16299097</v>
      </c>
      <c r="F1597" s="1" t="str">
        <f t="shared" si="48"/>
        <v>1.00497159090909</v>
      </c>
      <c r="G1597" t="str">
        <f t="shared" si="49"/>
        <v>16598631,16299097,1.00497159090909</v>
      </c>
    </row>
    <row r="1598" spans="1:7" x14ac:dyDescent="0.25">
      <c r="A1598" s="1" t="s">
        <v>832</v>
      </c>
      <c r="B1598" s="1" t="s">
        <v>834</v>
      </c>
      <c r="C1598" s="1" t="s">
        <v>1629</v>
      </c>
      <c r="D1598">
        <f>IFERROR(VLOOKUP(A1598,depara!A:B,2,0),A1598)</f>
        <v>16598631</v>
      </c>
      <c r="E1598">
        <f>VLOOKUP(B1598,'inumos depara'!$A:$B,2,0)</f>
        <v>16299098</v>
      </c>
      <c r="F1598" s="1" t="str">
        <f t="shared" si="48"/>
        <v>1.04998907342657</v>
      </c>
      <c r="G1598" t="str">
        <f t="shared" si="49"/>
        <v>16598631,16299098,1.04998907342657</v>
      </c>
    </row>
    <row r="1599" spans="1:7" x14ac:dyDescent="0.25">
      <c r="A1599" s="1" t="s">
        <v>832</v>
      </c>
      <c r="B1599" s="1" t="s">
        <v>1301</v>
      </c>
      <c r="C1599" s="1" t="s">
        <v>835</v>
      </c>
      <c r="D1599">
        <f>IFERROR(VLOOKUP(A1599,depara!A:B,2,0),A1599)</f>
        <v>16598631</v>
      </c>
      <c r="E1599">
        <f>VLOOKUP(B1599,'inumos depara'!$A:$B,2,0)</f>
        <v>16298703</v>
      </c>
      <c r="F1599" s="1" t="str">
        <f t="shared" si="48"/>
        <v>0.0625</v>
      </c>
      <c r="G1599" t="str">
        <f t="shared" si="49"/>
        <v>16598631,16298703,0.0625</v>
      </c>
    </row>
    <row r="1600" spans="1:7" x14ac:dyDescent="0.25">
      <c r="A1600" s="1" t="s">
        <v>836</v>
      </c>
      <c r="B1600" s="1" t="s">
        <v>1241</v>
      </c>
      <c r="C1600" s="1" t="s">
        <v>831</v>
      </c>
      <c r="D1600">
        <f>IFERROR(VLOOKUP(A1600,depara!A:B,2,0),A1600)</f>
        <v>16598632</v>
      </c>
      <c r="E1600">
        <f>VLOOKUP(B1600,'inumos depara'!$A:$B,2,0)</f>
        <v>16298796</v>
      </c>
      <c r="F1600" s="1" t="str">
        <f t="shared" si="48"/>
        <v>0.04074</v>
      </c>
      <c r="G1600" t="str">
        <f t="shared" si="49"/>
        <v>16598632,16298796,0.04074</v>
      </c>
    </row>
    <row r="1601" spans="1:7" x14ac:dyDescent="0.25">
      <c r="A1601" s="1" t="s">
        <v>836</v>
      </c>
      <c r="B1601" s="1" t="s">
        <v>837</v>
      </c>
      <c r="C1601" s="1" t="s">
        <v>1424</v>
      </c>
      <c r="D1601">
        <f>IFERROR(VLOOKUP(A1601,depara!A:B,2,0),A1601)</f>
        <v>16598632</v>
      </c>
      <c r="E1601">
        <f>VLOOKUP(B1601,'inumos depara'!$A:$B,2,0)</f>
        <v>16299099</v>
      </c>
      <c r="F1601" s="1" t="str">
        <f t="shared" si="48"/>
        <v>1.00500194520091</v>
      </c>
      <c r="G1601" t="str">
        <f t="shared" si="49"/>
        <v>16598632,16299099,1.00500194520091</v>
      </c>
    </row>
    <row r="1602" spans="1:7" x14ac:dyDescent="0.25">
      <c r="A1602" s="1" t="s">
        <v>836</v>
      </c>
      <c r="B1602" s="1" t="s">
        <v>838</v>
      </c>
      <c r="C1602" s="1" t="s">
        <v>1630</v>
      </c>
      <c r="D1602">
        <f>IFERROR(VLOOKUP(A1602,depara!A:B,2,0),A1602)</f>
        <v>16598632</v>
      </c>
      <c r="E1602">
        <f>VLOOKUP(B1602,'inumos depara'!$A:$B,2,0)</f>
        <v>16299100</v>
      </c>
      <c r="F1602" s="1" t="str">
        <f t="shared" ref="F1602:F1665" si="50">C1602</f>
        <v>1.05001945200911</v>
      </c>
      <c r="G1602" t="str">
        <f t="shared" ref="G1602:G1665" si="51">D1602&amp;","&amp;E1602&amp;","&amp;F1602</f>
        <v>16598632,16299100,1.05001945200911</v>
      </c>
    </row>
    <row r="1603" spans="1:7" x14ac:dyDescent="0.25">
      <c r="A1603" s="1" t="s">
        <v>836</v>
      </c>
      <c r="B1603" s="1" t="s">
        <v>1301</v>
      </c>
      <c r="C1603" s="1" t="s">
        <v>201</v>
      </c>
      <c r="D1603">
        <f>IFERROR(VLOOKUP(A1603,depara!A:B,2,0),A1603)</f>
        <v>16598632</v>
      </c>
      <c r="E1603">
        <f>VLOOKUP(B1603,'inumos depara'!$A:$B,2,0)</f>
        <v>16298703</v>
      </c>
      <c r="F1603" s="1" t="str">
        <f t="shared" si="50"/>
        <v>0.0625243150113933</v>
      </c>
      <c r="G1603" t="str">
        <f t="shared" si="51"/>
        <v>16598632,16298703,0.0625243150113933</v>
      </c>
    </row>
    <row r="1604" spans="1:7" x14ac:dyDescent="0.25">
      <c r="A1604" s="1" t="s">
        <v>839</v>
      </c>
      <c r="B1604" s="1" t="s">
        <v>840</v>
      </c>
      <c r="C1604" s="1" t="s">
        <v>676</v>
      </c>
      <c r="D1604">
        <f>IFERROR(VLOOKUP(A1604,depara!A:B,2,0),A1604)</f>
        <v>16598633</v>
      </c>
      <c r="E1604">
        <f>VLOOKUP(B1604,'inumos depara'!$A:$B,2,0)</f>
        <v>16299101</v>
      </c>
      <c r="F1604" s="1" t="str">
        <f t="shared" si="50"/>
        <v>0.00136131141564996</v>
      </c>
      <c r="G1604" t="str">
        <f t="shared" si="51"/>
        <v>16598633,16299101,0.00136131141564996</v>
      </c>
    </row>
    <row r="1605" spans="1:7" x14ac:dyDescent="0.25">
      <c r="A1605" s="1" t="s">
        <v>839</v>
      </c>
      <c r="B1605" s="1" t="s">
        <v>1443</v>
      </c>
      <c r="C1605" s="1" t="s">
        <v>674</v>
      </c>
      <c r="D1605">
        <f>IFERROR(VLOOKUP(A1605,depara!A:B,2,0),A1605)</f>
        <v>16598633</v>
      </c>
      <c r="E1605">
        <f>VLOOKUP(B1605,'inumos depara'!$A:$B,2,0)</f>
        <v>16298809</v>
      </c>
      <c r="F1605" s="1" t="str">
        <f t="shared" si="50"/>
        <v>0.0100019365936457</v>
      </c>
      <c r="G1605" t="str">
        <f t="shared" si="51"/>
        <v>16598633,16298809,0.0100019365936457</v>
      </c>
    </row>
    <row r="1606" spans="1:7" x14ac:dyDescent="0.25">
      <c r="A1606" s="1" t="s">
        <v>839</v>
      </c>
      <c r="B1606" s="1" t="s">
        <v>103</v>
      </c>
      <c r="C1606" s="1" t="s">
        <v>673</v>
      </c>
      <c r="D1606">
        <f>IFERROR(VLOOKUP(A1606,depara!A:B,2,0),A1606)</f>
        <v>16598633</v>
      </c>
      <c r="E1606">
        <f>VLOOKUP(B1606,'inumos depara'!$A:$B,2,0)</f>
        <v>16298698</v>
      </c>
      <c r="F1606" s="1" t="str">
        <f t="shared" si="50"/>
        <v>0.00580123714158778</v>
      </c>
      <c r="G1606" t="str">
        <f t="shared" si="51"/>
        <v>16598633,16298698,0.00580123714158778</v>
      </c>
    </row>
    <row r="1607" spans="1:7" x14ac:dyDescent="0.25">
      <c r="A1607" s="1" t="s">
        <v>841</v>
      </c>
      <c r="B1607" s="1" t="s">
        <v>103</v>
      </c>
      <c r="C1607" s="1" t="s">
        <v>842</v>
      </c>
      <c r="D1607">
        <f>IFERROR(VLOOKUP(A1607,depara!A:B,2,0),A1607)</f>
        <v>16598634</v>
      </c>
      <c r="E1607">
        <f>VLOOKUP(B1607,'inumos depara'!$A:$B,2,0)</f>
        <v>16298698</v>
      </c>
      <c r="F1607" s="1" t="str">
        <f t="shared" si="50"/>
        <v>0.0659095321296836</v>
      </c>
      <c r="G1607" t="str">
        <f t="shared" si="51"/>
        <v>16598634,16298698,0.0659095321296836</v>
      </c>
    </row>
    <row r="1608" spans="1:7" x14ac:dyDescent="0.25">
      <c r="A1608" s="1" t="s">
        <v>841</v>
      </c>
      <c r="B1608" s="1" t="s">
        <v>843</v>
      </c>
      <c r="C1608" s="1" t="s">
        <v>1631</v>
      </c>
      <c r="D1608">
        <f>IFERROR(VLOOKUP(A1608,depara!A:B,2,0),A1608)</f>
        <v>16598634</v>
      </c>
      <c r="E1608">
        <f>VLOOKUP(B1608,'inumos depara'!$A:$B,2,0)</f>
        <v>16299102</v>
      </c>
      <c r="F1608" s="1" t="str">
        <f t="shared" si="50"/>
        <v>1.07584287840549</v>
      </c>
      <c r="G1608" t="str">
        <f t="shared" si="51"/>
        <v>16598634,16299102,1.07584287840549</v>
      </c>
    </row>
    <row r="1609" spans="1:7" x14ac:dyDescent="0.25">
      <c r="A1609" s="1" t="s">
        <v>841</v>
      </c>
      <c r="B1609" s="1" t="s">
        <v>1280</v>
      </c>
      <c r="C1609" s="1" t="s">
        <v>844</v>
      </c>
      <c r="D1609">
        <f>IFERROR(VLOOKUP(A1609,depara!A:B,2,0),A1609)</f>
        <v>16598634</v>
      </c>
      <c r="E1609">
        <f>VLOOKUP(B1609,'inumos depara'!$A:$B,2,0)</f>
        <v>16298685</v>
      </c>
      <c r="F1609" s="1" t="str">
        <f t="shared" si="50"/>
        <v>0.0625121335662978</v>
      </c>
      <c r="G1609" t="str">
        <f t="shared" si="51"/>
        <v>16598634,16298685,0.0625121335662978</v>
      </c>
    </row>
    <row r="1610" spans="1:7" x14ac:dyDescent="0.25">
      <c r="A1610" s="1" t="s">
        <v>845</v>
      </c>
      <c r="B1610" s="1" t="s">
        <v>846</v>
      </c>
      <c r="C1610" s="1" t="s">
        <v>235</v>
      </c>
      <c r="D1610">
        <f>IFERROR(VLOOKUP(A1610,depara!A:B,2,0),A1610)</f>
        <v>16598635</v>
      </c>
      <c r="E1610">
        <f>VLOOKUP(B1610,'inumos depara'!$A:$B,2,0)</f>
        <v>16299103</v>
      </c>
      <c r="F1610" s="1" t="str">
        <f t="shared" si="50"/>
        <v>0.00051777175402796</v>
      </c>
      <c r="G1610" t="str">
        <f t="shared" si="51"/>
        <v>16598635,16299103,0.00051777175402796</v>
      </c>
    </row>
    <row r="1611" spans="1:7" x14ac:dyDescent="0.25">
      <c r="A1611" s="1" t="s">
        <v>845</v>
      </c>
      <c r="B1611" s="1" t="s">
        <v>1301</v>
      </c>
      <c r="C1611" s="1" t="s">
        <v>237</v>
      </c>
      <c r="D1611">
        <f>IFERROR(VLOOKUP(A1611,depara!A:B,2,0),A1611)</f>
        <v>16598635</v>
      </c>
      <c r="E1611">
        <f>VLOOKUP(B1611,'inumos depara'!$A:$B,2,0)</f>
        <v>16298703</v>
      </c>
      <c r="F1611" s="1" t="str">
        <f t="shared" si="50"/>
        <v>0.00998994913653946</v>
      </c>
      <c r="G1611" t="str">
        <f t="shared" si="51"/>
        <v>16598635,16298703,0.00998994913653946</v>
      </c>
    </row>
    <row r="1612" spans="1:7" x14ac:dyDescent="0.25">
      <c r="A1612" s="1" t="s">
        <v>845</v>
      </c>
      <c r="B1612" s="1" t="s">
        <v>1303</v>
      </c>
      <c r="C1612" s="1" t="s">
        <v>847</v>
      </c>
      <c r="D1612">
        <f>IFERROR(VLOOKUP(A1612,depara!A:B,2,0),A1612)</f>
        <v>16598635</v>
      </c>
      <c r="E1612">
        <f>VLOOKUP(B1612,'inumos depara'!$A:$B,2,0)</f>
        <v>16298704</v>
      </c>
      <c r="F1612" s="1" t="str">
        <f t="shared" si="50"/>
        <v>0.0159479791673012</v>
      </c>
      <c r="G1612" t="str">
        <f t="shared" si="51"/>
        <v>16598635,16298704,0.0159479791673012</v>
      </c>
    </row>
    <row r="1613" spans="1:7" x14ac:dyDescent="0.25">
      <c r="A1613" s="1" t="s">
        <v>845</v>
      </c>
      <c r="B1613" s="1" t="s">
        <v>1304</v>
      </c>
      <c r="C1613" s="1" t="s">
        <v>848</v>
      </c>
      <c r="D1613">
        <f>IFERROR(VLOOKUP(A1613,depara!A:B,2,0),A1613)</f>
        <v>16598635</v>
      </c>
      <c r="E1613">
        <f>VLOOKUP(B1613,'inumos depara'!$A:$B,2,0)</f>
        <v>16298705</v>
      </c>
      <c r="F1613" s="1" t="str">
        <f t="shared" si="50"/>
        <v>0.00109645783205921</v>
      </c>
      <c r="G1613" t="str">
        <f t="shared" si="51"/>
        <v>16598635,16298705,0.00109645783205921</v>
      </c>
    </row>
    <row r="1614" spans="1:7" x14ac:dyDescent="0.25">
      <c r="A1614" s="1" t="s">
        <v>845</v>
      </c>
      <c r="B1614" s="1" t="s">
        <v>1305</v>
      </c>
      <c r="C1614" s="1" t="s">
        <v>849</v>
      </c>
      <c r="D1614">
        <f>IFERROR(VLOOKUP(A1614,depara!A:B,2,0),A1614)</f>
        <v>16598635</v>
      </c>
      <c r="E1614">
        <f>VLOOKUP(B1614,'inumos depara'!$A:$B,2,0)</f>
        <v>16298706</v>
      </c>
      <c r="F1614" s="1" t="str">
        <f t="shared" si="50"/>
        <v>0.000182742972009868</v>
      </c>
      <c r="G1614" t="str">
        <f t="shared" si="51"/>
        <v>16598635,16298706,0.000182742972009868</v>
      </c>
    </row>
    <row r="1615" spans="1:7" x14ac:dyDescent="0.25">
      <c r="A1615" s="1" t="s">
        <v>845</v>
      </c>
      <c r="B1615" s="1" t="s">
        <v>1220</v>
      </c>
      <c r="C1615" s="1" t="s">
        <v>1632</v>
      </c>
      <c r="D1615">
        <f>IFERROR(VLOOKUP(A1615,depara!A:B,2,0),A1615)</f>
        <v>16598635</v>
      </c>
      <c r="E1615">
        <f>VLOOKUP(B1615,'inumos depara'!$A:$B,2,0)</f>
        <v>16298625</v>
      </c>
      <c r="F1615" s="1" t="str">
        <f t="shared" si="50"/>
        <v>1.82742972009868E-05</v>
      </c>
      <c r="G1615" t="str">
        <f t="shared" si="51"/>
        <v>16598635,16298625,1.82742972009868E-05</v>
      </c>
    </row>
    <row r="1616" spans="1:7" x14ac:dyDescent="0.25">
      <c r="A1616" s="1" t="s">
        <v>845</v>
      </c>
      <c r="B1616" s="1" t="s">
        <v>1307</v>
      </c>
      <c r="C1616" s="1" t="s">
        <v>1633</v>
      </c>
      <c r="D1616">
        <f>IFERROR(VLOOKUP(A1616,depara!A:B,2,0),A1616)</f>
        <v>16598635</v>
      </c>
      <c r="E1616">
        <f>VLOOKUP(B1616,'inumos depara'!$A:$B,2,0)</f>
        <v>16298707</v>
      </c>
      <c r="F1616" s="1" t="str">
        <f t="shared" si="50"/>
        <v>2.37565863612829E-05</v>
      </c>
      <c r="G1616" t="str">
        <f t="shared" si="51"/>
        <v>16598635,16298707,2.37565863612829E-05</v>
      </c>
    </row>
    <row r="1617" spans="1:7" x14ac:dyDescent="0.25">
      <c r="A1617" s="1" t="s">
        <v>845</v>
      </c>
      <c r="B1617" s="1" t="s">
        <v>1219</v>
      </c>
      <c r="C1617" s="1" t="s">
        <v>850</v>
      </c>
      <c r="D1617">
        <f>IFERROR(VLOOKUP(A1617,depara!A:B,2,0),A1617)</f>
        <v>16598635</v>
      </c>
      <c r="E1617">
        <f>VLOOKUP(B1617,'inumos depara'!$A:$B,2,0)</f>
        <v>16298624</v>
      </c>
      <c r="F1617" s="1" t="str">
        <f t="shared" si="50"/>
        <v>0.000365485944019736</v>
      </c>
      <c r="G1617" t="str">
        <f t="shared" si="51"/>
        <v>16598635,16298624,0.000365485944019736</v>
      </c>
    </row>
    <row r="1618" spans="1:7" x14ac:dyDescent="0.25">
      <c r="A1618" s="1" t="s">
        <v>845</v>
      </c>
      <c r="B1618" s="1" t="s">
        <v>851</v>
      </c>
      <c r="C1618" s="1" t="s">
        <v>849</v>
      </c>
      <c r="D1618">
        <f>IFERROR(VLOOKUP(A1618,depara!A:B,2,0),A1618)</f>
        <v>16598635</v>
      </c>
      <c r="E1618">
        <f>VLOOKUP(B1618,'inumos depara'!$A:$B,2,0)</f>
        <v>16299104</v>
      </c>
      <c r="F1618" s="1" t="str">
        <f t="shared" si="50"/>
        <v>0.000182742972009868</v>
      </c>
      <c r="G1618" t="str">
        <f t="shared" si="51"/>
        <v>16598635,16299104,0.000182742972009868</v>
      </c>
    </row>
    <row r="1619" spans="1:7" x14ac:dyDescent="0.25">
      <c r="A1619" s="1" t="s">
        <v>845</v>
      </c>
      <c r="B1619" s="1" t="s">
        <v>1168</v>
      </c>
      <c r="C1619" s="1" t="s">
        <v>852</v>
      </c>
      <c r="D1619">
        <f>IFERROR(VLOOKUP(A1619,depara!A:B,2,0),A1619)</f>
        <v>16598635</v>
      </c>
      <c r="E1619">
        <f>VLOOKUP(B1619,'inumos depara'!$A:$B,2,0)</f>
        <v>16298577</v>
      </c>
      <c r="F1619" s="1" t="str">
        <f t="shared" si="50"/>
        <v>0.000274114458014802</v>
      </c>
      <c r="G1619" t="str">
        <f t="shared" si="51"/>
        <v>16598635,16298577,0.000274114458014802</v>
      </c>
    </row>
    <row r="1620" spans="1:7" x14ac:dyDescent="0.25">
      <c r="A1620" s="1" t="s">
        <v>845</v>
      </c>
      <c r="B1620" s="1" t="s">
        <v>1187</v>
      </c>
      <c r="C1620" s="1" t="s">
        <v>849</v>
      </c>
      <c r="D1620">
        <f>IFERROR(VLOOKUP(A1620,depara!A:B,2,0),A1620)</f>
        <v>16598635</v>
      </c>
      <c r="E1620">
        <f>VLOOKUP(B1620,'inumos depara'!$A:$B,2,0)</f>
        <v>16298593</v>
      </c>
      <c r="F1620" s="1" t="str">
        <f t="shared" si="50"/>
        <v>0.000182742972009868</v>
      </c>
      <c r="G1620" t="str">
        <f t="shared" si="51"/>
        <v>16598635,16298593,0.000182742972009868</v>
      </c>
    </row>
    <row r="1621" spans="1:7" x14ac:dyDescent="0.25">
      <c r="A1621" s="1" t="s">
        <v>853</v>
      </c>
      <c r="B1621" s="1" t="s">
        <v>306</v>
      </c>
      <c r="C1621" s="1" t="s">
        <v>854</v>
      </c>
      <c r="D1621">
        <f>IFERROR(VLOOKUP(A1621,depara!A:B,2,0),A1621)</f>
        <v>16598636</v>
      </c>
      <c r="E1621">
        <f>VLOOKUP(B1621,'inumos depara'!$A:$B,2,0)</f>
        <v>16298855</v>
      </c>
      <c r="F1621" s="1" t="str">
        <f t="shared" si="50"/>
        <v>0.00608998260004971</v>
      </c>
      <c r="G1621" t="str">
        <f t="shared" si="51"/>
        <v>16598636,16298855,0.00608998260004971</v>
      </c>
    </row>
    <row r="1622" spans="1:7" x14ac:dyDescent="0.25">
      <c r="A1622" s="1" t="s">
        <v>853</v>
      </c>
      <c r="B1622" s="1" t="s">
        <v>855</v>
      </c>
      <c r="C1622" s="1" t="s">
        <v>856</v>
      </c>
      <c r="D1622">
        <f>IFERROR(VLOOKUP(A1622,depara!A:B,2,0),A1622)</f>
        <v>16598636</v>
      </c>
      <c r="E1622">
        <f>VLOOKUP(B1622,'inumos depara'!$A:$B,2,0)</f>
        <v>16299105</v>
      </c>
      <c r="F1622" s="1" t="str">
        <f t="shared" si="50"/>
        <v>0.0013612206005942</v>
      </c>
      <c r="G1622" t="str">
        <f t="shared" si="51"/>
        <v>16598636,16299105,0.0013612206005942</v>
      </c>
    </row>
    <row r="1623" spans="1:7" x14ac:dyDescent="0.25">
      <c r="A1623" s="1" t="s">
        <v>853</v>
      </c>
      <c r="B1623" s="1" t="s">
        <v>1443</v>
      </c>
      <c r="C1623" s="1" t="s">
        <v>857</v>
      </c>
      <c r="D1623">
        <f>IFERROR(VLOOKUP(A1623,depara!A:B,2,0),A1623)</f>
        <v>16598636</v>
      </c>
      <c r="E1623">
        <f>VLOOKUP(B1623,'inumos depara'!$A:$B,2,0)</f>
        <v>16298809</v>
      </c>
      <c r="F1623" s="1" t="str">
        <f t="shared" si="50"/>
        <v>0.0100020122391487</v>
      </c>
      <c r="G1623" t="str">
        <f t="shared" si="51"/>
        <v>16598636,16298809,0.0100020122391487</v>
      </c>
    </row>
    <row r="1624" spans="1:7" x14ac:dyDescent="0.25">
      <c r="A1624" s="1" t="s">
        <v>858</v>
      </c>
      <c r="B1624" s="1" t="s">
        <v>1312</v>
      </c>
      <c r="C1624" s="1" t="s">
        <v>859</v>
      </c>
      <c r="D1624">
        <f>IFERROR(VLOOKUP(A1624,depara!A:B,2,0),A1624)</f>
        <v>16598637</v>
      </c>
      <c r="E1624">
        <f>VLOOKUP(B1624,'inumos depara'!$A:$B,2,0)</f>
        <v>16298712</v>
      </c>
      <c r="F1624" s="1" t="str">
        <f t="shared" si="50"/>
        <v>0.0280716804880374</v>
      </c>
      <c r="G1624" t="str">
        <f t="shared" si="51"/>
        <v>16598637,16298712,0.0280716804880374</v>
      </c>
    </row>
    <row r="1625" spans="1:7" x14ac:dyDescent="0.25">
      <c r="A1625" s="1" t="s">
        <v>858</v>
      </c>
      <c r="B1625" s="1" t="s">
        <v>860</v>
      </c>
      <c r="C1625" s="1" t="s">
        <v>1634</v>
      </c>
      <c r="D1625">
        <f>IFERROR(VLOOKUP(A1625,depara!A:B,2,0),A1625)</f>
        <v>16598637</v>
      </c>
      <c r="E1625">
        <f>VLOOKUP(B1625,'inumos depara'!$A:$B,2,0)</f>
        <v>16299106</v>
      </c>
      <c r="F1625" s="1" t="str">
        <f t="shared" si="50"/>
        <v>1.01000857878181</v>
      </c>
      <c r="G1625" t="str">
        <f t="shared" si="51"/>
        <v>16598637,16299106,1.01000857878181</v>
      </c>
    </row>
    <row r="1626" spans="1:7" x14ac:dyDescent="0.25">
      <c r="A1626" s="1" t="s">
        <v>858</v>
      </c>
      <c r="B1626" s="1" t="s">
        <v>160</v>
      </c>
      <c r="C1626" s="1" t="s">
        <v>861</v>
      </c>
      <c r="D1626">
        <f>IFERROR(VLOOKUP(A1626,depara!A:B,2,0),A1626)</f>
        <v>16598637</v>
      </c>
      <c r="E1626">
        <f>VLOOKUP(B1626,'inumos depara'!$A:$B,2,0)</f>
        <v>16298745</v>
      </c>
      <c r="F1626" s="1" t="str">
        <f t="shared" si="50"/>
        <v>0.00090553808025927</v>
      </c>
      <c r="G1626" t="str">
        <f t="shared" si="51"/>
        <v>16598637,16298745,0.00090553808025927</v>
      </c>
    </row>
    <row r="1627" spans="1:7" x14ac:dyDescent="0.25">
      <c r="A1627" s="1" t="s">
        <v>858</v>
      </c>
      <c r="B1627" s="1" t="s">
        <v>1303</v>
      </c>
      <c r="C1627" s="1" t="s">
        <v>862</v>
      </c>
      <c r="D1627">
        <f>IFERROR(VLOOKUP(A1627,depara!A:B,2,0),A1627)</f>
        <v>16598637</v>
      </c>
      <c r="E1627">
        <f>VLOOKUP(B1627,'inumos depara'!$A:$B,2,0)</f>
        <v>16298704</v>
      </c>
      <c r="F1627" s="1" t="str">
        <f t="shared" si="50"/>
        <v>0.0748670288818988</v>
      </c>
      <c r="G1627" t="str">
        <f t="shared" si="51"/>
        <v>16598637,16298704,0.0748670288818988</v>
      </c>
    </row>
    <row r="1628" spans="1:7" x14ac:dyDescent="0.25">
      <c r="A1628" s="1" t="s">
        <v>858</v>
      </c>
      <c r="B1628" s="1" t="s">
        <v>1304</v>
      </c>
      <c r="C1628" s="1" t="s">
        <v>863</v>
      </c>
      <c r="D1628">
        <f>IFERROR(VLOOKUP(A1628,depara!A:B,2,0),A1628)</f>
        <v>16598637</v>
      </c>
      <c r="E1628">
        <f>VLOOKUP(B1628,'inumos depara'!$A:$B,2,0)</f>
        <v>16298705</v>
      </c>
      <c r="F1628" s="1" t="str">
        <f t="shared" si="50"/>
        <v>0.00514726908778953</v>
      </c>
      <c r="G1628" t="str">
        <f t="shared" si="51"/>
        <v>16598637,16298705,0.00514726908778953</v>
      </c>
    </row>
    <row r="1629" spans="1:7" x14ac:dyDescent="0.25">
      <c r="A1629" s="1" t="s">
        <v>858</v>
      </c>
      <c r="B1629" s="1" t="s">
        <v>1305</v>
      </c>
      <c r="C1629" s="1" t="s">
        <v>864</v>
      </c>
      <c r="D1629">
        <f>IFERROR(VLOOKUP(A1629,depara!A:B,2,0),A1629)</f>
        <v>16598637</v>
      </c>
      <c r="E1629">
        <f>VLOOKUP(B1629,'inumos depara'!$A:$B,2,0)</f>
        <v>16298706</v>
      </c>
      <c r="F1629" s="1" t="str">
        <f t="shared" si="50"/>
        <v>0.000857878181298256</v>
      </c>
      <c r="G1629" t="str">
        <f t="shared" si="51"/>
        <v>16598637,16298706,0.000857878181298256</v>
      </c>
    </row>
    <row r="1630" spans="1:7" x14ac:dyDescent="0.25">
      <c r="A1630" s="1" t="s">
        <v>858</v>
      </c>
      <c r="B1630" s="1" t="s">
        <v>1220</v>
      </c>
      <c r="C1630" s="1" t="s">
        <v>1635</v>
      </c>
      <c r="D1630">
        <f>IFERROR(VLOOKUP(A1630,depara!A:B,2,0),A1630)</f>
        <v>16598637</v>
      </c>
      <c r="E1630">
        <f>VLOOKUP(B1630,'inumos depara'!$A:$B,2,0)</f>
        <v>16298625</v>
      </c>
      <c r="F1630" s="1" t="str">
        <f t="shared" si="50"/>
        <v>8.57878181298256E-05</v>
      </c>
      <c r="G1630" t="str">
        <f t="shared" si="51"/>
        <v>16598637,16298625,8.57878181298256E-05</v>
      </c>
    </row>
    <row r="1631" spans="1:7" x14ac:dyDescent="0.25">
      <c r="A1631" s="1" t="s">
        <v>858</v>
      </c>
      <c r="B1631" s="1" t="s">
        <v>1307</v>
      </c>
      <c r="C1631" s="1" t="s">
        <v>865</v>
      </c>
      <c r="D1631">
        <f>IFERROR(VLOOKUP(A1631,depara!A:B,2,0),A1631)</f>
        <v>16598637</v>
      </c>
      <c r="E1631">
        <f>VLOOKUP(B1631,'inumos depara'!$A:$B,2,0)</f>
        <v>16298707</v>
      </c>
      <c r="F1631" s="1" t="str">
        <f t="shared" si="50"/>
        <v>0.000111524163568773</v>
      </c>
      <c r="G1631" t="str">
        <f t="shared" si="51"/>
        <v>16598637,16298707,0.000111524163568773</v>
      </c>
    </row>
    <row r="1632" spans="1:7" x14ac:dyDescent="0.25">
      <c r="A1632" s="1" t="s">
        <v>858</v>
      </c>
      <c r="B1632" s="1" t="s">
        <v>1219</v>
      </c>
      <c r="C1632" s="1" t="s">
        <v>866</v>
      </c>
      <c r="D1632">
        <f>IFERROR(VLOOKUP(A1632,depara!A:B,2,0),A1632)</f>
        <v>16598637</v>
      </c>
      <c r="E1632">
        <f>VLOOKUP(B1632,'inumos depara'!$A:$B,2,0)</f>
        <v>16298624</v>
      </c>
      <c r="F1632" s="1" t="str">
        <f t="shared" si="50"/>
        <v>0.00171575636259651</v>
      </c>
      <c r="G1632" t="str">
        <f t="shared" si="51"/>
        <v>16598637,16298624,0.00171575636259651</v>
      </c>
    </row>
    <row r="1633" spans="1:7" x14ac:dyDescent="0.25">
      <c r="A1633" s="1" t="s">
        <v>858</v>
      </c>
      <c r="B1633" s="1" t="s">
        <v>851</v>
      </c>
      <c r="C1633" s="1" t="s">
        <v>864</v>
      </c>
      <c r="D1633">
        <f>IFERROR(VLOOKUP(A1633,depara!A:B,2,0),A1633)</f>
        <v>16598637</v>
      </c>
      <c r="E1633">
        <f>VLOOKUP(B1633,'inumos depara'!$A:$B,2,0)</f>
        <v>16299104</v>
      </c>
      <c r="F1633" s="1" t="str">
        <f t="shared" si="50"/>
        <v>0.000857878181298256</v>
      </c>
      <c r="G1633" t="str">
        <f t="shared" si="51"/>
        <v>16598637,16299104,0.000857878181298256</v>
      </c>
    </row>
    <row r="1634" spans="1:7" x14ac:dyDescent="0.25">
      <c r="A1634" s="1" t="s">
        <v>858</v>
      </c>
      <c r="B1634" s="1" t="s">
        <v>1168</v>
      </c>
      <c r="C1634" s="1" t="s">
        <v>867</v>
      </c>
      <c r="D1634">
        <f>IFERROR(VLOOKUP(A1634,depara!A:B,2,0),A1634)</f>
        <v>16598637</v>
      </c>
      <c r="E1634">
        <f>VLOOKUP(B1634,'inumos depara'!$A:$B,2,0)</f>
        <v>16298577</v>
      </c>
      <c r="F1634" s="1" t="str">
        <f t="shared" si="50"/>
        <v>0.00128681727194738</v>
      </c>
      <c r="G1634" t="str">
        <f t="shared" si="51"/>
        <v>16598637,16298577,0.00128681727194738</v>
      </c>
    </row>
    <row r="1635" spans="1:7" x14ac:dyDescent="0.25">
      <c r="A1635" s="1" t="s">
        <v>858</v>
      </c>
      <c r="B1635" s="1" t="s">
        <v>1187</v>
      </c>
      <c r="C1635" s="1" t="s">
        <v>864</v>
      </c>
      <c r="D1635">
        <f>IFERROR(VLOOKUP(A1635,depara!A:B,2,0),A1635)</f>
        <v>16598637</v>
      </c>
      <c r="E1635">
        <f>VLOOKUP(B1635,'inumos depara'!$A:$B,2,0)</f>
        <v>16298593</v>
      </c>
      <c r="F1635" s="1" t="str">
        <f t="shared" si="50"/>
        <v>0.000857878181298256</v>
      </c>
      <c r="G1635" t="str">
        <f t="shared" si="51"/>
        <v>16598637,16298593,0.000857878181298256</v>
      </c>
    </row>
    <row r="1636" spans="1:7" x14ac:dyDescent="0.25">
      <c r="A1636" s="1" t="s">
        <v>868</v>
      </c>
      <c r="B1636" s="1" t="s">
        <v>306</v>
      </c>
      <c r="C1636" s="1" t="s">
        <v>869</v>
      </c>
      <c r="D1636">
        <f>IFERROR(VLOOKUP(A1636,depara!A:B,2,0),A1636)</f>
        <v>16598638</v>
      </c>
      <c r="E1636">
        <f>VLOOKUP(B1636,'inumos depara'!$A:$B,2,0)</f>
        <v>16298855</v>
      </c>
      <c r="F1636" s="1" t="str">
        <f t="shared" si="50"/>
        <v>0.0685954269715352</v>
      </c>
      <c r="G1636" t="str">
        <f t="shared" si="51"/>
        <v>16598638,16298855,0.0685954269715352</v>
      </c>
    </row>
    <row r="1637" spans="1:7" x14ac:dyDescent="0.25">
      <c r="A1637" s="1" t="s">
        <v>868</v>
      </c>
      <c r="B1637" s="1" t="s">
        <v>870</v>
      </c>
      <c r="C1637" s="1" t="s">
        <v>1636</v>
      </c>
      <c r="D1637">
        <f>IFERROR(VLOOKUP(A1637,depara!A:B,2,0),A1637)</f>
        <v>16598638</v>
      </c>
      <c r="E1637">
        <f>VLOOKUP(B1637,'inumos depara'!$A:$B,2,0)</f>
        <v>16299107</v>
      </c>
      <c r="F1637" s="1" t="str">
        <f t="shared" si="50"/>
        <v>1.04999666688887</v>
      </c>
      <c r="G1637" t="str">
        <f t="shared" si="51"/>
        <v>16598638,16299107,1.04999666688887</v>
      </c>
    </row>
    <row r="1638" spans="1:7" x14ac:dyDescent="0.25">
      <c r="A1638" s="1" t="s">
        <v>868</v>
      </c>
      <c r="B1638" s="1" t="s">
        <v>1280</v>
      </c>
      <c r="C1638" s="1" t="s">
        <v>871</v>
      </c>
      <c r="D1638">
        <f>IFERROR(VLOOKUP(A1638,depara!A:B,2,0),A1638)</f>
        <v>16598638</v>
      </c>
      <c r="E1638">
        <f>VLOOKUP(B1638,'inumos depara'!$A:$B,2,0)</f>
        <v>16298685</v>
      </c>
      <c r="F1638" s="1" t="str">
        <f t="shared" si="50"/>
        <v>0.0625291647223518</v>
      </c>
      <c r="G1638" t="str">
        <f t="shared" si="51"/>
        <v>16598638,16298685,0.0625291647223518</v>
      </c>
    </row>
    <row r="1639" spans="1:7" x14ac:dyDescent="0.25">
      <c r="A1639" s="1" t="s">
        <v>872</v>
      </c>
      <c r="B1639" s="1" t="s">
        <v>773</v>
      </c>
      <c r="C1639" s="1" t="s">
        <v>1637</v>
      </c>
      <c r="D1639">
        <f>IFERROR(VLOOKUP(A1639,depara!A:B,2,0),A1639)</f>
        <v>16598639</v>
      </c>
      <c r="E1639">
        <f>VLOOKUP(B1639,'inumos depara'!$A:$B,2,0)</f>
        <v>16299079</v>
      </c>
      <c r="F1639" s="1" t="str">
        <f t="shared" si="50"/>
        <v>1.01997323175126</v>
      </c>
      <c r="G1639" t="str">
        <f t="shared" si="51"/>
        <v>16598639,16299079,1.01997323175126</v>
      </c>
    </row>
    <row r="1640" spans="1:7" x14ac:dyDescent="0.25">
      <c r="A1640" s="1" t="s">
        <v>872</v>
      </c>
      <c r="B1640" s="1" t="s">
        <v>1288</v>
      </c>
      <c r="C1640" s="1" t="s">
        <v>873</v>
      </c>
      <c r="D1640">
        <f>IFERROR(VLOOKUP(A1640,depara!A:B,2,0),A1640)</f>
        <v>16598639</v>
      </c>
      <c r="E1640">
        <f>VLOOKUP(B1640,'inumos depara'!$A:$B,2,0)</f>
        <v>16298692</v>
      </c>
      <c r="F1640" s="1" t="str">
        <f t="shared" si="50"/>
        <v>0.0624935653248224</v>
      </c>
      <c r="G1640" t="str">
        <f t="shared" si="51"/>
        <v>16598639,16298692,0.0624935653248224</v>
      </c>
    </row>
    <row r="1641" spans="1:7" x14ac:dyDescent="0.25">
      <c r="A1641" s="1" t="s">
        <v>872</v>
      </c>
      <c r="B1641" s="1" t="s">
        <v>1328</v>
      </c>
      <c r="C1641" s="1" t="s">
        <v>1638</v>
      </c>
      <c r="D1641">
        <f>IFERROR(VLOOKUP(A1641,depara!A:B,2,0),A1641)</f>
        <v>16598639</v>
      </c>
      <c r="E1641">
        <f>VLOOKUP(B1641,'inumos depara'!$A:$B,2,0)</f>
        <v>16298723</v>
      </c>
      <c r="F1641" s="1" t="str">
        <f t="shared" si="50"/>
        <v>1.00499330793782</v>
      </c>
      <c r="G1641" t="str">
        <f t="shared" si="51"/>
        <v>16598639,16298723,1.00499330793782</v>
      </c>
    </row>
    <row r="1642" spans="1:7" x14ac:dyDescent="0.25">
      <c r="A1642" s="1" t="s">
        <v>872</v>
      </c>
      <c r="B1642" s="1" t="s">
        <v>98</v>
      </c>
      <c r="C1642" s="1" t="s">
        <v>1638</v>
      </c>
      <c r="D1642">
        <f>IFERROR(VLOOKUP(A1642,depara!A:B,2,0),A1642)</f>
        <v>16598639</v>
      </c>
      <c r="E1642">
        <f>VLOOKUP(B1642,'inumos depara'!$A:$B,2,0)</f>
        <v>16298690</v>
      </c>
      <c r="F1642" s="1" t="str">
        <f t="shared" si="50"/>
        <v>1.00499330793782</v>
      </c>
      <c r="G1642" t="str">
        <f t="shared" si="51"/>
        <v>16598639,16298690,1.00499330793782</v>
      </c>
    </row>
    <row r="1643" spans="1:7" x14ac:dyDescent="0.25">
      <c r="A1643" s="1" t="s">
        <v>872</v>
      </c>
      <c r="B1643" s="1" t="s">
        <v>306</v>
      </c>
      <c r="C1643" s="1" t="s">
        <v>874</v>
      </c>
      <c r="D1643">
        <f>IFERROR(VLOOKUP(A1643,depara!A:B,2,0),A1643)</f>
        <v>16598639</v>
      </c>
      <c r="E1643">
        <f>VLOOKUP(B1643,'inumos depara'!$A:$B,2,0)</f>
        <v>16298855</v>
      </c>
      <c r="F1643" s="1" t="str">
        <f t="shared" si="50"/>
        <v>0.158910738185936</v>
      </c>
      <c r="G1643" t="str">
        <f t="shared" si="51"/>
        <v>16598639,16298855,0.158910738185936</v>
      </c>
    </row>
    <row r="1644" spans="1:7" x14ac:dyDescent="0.25">
      <c r="A1644" s="1" t="s">
        <v>872</v>
      </c>
      <c r="B1644" s="1" t="s">
        <v>875</v>
      </c>
      <c r="C1644" s="1" t="s">
        <v>1639</v>
      </c>
      <c r="D1644">
        <f>IFERROR(VLOOKUP(A1644,depara!A:B,2,0),A1644)</f>
        <v>16598639</v>
      </c>
      <c r="E1644">
        <f>VLOOKUP(B1644,'inumos depara'!$A:$B,2,0)</f>
        <v>16299108</v>
      </c>
      <c r="F1644" s="1" t="str">
        <f t="shared" si="50"/>
        <v>1.02995984762689</v>
      </c>
      <c r="G1644" t="str">
        <f t="shared" si="51"/>
        <v>16598639,16299108,1.02995984762689</v>
      </c>
    </row>
    <row r="1645" spans="1:7" x14ac:dyDescent="0.25">
      <c r="A1645" s="1" t="s">
        <v>872</v>
      </c>
      <c r="B1645" s="1" t="s">
        <v>876</v>
      </c>
      <c r="C1645" s="1" t="s">
        <v>1640</v>
      </c>
      <c r="D1645">
        <f>IFERROR(VLOOKUP(A1645,depara!A:B,2,0),A1645)</f>
        <v>16598639</v>
      </c>
      <c r="E1645">
        <f>VLOOKUP(B1645,'inumos depara'!$A:$B,2,0)</f>
        <v>16299109</v>
      </c>
      <c r="F1645" s="1" t="str">
        <f t="shared" si="50"/>
        <v>1.03495315556471</v>
      </c>
      <c r="G1645" t="str">
        <f t="shared" si="51"/>
        <v>16598639,16299109,1.03495315556471</v>
      </c>
    </row>
    <row r="1646" spans="1:7" x14ac:dyDescent="0.25">
      <c r="A1646" s="1" t="s">
        <v>877</v>
      </c>
      <c r="B1646" s="1" t="s">
        <v>878</v>
      </c>
      <c r="C1646" s="1" t="s">
        <v>879</v>
      </c>
      <c r="D1646">
        <f>IFERROR(VLOOKUP(A1646,depara!A:B,2,0),A1646)</f>
        <v>16598640</v>
      </c>
      <c r="E1646">
        <f>VLOOKUP(B1646,'inumos depara'!$A:$B,2,0)</f>
        <v>16299110</v>
      </c>
      <c r="F1646" s="1" t="str">
        <f t="shared" si="50"/>
        <v>0.000513962652047285</v>
      </c>
      <c r="G1646" t="str">
        <f t="shared" si="51"/>
        <v>16598640,16299110,0.000513962652047285</v>
      </c>
    </row>
    <row r="1647" spans="1:7" x14ac:dyDescent="0.25">
      <c r="A1647" s="1" t="s">
        <v>877</v>
      </c>
      <c r="B1647" s="1" t="s">
        <v>1301</v>
      </c>
      <c r="C1647" s="1" t="s">
        <v>880</v>
      </c>
      <c r="D1647">
        <f>IFERROR(VLOOKUP(A1647,depara!A:B,2,0),A1647)</f>
        <v>16598640</v>
      </c>
      <c r="E1647">
        <f>VLOOKUP(B1647,'inumos depara'!$A:$B,2,0)</f>
        <v>16298703</v>
      </c>
      <c r="F1647" s="1" t="str">
        <f t="shared" si="50"/>
        <v>0.00999371823425275</v>
      </c>
      <c r="G1647" t="str">
        <f t="shared" si="51"/>
        <v>16598640,16298703,0.00999371823425275</v>
      </c>
    </row>
    <row r="1648" spans="1:7" x14ac:dyDescent="0.25">
      <c r="A1648" s="1" t="s">
        <v>877</v>
      </c>
      <c r="B1648" s="1" t="s">
        <v>1303</v>
      </c>
      <c r="C1648" s="1" t="s">
        <v>881</v>
      </c>
      <c r="D1648">
        <f>IFERROR(VLOOKUP(A1648,depara!A:B,2,0),A1648)</f>
        <v>16598640</v>
      </c>
      <c r="E1648">
        <f>VLOOKUP(B1648,'inumos depara'!$A:$B,2,0)</f>
        <v>16298704</v>
      </c>
      <c r="F1648" s="1" t="str">
        <f t="shared" si="50"/>
        <v>0.0155347686216283</v>
      </c>
      <c r="G1648" t="str">
        <f t="shared" si="51"/>
        <v>16598640,16298704,0.0155347686216283</v>
      </c>
    </row>
    <row r="1649" spans="1:7" x14ac:dyDescent="0.25">
      <c r="A1649" s="1" t="s">
        <v>877</v>
      </c>
      <c r="B1649" s="1" t="s">
        <v>1304</v>
      </c>
      <c r="C1649" s="1" t="s">
        <v>882</v>
      </c>
      <c r="D1649">
        <f>IFERROR(VLOOKUP(A1649,depara!A:B,2,0),A1649)</f>
        <v>16598640</v>
      </c>
      <c r="E1649">
        <f>VLOOKUP(B1649,'inumos depara'!$A:$B,2,0)</f>
        <v>16298705</v>
      </c>
      <c r="F1649" s="1" t="str">
        <f t="shared" si="50"/>
        <v>0.00118782479584261</v>
      </c>
      <c r="G1649" t="str">
        <f t="shared" si="51"/>
        <v>16598640,16298705,0.00118782479584261</v>
      </c>
    </row>
    <row r="1650" spans="1:7" x14ac:dyDescent="0.25">
      <c r="A1650" s="1" t="s">
        <v>877</v>
      </c>
      <c r="B1650" s="1" t="s">
        <v>1305</v>
      </c>
      <c r="C1650" s="1" t="s">
        <v>883</v>
      </c>
      <c r="D1650">
        <f>IFERROR(VLOOKUP(A1650,depara!A:B,2,0),A1650)</f>
        <v>16598640</v>
      </c>
      <c r="E1650">
        <f>VLOOKUP(B1650,'inumos depara'!$A:$B,2,0)</f>
        <v>16298706</v>
      </c>
      <c r="F1650" s="1" t="str">
        <f t="shared" si="50"/>
        <v>0.000197970799307102</v>
      </c>
      <c r="G1650" t="str">
        <f t="shared" si="51"/>
        <v>16598640,16298706,0.000197970799307102</v>
      </c>
    </row>
    <row r="1651" spans="1:7" x14ac:dyDescent="0.25">
      <c r="A1651" s="1" t="s">
        <v>877</v>
      </c>
      <c r="B1651" s="1" t="s">
        <v>1220</v>
      </c>
      <c r="C1651" s="1" t="s">
        <v>1641</v>
      </c>
      <c r="D1651">
        <f>IFERROR(VLOOKUP(A1651,depara!A:B,2,0),A1651)</f>
        <v>16598640</v>
      </c>
      <c r="E1651">
        <f>VLOOKUP(B1651,'inumos depara'!$A:$B,2,0)</f>
        <v>16298625</v>
      </c>
      <c r="F1651" s="1" t="str">
        <f t="shared" si="50"/>
        <v>1.97970799307102E-05</v>
      </c>
      <c r="G1651" t="str">
        <f t="shared" si="51"/>
        <v>16598640,16298625,1.97970799307102E-05</v>
      </c>
    </row>
    <row r="1652" spans="1:7" x14ac:dyDescent="0.25">
      <c r="A1652" s="1" t="s">
        <v>877</v>
      </c>
      <c r="B1652" s="1" t="s">
        <v>1307</v>
      </c>
      <c r="C1652" s="1" t="s">
        <v>1642</v>
      </c>
      <c r="D1652">
        <f>IFERROR(VLOOKUP(A1652,depara!A:B,2,0),A1652)</f>
        <v>16598640</v>
      </c>
      <c r="E1652">
        <f>VLOOKUP(B1652,'inumos depara'!$A:$B,2,0)</f>
        <v>16298707</v>
      </c>
      <c r="F1652" s="1" t="str">
        <f t="shared" si="50"/>
        <v>2.57362039099233E-05</v>
      </c>
      <c r="G1652" t="str">
        <f t="shared" si="51"/>
        <v>16598640,16298707,2.57362039099233E-05</v>
      </c>
    </row>
    <row r="1653" spans="1:7" x14ac:dyDescent="0.25">
      <c r="A1653" s="1" t="s">
        <v>877</v>
      </c>
      <c r="B1653" s="1" t="s">
        <v>1219</v>
      </c>
      <c r="C1653" s="1" t="s">
        <v>884</v>
      </c>
      <c r="D1653">
        <f>IFERROR(VLOOKUP(A1653,depara!A:B,2,0),A1653)</f>
        <v>16598640</v>
      </c>
      <c r="E1653">
        <f>VLOOKUP(B1653,'inumos depara'!$A:$B,2,0)</f>
        <v>16298624</v>
      </c>
      <c r="F1653" s="1" t="str">
        <f t="shared" si="50"/>
        <v>0.000395941598614204</v>
      </c>
      <c r="G1653" t="str">
        <f t="shared" si="51"/>
        <v>16598640,16298624,0.000395941598614204</v>
      </c>
    </row>
    <row r="1654" spans="1:7" x14ac:dyDescent="0.25">
      <c r="A1654" s="1" t="s">
        <v>877</v>
      </c>
      <c r="B1654" s="1" t="s">
        <v>1308</v>
      </c>
      <c r="C1654" s="1" t="s">
        <v>885</v>
      </c>
      <c r="D1654">
        <f>IFERROR(VLOOKUP(A1654,depara!A:B,2,0),A1654)</f>
        <v>16598640</v>
      </c>
      <c r="E1654">
        <f>VLOOKUP(B1654,'inumos depara'!$A:$B,2,0)</f>
        <v>16298708</v>
      </c>
      <c r="F1654" s="1" t="str">
        <f t="shared" si="50"/>
        <v>0.00197970799307102</v>
      </c>
      <c r="G1654" t="str">
        <f t="shared" si="51"/>
        <v>16598640,16298708,0.00197970799307102</v>
      </c>
    </row>
    <row r="1655" spans="1:7" x14ac:dyDescent="0.25">
      <c r="A1655" s="1" t="s">
        <v>877</v>
      </c>
      <c r="B1655" s="1" t="s">
        <v>1309</v>
      </c>
      <c r="C1655" s="1" t="s">
        <v>886</v>
      </c>
      <c r="D1655">
        <f>IFERROR(VLOOKUP(A1655,depara!A:B,2,0),A1655)</f>
        <v>16598640</v>
      </c>
      <c r="E1655">
        <f>VLOOKUP(B1655,'inumos depara'!$A:$B,2,0)</f>
        <v>16298709</v>
      </c>
      <c r="F1655" s="1" t="str">
        <f t="shared" si="50"/>
        <v>0.000257362039099233</v>
      </c>
      <c r="G1655" t="str">
        <f t="shared" si="51"/>
        <v>16598640,16298709,0.000257362039099233</v>
      </c>
    </row>
    <row r="1656" spans="1:7" x14ac:dyDescent="0.25">
      <c r="A1656" s="1" t="s">
        <v>877</v>
      </c>
      <c r="B1656" s="1" t="s">
        <v>1187</v>
      </c>
      <c r="C1656" s="1" t="s">
        <v>883</v>
      </c>
      <c r="D1656">
        <f>IFERROR(VLOOKUP(A1656,depara!A:B,2,0),A1656)</f>
        <v>16598640</v>
      </c>
      <c r="E1656">
        <f>VLOOKUP(B1656,'inumos depara'!$A:$B,2,0)</f>
        <v>16298593</v>
      </c>
      <c r="F1656" s="1" t="str">
        <f t="shared" si="50"/>
        <v>0.000197970799307102</v>
      </c>
      <c r="G1656" t="str">
        <f t="shared" si="51"/>
        <v>16598640,16298593,0.000197970799307102</v>
      </c>
    </row>
    <row r="1657" spans="1:7" x14ac:dyDescent="0.25">
      <c r="A1657" s="1" t="s">
        <v>887</v>
      </c>
      <c r="B1657" s="1" t="s">
        <v>1303</v>
      </c>
      <c r="C1657" s="1" t="s">
        <v>888</v>
      </c>
      <c r="D1657">
        <f>IFERROR(VLOOKUP(A1657,depara!A:B,2,0),A1657)</f>
        <v>16598641</v>
      </c>
      <c r="E1657">
        <f>VLOOKUP(B1657,'inumos depara'!$A:$B,2,0)</f>
        <v>16298704</v>
      </c>
      <c r="F1657" s="1" t="str">
        <f t="shared" si="50"/>
        <v>0.0693080137242246</v>
      </c>
      <c r="G1657" t="str">
        <f t="shared" si="51"/>
        <v>16598641,16298704,0.0693080137242246</v>
      </c>
    </row>
    <row r="1658" spans="1:7" x14ac:dyDescent="0.25">
      <c r="A1658" s="1" t="s">
        <v>887</v>
      </c>
      <c r="B1658" s="1" t="s">
        <v>1304</v>
      </c>
      <c r="C1658" s="1" t="s">
        <v>889</v>
      </c>
      <c r="D1658">
        <f>IFERROR(VLOOKUP(A1658,depara!A:B,2,0),A1658)</f>
        <v>16598641</v>
      </c>
      <c r="E1658">
        <f>VLOOKUP(B1658,'inumos depara'!$A:$B,2,0)</f>
        <v>16298705</v>
      </c>
      <c r="F1658" s="1" t="str">
        <f t="shared" si="50"/>
        <v>0.00529945306926657</v>
      </c>
      <c r="G1658" t="str">
        <f t="shared" si="51"/>
        <v>16598641,16298705,0.00529945306926657</v>
      </c>
    </row>
    <row r="1659" spans="1:7" x14ac:dyDescent="0.25">
      <c r="A1659" s="1" t="s">
        <v>887</v>
      </c>
      <c r="B1659" s="1" t="s">
        <v>1305</v>
      </c>
      <c r="C1659" s="1" t="s">
        <v>890</v>
      </c>
      <c r="D1659">
        <f>IFERROR(VLOOKUP(A1659,depara!A:B,2,0),A1659)</f>
        <v>16598641</v>
      </c>
      <c r="E1659">
        <f>VLOOKUP(B1659,'inumos depara'!$A:$B,2,0)</f>
        <v>16298706</v>
      </c>
      <c r="F1659" s="1" t="str">
        <f t="shared" si="50"/>
        <v>0.000883242178211095</v>
      </c>
      <c r="G1659" t="str">
        <f t="shared" si="51"/>
        <v>16598641,16298706,0.000883242178211095</v>
      </c>
    </row>
    <row r="1660" spans="1:7" x14ac:dyDescent="0.25">
      <c r="A1660" s="1" t="s">
        <v>887</v>
      </c>
      <c r="B1660" s="1" t="s">
        <v>1220</v>
      </c>
      <c r="C1660" s="1" t="s">
        <v>1643</v>
      </c>
      <c r="D1660">
        <f>IFERROR(VLOOKUP(A1660,depara!A:B,2,0),A1660)</f>
        <v>16598641</v>
      </c>
      <c r="E1660">
        <f>VLOOKUP(B1660,'inumos depara'!$A:$B,2,0)</f>
        <v>16298625</v>
      </c>
      <c r="F1660" s="1" t="str">
        <f t="shared" si="50"/>
        <v>8.83242178211095E-05</v>
      </c>
      <c r="G1660" t="str">
        <f t="shared" si="51"/>
        <v>16598641,16298625,8.83242178211095E-05</v>
      </c>
    </row>
    <row r="1661" spans="1:7" x14ac:dyDescent="0.25">
      <c r="A1661" s="1" t="s">
        <v>887</v>
      </c>
      <c r="B1661" s="1" t="s">
        <v>1307</v>
      </c>
      <c r="C1661" s="1" t="s">
        <v>891</v>
      </c>
      <c r="D1661">
        <f>IFERROR(VLOOKUP(A1661,depara!A:B,2,0),A1661)</f>
        <v>16598641</v>
      </c>
      <c r="E1661">
        <f>VLOOKUP(B1661,'inumos depara'!$A:$B,2,0)</f>
        <v>16298707</v>
      </c>
      <c r="F1661" s="1" t="str">
        <f t="shared" si="50"/>
        <v>0.000114821483167442</v>
      </c>
      <c r="G1661" t="str">
        <f t="shared" si="51"/>
        <v>16598641,16298707,0.000114821483167442</v>
      </c>
    </row>
    <row r="1662" spans="1:7" x14ac:dyDescent="0.25">
      <c r="A1662" s="1" t="s">
        <v>887</v>
      </c>
      <c r="B1662" s="1" t="s">
        <v>1219</v>
      </c>
      <c r="C1662" s="1" t="s">
        <v>892</v>
      </c>
      <c r="D1662">
        <f>IFERROR(VLOOKUP(A1662,depara!A:B,2,0),A1662)</f>
        <v>16598641</v>
      </c>
      <c r="E1662">
        <f>VLOOKUP(B1662,'inumos depara'!$A:$B,2,0)</f>
        <v>16298624</v>
      </c>
      <c r="F1662" s="1" t="str">
        <f t="shared" si="50"/>
        <v>0.00176648435642219</v>
      </c>
      <c r="G1662" t="str">
        <f t="shared" si="51"/>
        <v>16598641,16298624,0.00176648435642219</v>
      </c>
    </row>
    <row r="1663" spans="1:7" x14ac:dyDescent="0.25">
      <c r="A1663" s="1" t="s">
        <v>887</v>
      </c>
      <c r="B1663" s="1" t="s">
        <v>1308</v>
      </c>
      <c r="C1663" s="1" t="s">
        <v>893</v>
      </c>
      <c r="D1663">
        <f>IFERROR(VLOOKUP(A1663,depara!A:B,2,0),A1663)</f>
        <v>16598641</v>
      </c>
      <c r="E1663">
        <f>VLOOKUP(B1663,'inumos depara'!$A:$B,2,0)</f>
        <v>16298708</v>
      </c>
      <c r="F1663" s="1" t="str">
        <f t="shared" si="50"/>
        <v>0.00883242178211095</v>
      </c>
      <c r="G1663" t="str">
        <f t="shared" si="51"/>
        <v>16598641,16298708,0.00883242178211095</v>
      </c>
    </row>
    <row r="1664" spans="1:7" x14ac:dyDescent="0.25">
      <c r="A1664" s="1" t="s">
        <v>887</v>
      </c>
      <c r="B1664" s="1" t="s">
        <v>1309</v>
      </c>
      <c r="C1664" s="1" t="s">
        <v>894</v>
      </c>
      <c r="D1664">
        <f>IFERROR(VLOOKUP(A1664,depara!A:B,2,0),A1664)</f>
        <v>16598641</v>
      </c>
      <c r="E1664">
        <f>VLOOKUP(B1664,'inumos depara'!$A:$B,2,0)</f>
        <v>16298709</v>
      </c>
      <c r="F1664" s="1" t="str">
        <f t="shared" si="50"/>
        <v>0.00114821483167442</v>
      </c>
      <c r="G1664" t="str">
        <f t="shared" si="51"/>
        <v>16598641,16298709,0.00114821483167442</v>
      </c>
    </row>
    <row r="1665" spans="1:7" x14ac:dyDescent="0.25">
      <c r="A1665" s="1" t="s">
        <v>887</v>
      </c>
      <c r="B1665" s="1" t="s">
        <v>1187</v>
      </c>
      <c r="C1665" s="1" t="s">
        <v>890</v>
      </c>
      <c r="D1665">
        <f>IFERROR(VLOOKUP(A1665,depara!A:B,2,0),A1665)</f>
        <v>16598641</v>
      </c>
      <c r="E1665">
        <f>VLOOKUP(B1665,'inumos depara'!$A:$B,2,0)</f>
        <v>16298593</v>
      </c>
      <c r="F1665" s="1" t="str">
        <f t="shared" si="50"/>
        <v>0.000883242178211095</v>
      </c>
      <c r="G1665" t="str">
        <f t="shared" si="51"/>
        <v>16598641,16298593,0.000883242178211095</v>
      </c>
    </row>
    <row r="1666" spans="1:7" x14ac:dyDescent="0.25">
      <c r="A1666" s="1" t="s">
        <v>887</v>
      </c>
      <c r="B1666" s="1" t="s">
        <v>160</v>
      </c>
      <c r="C1666" s="1" t="s">
        <v>890</v>
      </c>
      <c r="D1666">
        <f>IFERROR(VLOOKUP(A1666,depara!A:B,2,0),A1666)</f>
        <v>16598641</v>
      </c>
      <c r="E1666">
        <f>VLOOKUP(B1666,'inumos depara'!$A:$B,2,0)</f>
        <v>16298745</v>
      </c>
      <c r="F1666" s="1" t="str">
        <f t="shared" ref="F1666:F1729" si="52">C1666</f>
        <v>0.000883242178211095</v>
      </c>
      <c r="G1666" t="str">
        <f t="shared" ref="G1666:G1729" si="53">D1666&amp;","&amp;E1666&amp;","&amp;F1666</f>
        <v>16598641,16298745,0.000883242178211095</v>
      </c>
    </row>
    <row r="1667" spans="1:7" x14ac:dyDescent="0.25">
      <c r="A1667" s="1" t="s">
        <v>887</v>
      </c>
      <c r="B1667" s="1" t="s">
        <v>895</v>
      </c>
      <c r="C1667" s="1" t="s">
        <v>1644</v>
      </c>
      <c r="D1667">
        <f>IFERROR(VLOOKUP(A1667,depara!A:B,2,0),A1667)</f>
        <v>16598641</v>
      </c>
      <c r="E1667">
        <f>VLOOKUP(B1667,'inumos depara'!$A:$B,2,0)</f>
        <v>16299111</v>
      </c>
      <c r="F1667" s="1" t="str">
        <f t="shared" si="52"/>
        <v>1.00998743078439</v>
      </c>
      <c r="G1667" t="str">
        <f t="shared" si="53"/>
        <v>16598641,16299111,1.00998743078439</v>
      </c>
    </row>
    <row r="1668" spans="1:7" x14ac:dyDescent="0.25">
      <c r="A1668" s="1" t="s">
        <v>887</v>
      </c>
      <c r="B1668" s="1" t="s">
        <v>1312</v>
      </c>
      <c r="C1668" s="1" t="s">
        <v>896</v>
      </c>
      <c r="D1668">
        <f>IFERROR(VLOOKUP(A1668,depara!A:B,2,0),A1668)</f>
        <v>16598641</v>
      </c>
      <c r="E1668">
        <f>VLOOKUP(B1668,'inumos depara'!$A:$B,2,0)</f>
        <v>16298712</v>
      </c>
      <c r="F1668" s="1" t="str">
        <f t="shared" si="52"/>
        <v>0.0280599245847063</v>
      </c>
      <c r="G1668" t="str">
        <f t="shared" si="53"/>
        <v>16598641,16298712,0.0280599245847063</v>
      </c>
    </row>
    <row r="1669" spans="1:7" x14ac:dyDescent="0.25">
      <c r="A1669" s="1" t="s">
        <v>897</v>
      </c>
      <c r="B1669" s="1" t="s">
        <v>898</v>
      </c>
      <c r="C1669" s="1" t="s">
        <v>899</v>
      </c>
      <c r="D1669">
        <f>IFERROR(VLOOKUP(A1669,depara!A:B,2,0),A1669)</f>
        <v>16598642</v>
      </c>
      <c r="E1669">
        <f>VLOOKUP(B1669,'inumos depara'!$A:$B,2,0)</f>
        <v>16299112</v>
      </c>
      <c r="F1669" s="1" t="str">
        <f t="shared" si="52"/>
        <v>1.05</v>
      </c>
      <c r="G1669" t="str">
        <f t="shared" si="53"/>
        <v>16598642,16299112,1.05</v>
      </c>
    </row>
    <row r="1670" spans="1:7" x14ac:dyDescent="0.25">
      <c r="A1670" s="1" t="s">
        <v>897</v>
      </c>
      <c r="B1670" s="1" t="s">
        <v>1280</v>
      </c>
      <c r="C1670" s="1" t="s">
        <v>900</v>
      </c>
      <c r="D1670">
        <f>IFERROR(VLOOKUP(A1670,depara!A:B,2,0),A1670)</f>
        <v>16598642</v>
      </c>
      <c r="E1670">
        <f>VLOOKUP(B1670,'inumos depara'!$A:$B,2,0)</f>
        <v>16298685</v>
      </c>
      <c r="F1670" s="1" t="str">
        <f t="shared" si="52"/>
        <v>0.0625107112253642</v>
      </c>
      <c r="G1670" t="str">
        <f t="shared" si="53"/>
        <v>16598642,16298685,0.0625107112253642</v>
      </c>
    </row>
    <row r="1671" spans="1:7" x14ac:dyDescent="0.25">
      <c r="A1671" s="1" t="s">
        <v>897</v>
      </c>
      <c r="B1671" s="1" t="s">
        <v>95</v>
      </c>
      <c r="C1671" s="1" t="s">
        <v>901</v>
      </c>
      <c r="D1671">
        <f>IFERROR(VLOOKUP(A1671,depara!A:B,2,0),A1671)</f>
        <v>16598642</v>
      </c>
      <c r="E1671">
        <f>VLOOKUP(B1671,'inumos depara'!$A:$B,2,0)</f>
        <v>16298686</v>
      </c>
      <c r="F1671" s="1" t="str">
        <f t="shared" si="52"/>
        <v>0.066805912596401</v>
      </c>
      <c r="G1671" t="str">
        <f t="shared" si="53"/>
        <v>16598642,16298686,0.066805912596401</v>
      </c>
    </row>
    <row r="1672" spans="1:7" x14ac:dyDescent="0.25">
      <c r="A1672" s="1" t="s">
        <v>902</v>
      </c>
      <c r="B1672" s="1" t="s">
        <v>95</v>
      </c>
      <c r="C1672" s="1" t="s">
        <v>903</v>
      </c>
      <c r="D1672">
        <f>IFERROR(VLOOKUP(A1672,depara!A:B,2,0),A1672)</f>
        <v>16598643</v>
      </c>
      <c r="E1672">
        <f>VLOOKUP(B1672,'inumos depara'!$A:$B,2,0)</f>
        <v>16298686</v>
      </c>
      <c r="F1672" s="1" t="str">
        <f t="shared" si="52"/>
        <v>0.154733551652277</v>
      </c>
      <c r="G1672" t="str">
        <f t="shared" si="53"/>
        <v>16598643,16298686,0.154733551652277</v>
      </c>
    </row>
    <row r="1673" spans="1:7" x14ac:dyDescent="0.25">
      <c r="A1673" s="1" t="s">
        <v>902</v>
      </c>
      <c r="B1673" s="1" t="s">
        <v>1282</v>
      </c>
      <c r="C1673" s="1" t="s">
        <v>1645</v>
      </c>
      <c r="D1673">
        <f>IFERROR(VLOOKUP(A1673,depara!A:B,2,0),A1673)</f>
        <v>16598643</v>
      </c>
      <c r="E1673">
        <f>VLOOKUP(B1673,'inumos depara'!$A:$B,2,0)</f>
        <v>16298687</v>
      </c>
      <c r="F1673" s="1" t="str">
        <f t="shared" si="52"/>
        <v>1.00496179418478</v>
      </c>
      <c r="G1673" t="str">
        <f t="shared" si="53"/>
        <v>16598643,16298687,1.00496179418478</v>
      </c>
    </row>
    <row r="1674" spans="1:7" x14ac:dyDescent="0.25">
      <c r="A1674" s="1" t="s">
        <v>902</v>
      </c>
      <c r="B1674" s="1" t="s">
        <v>904</v>
      </c>
      <c r="C1674" s="1" t="s">
        <v>1646</v>
      </c>
      <c r="D1674">
        <f>IFERROR(VLOOKUP(A1674,depara!A:B,2,0),A1674)</f>
        <v>16598643</v>
      </c>
      <c r="E1674">
        <f>VLOOKUP(B1674,'inumos depara'!$A:$B,2,0)</f>
        <v>16299113</v>
      </c>
      <c r="F1674" s="1" t="str">
        <f t="shared" si="52"/>
        <v>1.03498064900268</v>
      </c>
      <c r="G1674" t="str">
        <f t="shared" si="53"/>
        <v>16598643,16299113,1.03498064900268</v>
      </c>
    </row>
    <row r="1675" spans="1:7" x14ac:dyDescent="0.25">
      <c r="A1675" s="1" t="s">
        <v>902</v>
      </c>
      <c r="B1675" s="1" t="s">
        <v>905</v>
      </c>
      <c r="C1675" s="1" t="s">
        <v>1647</v>
      </c>
      <c r="D1675">
        <f>IFERROR(VLOOKUP(A1675,depara!A:B,2,0),A1675)</f>
        <v>16598643</v>
      </c>
      <c r="E1675">
        <f>VLOOKUP(B1675,'inumos depara'!$A:$B,2,0)</f>
        <v>16299114</v>
      </c>
      <c r="F1675" s="1" t="str">
        <f t="shared" si="52"/>
        <v>1.02996923687605</v>
      </c>
      <c r="G1675" t="str">
        <f t="shared" si="53"/>
        <v>16598643,16299114,1.02996923687605</v>
      </c>
    </row>
    <row r="1676" spans="1:7" x14ac:dyDescent="0.25">
      <c r="A1676" s="1" t="s">
        <v>902</v>
      </c>
      <c r="B1676" s="1" t="s">
        <v>98</v>
      </c>
      <c r="C1676" s="1" t="s">
        <v>1645</v>
      </c>
      <c r="D1676">
        <f>IFERROR(VLOOKUP(A1676,depara!A:B,2,0),A1676)</f>
        <v>16598643</v>
      </c>
      <c r="E1676">
        <f>VLOOKUP(B1676,'inumos depara'!$A:$B,2,0)</f>
        <v>16298690</v>
      </c>
      <c r="F1676" s="1" t="str">
        <f t="shared" si="52"/>
        <v>1.00496179418478</v>
      </c>
      <c r="G1676" t="str">
        <f t="shared" si="53"/>
        <v>16598643,16298690,1.00496179418478</v>
      </c>
    </row>
    <row r="1677" spans="1:7" x14ac:dyDescent="0.25">
      <c r="A1677" s="1" t="s">
        <v>902</v>
      </c>
      <c r="B1677" s="1" t="s">
        <v>773</v>
      </c>
      <c r="C1677" s="1" t="s">
        <v>1648</v>
      </c>
      <c r="D1677">
        <f>IFERROR(VLOOKUP(A1677,depara!A:B,2,0),A1677)</f>
        <v>16598643</v>
      </c>
      <c r="E1677">
        <f>VLOOKUP(B1677,'inumos depara'!$A:$B,2,0)</f>
        <v>16299079</v>
      </c>
      <c r="F1677" s="1" t="str">
        <f t="shared" si="52"/>
        <v>1.01999603056465</v>
      </c>
      <c r="G1677" t="str">
        <f t="shared" si="53"/>
        <v>16598643,16299079,1.01999603056465</v>
      </c>
    </row>
    <row r="1678" spans="1:7" x14ac:dyDescent="0.25">
      <c r="A1678" s="1" t="s">
        <v>902</v>
      </c>
      <c r="B1678" s="1" t="s">
        <v>1288</v>
      </c>
      <c r="C1678" s="1" t="s">
        <v>906</v>
      </c>
      <c r="D1678">
        <f>IFERROR(VLOOKUP(A1678,depara!A:B,2,0),A1678)</f>
        <v>16598643</v>
      </c>
      <c r="E1678">
        <f>VLOOKUP(B1678,'inumos depara'!$A:$B,2,0)</f>
        <v>16298692</v>
      </c>
      <c r="F1678" s="1" t="str">
        <f t="shared" si="52"/>
        <v>0.0625186067281929</v>
      </c>
      <c r="G1678" t="str">
        <f t="shared" si="53"/>
        <v>16598643,16298692,0.0625186067281929</v>
      </c>
    </row>
    <row r="1679" spans="1:7" x14ac:dyDescent="0.25">
      <c r="A1679" s="1" t="s">
        <v>907</v>
      </c>
      <c r="B1679" s="1" t="s">
        <v>95</v>
      </c>
      <c r="C1679" s="1" t="s">
        <v>908</v>
      </c>
      <c r="D1679">
        <f>IFERROR(VLOOKUP(A1679,depara!A:B,2,0),A1679)</f>
        <v>16598644</v>
      </c>
      <c r="E1679">
        <f>VLOOKUP(B1679,'inumos depara'!$A:$B,2,0)</f>
        <v>16298686</v>
      </c>
      <c r="F1679" s="1" t="str">
        <f t="shared" si="52"/>
        <v>0.00594298847420417</v>
      </c>
      <c r="G1679" t="str">
        <f t="shared" si="53"/>
        <v>16598644,16298686,0.00594298847420417</v>
      </c>
    </row>
    <row r="1680" spans="1:7" x14ac:dyDescent="0.25">
      <c r="A1680" s="1" t="s">
        <v>907</v>
      </c>
      <c r="B1680" s="1" t="s">
        <v>909</v>
      </c>
      <c r="C1680" s="1" t="s">
        <v>910</v>
      </c>
      <c r="D1680">
        <f>IFERROR(VLOOKUP(A1680,depara!A:B,2,0),A1680)</f>
        <v>16598644</v>
      </c>
      <c r="E1680">
        <f>VLOOKUP(B1680,'inumos depara'!$A:$B,2,0)</f>
        <v>16299115</v>
      </c>
      <c r="F1680" s="1" t="str">
        <f t="shared" si="52"/>
        <v>0.00136068422978412</v>
      </c>
      <c r="G1680" t="str">
        <f t="shared" si="53"/>
        <v>16598644,16299115,0.00136068422978412</v>
      </c>
    </row>
    <row r="1681" spans="1:7" x14ac:dyDescent="0.25">
      <c r="A1681" s="1" t="s">
        <v>907</v>
      </c>
      <c r="B1681" s="1" t="s">
        <v>1443</v>
      </c>
      <c r="C1681" s="1" t="s">
        <v>911</v>
      </c>
      <c r="D1681">
        <f>IFERROR(VLOOKUP(A1681,depara!A:B,2,0),A1681)</f>
        <v>16598644</v>
      </c>
      <c r="E1681">
        <f>VLOOKUP(B1681,'inumos depara'!$A:$B,2,0)</f>
        <v>16298809</v>
      </c>
      <c r="F1681" s="1" t="str">
        <f t="shared" si="52"/>
        <v>0.00999931394072448</v>
      </c>
      <c r="G1681" t="str">
        <f t="shared" si="53"/>
        <v>16598644,16298809,0.00999931394072448</v>
      </c>
    </row>
    <row r="1682" spans="1:7" x14ac:dyDescent="0.25">
      <c r="A1682" s="1" t="s">
        <v>912</v>
      </c>
      <c r="B1682" s="1" t="s">
        <v>773</v>
      </c>
      <c r="C1682" s="1" t="s">
        <v>1649</v>
      </c>
      <c r="D1682">
        <f>IFERROR(VLOOKUP(A1682,depara!A:B,2,0),A1682)</f>
        <v>16598645</v>
      </c>
      <c r="E1682">
        <f>VLOOKUP(B1682,'inumos depara'!$A:$B,2,0)</f>
        <v>16299079</v>
      </c>
      <c r="F1682" s="1" t="str">
        <f t="shared" si="52"/>
        <v>1.01999491654664</v>
      </c>
      <c r="G1682" t="str">
        <f t="shared" si="53"/>
        <v>16598645,16299079,1.01999491654664</v>
      </c>
    </row>
    <row r="1683" spans="1:7" x14ac:dyDescent="0.25">
      <c r="A1683" s="1" t="s">
        <v>912</v>
      </c>
      <c r="B1683" s="1" t="s">
        <v>1295</v>
      </c>
      <c r="C1683" s="1" t="s">
        <v>913</v>
      </c>
      <c r="D1683">
        <f>IFERROR(VLOOKUP(A1683,depara!A:B,2,0),A1683)</f>
        <v>16598645</v>
      </c>
      <c r="E1683">
        <f>VLOOKUP(B1683,'inumos depara'!$A:$B,2,0)</f>
        <v>16298697</v>
      </c>
      <c r="F1683" s="1" t="str">
        <f t="shared" si="52"/>
        <v>0.0625264763195798</v>
      </c>
      <c r="G1683" t="str">
        <f t="shared" si="53"/>
        <v>16598645,16298697,0.0625264763195798</v>
      </c>
    </row>
    <row r="1684" spans="1:7" x14ac:dyDescent="0.25">
      <c r="A1684" s="1" t="s">
        <v>912</v>
      </c>
      <c r="B1684" s="1" t="s">
        <v>1291</v>
      </c>
      <c r="C1684" s="1" t="s">
        <v>1650</v>
      </c>
      <c r="D1684">
        <f>IFERROR(VLOOKUP(A1684,depara!A:B,2,0),A1684)</f>
        <v>16598645</v>
      </c>
      <c r="E1684">
        <f>VLOOKUP(B1684,'inumos depara'!$A:$B,2,0)</f>
        <v>16298694</v>
      </c>
      <c r="F1684" s="1" t="str">
        <f t="shared" si="52"/>
        <v>1.00499872913666</v>
      </c>
      <c r="G1684" t="str">
        <f t="shared" si="53"/>
        <v>16598645,16298694,1.00499872913666</v>
      </c>
    </row>
    <row r="1685" spans="1:7" x14ac:dyDescent="0.25">
      <c r="A1685" s="1" t="s">
        <v>912</v>
      </c>
      <c r="B1685" s="1" t="s">
        <v>101</v>
      </c>
      <c r="C1685" s="1" t="s">
        <v>1650</v>
      </c>
      <c r="D1685">
        <f>IFERROR(VLOOKUP(A1685,depara!A:B,2,0),A1685)</f>
        <v>16598645</v>
      </c>
      <c r="E1685">
        <f>VLOOKUP(B1685,'inumos depara'!$A:$B,2,0)</f>
        <v>16298693</v>
      </c>
      <c r="F1685" s="1" t="str">
        <f t="shared" si="52"/>
        <v>1.00499872913666</v>
      </c>
      <c r="G1685" t="str">
        <f t="shared" si="53"/>
        <v>16598645,16298693,1.00499872913666</v>
      </c>
    </row>
    <row r="1686" spans="1:7" x14ac:dyDescent="0.25">
      <c r="A1686" s="1" t="s">
        <v>912</v>
      </c>
      <c r="B1686" s="1" t="s">
        <v>95</v>
      </c>
      <c r="C1686" s="1" t="s">
        <v>914</v>
      </c>
      <c r="D1686">
        <f>IFERROR(VLOOKUP(A1686,depara!A:B,2,0),A1686)</f>
        <v>16598645</v>
      </c>
      <c r="E1686">
        <f>VLOOKUP(B1686,'inumos depara'!$A:$B,2,0)</f>
        <v>16298686</v>
      </c>
      <c r="F1686" s="1" t="str">
        <f t="shared" si="52"/>
        <v>0.264212488350419</v>
      </c>
      <c r="G1686" t="str">
        <f t="shared" si="53"/>
        <v>16598645,16298686,0.264212488350419</v>
      </c>
    </row>
    <row r="1687" spans="1:7" x14ac:dyDescent="0.25">
      <c r="A1687" s="1" t="s">
        <v>912</v>
      </c>
      <c r="B1687" s="1" t="s">
        <v>915</v>
      </c>
      <c r="C1687" s="1" t="s">
        <v>1651</v>
      </c>
      <c r="D1687">
        <f>IFERROR(VLOOKUP(A1687,depara!A:B,2,0),A1687)</f>
        <v>16598645</v>
      </c>
      <c r="E1687">
        <f>VLOOKUP(B1687,'inumos depara'!$A:$B,2,0)</f>
        <v>16299116</v>
      </c>
      <c r="F1687" s="1" t="str">
        <f t="shared" si="52"/>
        <v>1.02999237481996</v>
      </c>
      <c r="G1687" t="str">
        <f t="shared" si="53"/>
        <v>16598645,16299116,1.02999237481996</v>
      </c>
    </row>
    <row r="1688" spans="1:7" x14ac:dyDescent="0.25">
      <c r="A1688" s="1" t="s">
        <v>912</v>
      </c>
      <c r="B1688" s="1" t="s">
        <v>916</v>
      </c>
      <c r="C1688" s="1" t="s">
        <v>1652</v>
      </c>
      <c r="D1688">
        <f>IFERROR(VLOOKUP(A1688,depara!A:B,2,0),A1688)</f>
        <v>16598645</v>
      </c>
      <c r="E1688">
        <f>VLOOKUP(B1688,'inumos depara'!$A:$B,2,0)</f>
        <v>16299117</v>
      </c>
      <c r="F1688" s="1" t="str">
        <f t="shared" si="52"/>
        <v>1.03499110395662</v>
      </c>
      <c r="G1688" t="str">
        <f t="shared" si="53"/>
        <v>16598645,16299117,1.03499110395662</v>
      </c>
    </row>
    <row r="1689" spans="1:7" x14ac:dyDescent="0.25">
      <c r="A1689" s="1" t="s">
        <v>917</v>
      </c>
      <c r="B1689" s="1" t="s">
        <v>95</v>
      </c>
      <c r="C1689" s="1" t="s">
        <v>918</v>
      </c>
      <c r="D1689">
        <f>IFERROR(VLOOKUP(A1689,depara!A:B,2,0),A1689)</f>
        <v>16598646</v>
      </c>
      <c r="E1689">
        <f>VLOOKUP(B1689,'inumos depara'!$A:$B,2,0)</f>
        <v>16298686</v>
      </c>
      <c r="F1689" s="1" t="str">
        <f t="shared" si="52"/>
        <v>0.441588785046729</v>
      </c>
      <c r="G1689" t="str">
        <f t="shared" si="53"/>
        <v>16598646,16298686,0.441588785046729</v>
      </c>
    </row>
    <row r="1690" spans="1:7" x14ac:dyDescent="0.25">
      <c r="A1690" s="1" t="s">
        <v>917</v>
      </c>
      <c r="B1690" s="1" t="s">
        <v>919</v>
      </c>
      <c r="C1690" s="1" t="s">
        <v>1653</v>
      </c>
      <c r="D1690">
        <f>IFERROR(VLOOKUP(A1690,depara!A:B,2,0),A1690)</f>
        <v>16598646</v>
      </c>
      <c r="E1690">
        <f>VLOOKUP(B1690,'inumos depara'!$A:$B,2,0)</f>
        <v>16299118</v>
      </c>
      <c r="F1690" s="1" t="str">
        <f t="shared" si="52"/>
        <v>1.00509770603229</v>
      </c>
      <c r="G1690" t="str">
        <f t="shared" si="53"/>
        <v>16598646,16299118,1.00509770603229</v>
      </c>
    </row>
    <row r="1691" spans="1:7" x14ac:dyDescent="0.25">
      <c r="A1691" s="1" t="s">
        <v>917</v>
      </c>
      <c r="B1691" s="1" t="s">
        <v>592</v>
      </c>
      <c r="C1691" s="1" t="s">
        <v>1653</v>
      </c>
      <c r="D1691">
        <f>IFERROR(VLOOKUP(A1691,depara!A:B,2,0),A1691)</f>
        <v>16598646</v>
      </c>
      <c r="E1691">
        <f>VLOOKUP(B1691,'inumos depara'!$A:$B,2,0)</f>
        <v>16299016</v>
      </c>
      <c r="F1691" s="1" t="str">
        <f t="shared" si="52"/>
        <v>1.00509770603229</v>
      </c>
      <c r="G1691" t="str">
        <f t="shared" si="53"/>
        <v>16598646,16299016,1.00509770603229</v>
      </c>
    </row>
    <row r="1692" spans="1:7" x14ac:dyDescent="0.25">
      <c r="A1692" s="1" t="s">
        <v>917</v>
      </c>
      <c r="B1692" s="1" t="s">
        <v>594</v>
      </c>
      <c r="C1692" s="1" t="s">
        <v>920</v>
      </c>
      <c r="D1692">
        <f>IFERROR(VLOOKUP(A1692,depara!A:B,2,0),A1692)</f>
        <v>16598646</v>
      </c>
      <c r="E1692">
        <f>VLOOKUP(B1692,'inumos depara'!$A:$B,2,0)</f>
        <v>16299017</v>
      </c>
      <c r="F1692" s="1" t="str">
        <f t="shared" si="52"/>
        <v>0.083404134806004</v>
      </c>
      <c r="G1692" t="str">
        <f t="shared" si="53"/>
        <v>16598646,16299017,0.083404134806004</v>
      </c>
    </row>
    <row r="1693" spans="1:7" x14ac:dyDescent="0.25">
      <c r="A1693" s="1" t="s">
        <v>921</v>
      </c>
      <c r="B1693" s="1" t="s">
        <v>922</v>
      </c>
      <c r="C1693" s="1" t="s">
        <v>923</v>
      </c>
      <c r="D1693">
        <f>IFERROR(VLOOKUP(A1693,depara!A:B,2,0),A1693)</f>
        <v>16598647</v>
      </c>
      <c r="E1693">
        <f>VLOOKUP(B1693,'inumos depara'!$A:$B,2,0)</f>
        <v>16299119</v>
      </c>
      <c r="F1693" s="1" t="str">
        <f t="shared" si="52"/>
        <v>0.000520110957004161</v>
      </c>
      <c r="G1693" t="str">
        <f t="shared" si="53"/>
        <v>16598647,16299119,0.000520110957004161</v>
      </c>
    </row>
    <row r="1694" spans="1:7" x14ac:dyDescent="0.25">
      <c r="A1694" s="1" t="s">
        <v>921</v>
      </c>
      <c r="B1694" s="1" t="s">
        <v>1301</v>
      </c>
      <c r="C1694" s="1" t="s">
        <v>924</v>
      </c>
      <c r="D1694">
        <f>IFERROR(VLOOKUP(A1694,depara!A:B,2,0),A1694)</f>
        <v>16598647</v>
      </c>
      <c r="E1694">
        <f>VLOOKUP(B1694,'inumos depara'!$A:$B,2,0)</f>
        <v>16298703</v>
      </c>
      <c r="F1694" s="1" t="str">
        <f t="shared" si="52"/>
        <v>0.00999768839574665</v>
      </c>
      <c r="G1694" t="str">
        <f t="shared" si="53"/>
        <v>16598647,16298703,0.00999768839574665</v>
      </c>
    </row>
    <row r="1695" spans="1:7" x14ac:dyDescent="0.25">
      <c r="A1695" s="1" t="s">
        <v>921</v>
      </c>
      <c r="B1695" s="1" t="s">
        <v>1303</v>
      </c>
      <c r="C1695" s="1" t="s">
        <v>925</v>
      </c>
      <c r="D1695">
        <f>IFERROR(VLOOKUP(A1695,depara!A:B,2,0),A1695)</f>
        <v>16598647</v>
      </c>
      <c r="E1695">
        <f>VLOOKUP(B1695,'inumos depara'!$A:$B,2,0)</f>
        <v>16298704</v>
      </c>
      <c r="F1695" s="1" t="str">
        <f t="shared" si="52"/>
        <v>0.0162180709662506</v>
      </c>
      <c r="G1695" t="str">
        <f t="shared" si="53"/>
        <v>16598647,16298704,0.0162180709662506</v>
      </c>
    </row>
    <row r="1696" spans="1:7" x14ac:dyDescent="0.25">
      <c r="A1696" s="1" t="s">
        <v>921</v>
      </c>
      <c r="B1696" s="1" t="s">
        <v>1373</v>
      </c>
      <c r="C1696" s="1" t="s">
        <v>926</v>
      </c>
      <c r="D1696">
        <f>IFERROR(VLOOKUP(A1696,depara!A:B,2,0),A1696)</f>
        <v>16598647</v>
      </c>
      <c r="E1696">
        <f>VLOOKUP(B1696,'inumos depara'!$A:$B,2,0)</f>
        <v>16298758</v>
      </c>
      <c r="F1696" s="1" t="str">
        <f t="shared" si="52"/>
        <v>0.000281726768377254</v>
      </c>
      <c r="G1696" t="str">
        <f t="shared" si="53"/>
        <v>16598647,16298758,0.000281726768377254</v>
      </c>
    </row>
    <row r="1697" spans="1:7" x14ac:dyDescent="0.25">
      <c r="A1697" s="1" t="s">
        <v>921</v>
      </c>
      <c r="B1697" s="1" t="s">
        <v>1304</v>
      </c>
      <c r="C1697" s="1" t="s">
        <v>927</v>
      </c>
      <c r="D1697">
        <f>IFERROR(VLOOKUP(A1697,depara!A:B,2,0),A1697)</f>
        <v>16598647</v>
      </c>
      <c r="E1697">
        <f>VLOOKUP(B1697,'inumos depara'!$A:$B,2,0)</f>
        <v>16298705</v>
      </c>
      <c r="F1697" s="1" t="str">
        <f t="shared" si="52"/>
        <v>0.00112690707350902</v>
      </c>
      <c r="G1697" t="str">
        <f t="shared" si="53"/>
        <v>16598647,16298705,0.00112690707350902</v>
      </c>
    </row>
    <row r="1698" spans="1:7" x14ac:dyDescent="0.25">
      <c r="A1698" s="1" t="s">
        <v>921</v>
      </c>
      <c r="B1698" s="1" t="s">
        <v>1186</v>
      </c>
      <c r="C1698" s="1" t="s">
        <v>928</v>
      </c>
      <c r="D1698">
        <f>IFERROR(VLOOKUP(A1698,depara!A:B,2,0),A1698)</f>
        <v>16598647</v>
      </c>
      <c r="E1698">
        <f>VLOOKUP(B1698,'inumos depara'!$A:$B,2,0)</f>
        <v>16298592</v>
      </c>
      <c r="F1698" s="1" t="str">
        <f t="shared" si="52"/>
        <v>0.00036624479889043</v>
      </c>
      <c r="G1698" t="str">
        <f t="shared" si="53"/>
        <v>16598647,16298592,0.00036624479889043</v>
      </c>
    </row>
    <row r="1699" spans="1:7" x14ac:dyDescent="0.25">
      <c r="A1699" s="1" t="s">
        <v>921</v>
      </c>
      <c r="B1699" s="1" t="s">
        <v>1187</v>
      </c>
      <c r="C1699" s="1" t="s">
        <v>929</v>
      </c>
      <c r="D1699">
        <f>IFERROR(VLOOKUP(A1699,depara!A:B,2,0),A1699)</f>
        <v>16598647</v>
      </c>
      <c r="E1699">
        <f>VLOOKUP(B1699,'inumos depara'!$A:$B,2,0)</f>
        <v>16298593</v>
      </c>
      <c r="F1699" s="1" t="str">
        <f t="shared" si="52"/>
        <v>0.000187817845584836</v>
      </c>
      <c r="G1699" t="str">
        <f t="shared" si="53"/>
        <v>16598647,16298593,0.000187817845584836</v>
      </c>
    </row>
    <row r="1700" spans="1:7" x14ac:dyDescent="0.25">
      <c r="A1700" s="1" t="s">
        <v>921</v>
      </c>
      <c r="B1700" s="1" t="s">
        <v>1190</v>
      </c>
      <c r="C1700" s="1" t="s">
        <v>929</v>
      </c>
      <c r="D1700">
        <f>IFERROR(VLOOKUP(A1700,depara!A:B,2,0),A1700)</f>
        <v>16598647</v>
      </c>
      <c r="E1700">
        <f>VLOOKUP(B1700,'inumos depara'!$A:$B,2,0)</f>
        <v>16298596</v>
      </c>
      <c r="F1700" s="1" t="str">
        <f t="shared" si="52"/>
        <v>0.000187817845584836</v>
      </c>
      <c r="G1700" t="str">
        <f t="shared" si="53"/>
        <v>16598647,16298596,0.000187817845584836</v>
      </c>
    </row>
    <row r="1701" spans="1:7" x14ac:dyDescent="0.25">
      <c r="A1701" s="1" t="s">
        <v>921</v>
      </c>
      <c r="B1701" s="1" t="s">
        <v>1305</v>
      </c>
      <c r="C1701" s="1" t="s">
        <v>930</v>
      </c>
      <c r="D1701">
        <f>IFERROR(VLOOKUP(A1701,depara!A:B,2,0),A1701)</f>
        <v>16598647</v>
      </c>
      <c r="E1701">
        <f>VLOOKUP(B1701,'inumos depara'!$A:$B,2,0)</f>
        <v>16298706</v>
      </c>
      <c r="F1701" s="1" t="str">
        <f t="shared" si="52"/>
        <v>0.000375635691169672</v>
      </c>
      <c r="G1701" t="str">
        <f t="shared" si="53"/>
        <v>16598647,16298706,0.000375635691169672</v>
      </c>
    </row>
    <row r="1702" spans="1:7" x14ac:dyDescent="0.25">
      <c r="A1702" s="1" t="s">
        <v>921</v>
      </c>
      <c r="B1702" s="1" t="s">
        <v>1193</v>
      </c>
      <c r="C1702" s="1" t="s">
        <v>1654</v>
      </c>
      <c r="D1702">
        <f>IFERROR(VLOOKUP(A1702,depara!A:B,2,0),A1702)</f>
        <v>16598647</v>
      </c>
      <c r="E1702">
        <f>VLOOKUP(B1702,'inumos depara'!$A:$B,2,0)</f>
        <v>16298599</v>
      </c>
      <c r="F1702" s="1" t="str">
        <f t="shared" si="52"/>
        <v>3.75635691169672E-05</v>
      </c>
      <c r="G1702" t="str">
        <f t="shared" si="53"/>
        <v>16598647,16298599,3.75635691169672E-05</v>
      </c>
    </row>
    <row r="1703" spans="1:7" x14ac:dyDescent="0.25">
      <c r="A1703" s="1" t="s">
        <v>931</v>
      </c>
      <c r="B1703" s="1" t="s">
        <v>932</v>
      </c>
      <c r="C1703" s="1" t="s">
        <v>1655</v>
      </c>
      <c r="D1703">
        <f>IFERROR(VLOOKUP(A1703,depara!A:B,2,0),A1703)</f>
        <v>16598648</v>
      </c>
      <c r="E1703">
        <f>VLOOKUP(B1703,'inumos depara'!$A:$B,2,0)</f>
        <v>16299120</v>
      </c>
      <c r="F1703" s="1" t="str">
        <f t="shared" si="52"/>
        <v>1.01000382660034</v>
      </c>
      <c r="G1703" t="str">
        <f t="shared" si="53"/>
        <v>16598648,16299120,1.01000382660034</v>
      </c>
    </row>
    <row r="1704" spans="1:7" x14ac:dyDescent="0.25">
      <c r="A1704" s="1" t="s">
        <v>931</v>
      </c>
      <c r="B1704" s="1" t="s">
        <v>160</v>
      </c>
      <c r="C1704" s="1" t="s">
        <v>933</v>
      </c>
      <c r="D1704">
        <f>IFERROR(VLOOKUP(A1704,depara!A:B,2,0),A1704)</f>
        <v>16598648</v>
      </c>
      <c r="E1704">
        <f>VLOOKUP(B1704,'inumos depara'!$A:$B,2,0)</f>
        <v>16298745</v>
      </c>
      <c r="F1704" s="1" t="str">
        <f t="shared" si="52"/>
        <v>0.000874651506040562</v>
      </c>
      <c r="G1704" t="str">
        <f t="shared" si="53"/>
        <v>16598648,16298745,0.000874651506040562</v>
      </c>
    </row>
    <row r="1705" spans="1:7" x14ac:dyDescent="0.25">
      <c r="A1705" s="1" t="s">
        <v>931</v>
      </c>
      <c r="B1705" s="1" t="s">
        <v>1312</v>
      </c>
      <c r="C1705" s="1" t="s">
        <v>934</v>
      </c>
      <c r="D1705">
        <f>IFERROR(VLOOKUP(A1705,depara!A:B,2,0),A1705)</f>
        <v>16598648</v>
      </c>
      <c r="E1705">
        <f>VLOOKUP(B1705,'inumos depara'!$A:$B,2,0)</f>
        <v>16298712</v>
      </c>
      <c r="F1705" s="1" t="str">
        <f t="shared" si="52"/>
        <v>0.0280435139124255</v>
      </c>
      <c r="G1705" t="str">
        <f t="shared" si="53"/>
        <v>16598648,16298712,0.0280435139124255</v>
      </c>
    </row>
    <row r="1706" spans="1:7" x14ac:dyDescent="0.25">
      <c r="A1706" s="1" t="s">
        <v>931</v>
      </c>
      <c r="B1706" s="1" t="s">
        <v>1303</v>
      </c>
      <c r="C1706" s="1" t="s">
        <v>935</v>
      </c>
      <c r="D1706">
        <f>IFERROR(VLOOKUP(A1706,depara!A:B,2,0),A1706)</f>
        <v>16598648</v>
      </c>
      <c r="E1706">
        <f>VLOOKUP(B1706,'inumos depara'!$A:$B,2,0)</f>
        <v>16298704</v>
      </c>
      <c r="F1706" s="1" t="str">
        <f t="shared" si="52"/>
        <v>0.0736380036079375</v>
      </c>
      <c r="G1706" t="str">
        <f t="shared" si="53"/>
        <v>16598648,16298704,0.0736380036079375</v>
      </c>
    </row>
    <row r="1707" spans="1:7" x14ac:dyDescent="0.25">
      <c r="A1707" s="1" t="s">
        <v>931</v>
      </c>
      <c r="B1707" s="1" t="s">
        <v>1373</v>
      </c>
      <c r="C1707" s="1" t="s">
        <v>936</v>
      </c>
      <c r="D1707">
        <f>IFERROR(VLOOKUP(A1707,depara!A:B,2,0),A1707)</f>
        <v>16598648</v>
      </c>
      <c r="E1707">
        <f>VLOOKUP(B1707,'inumos depara'!$A:$B,2,0)</f>
        <v>16298758</v>
      </c>
      <c r="F1707" s="1" t="str">
        <f t="shared" si="52"/>
        <v>0.00127917782758432</v>
      </c>
      <c r="G1707" t="str">
        <f t="shared" si="53"/>
        <v>16598648,16298758,0.00127917782758432</v>
      </c>
    </row>
    <row r="1708" spans="1:7" x14ac:dyDescent="0.25">
      <c r="A1708" s="1" t="s">
        <v>931</v>
      </c>
      <c r="B1708" s="1" t="s">
        <v>1304</v>
      </c>
      <c r="C1708" s="1" t="s">
        <v>937</v>
      </c>
      <c r="D1708">
        <f>IFERROR(VLOOKUP(A1708,depara!A:B,2,0),A1708)</f>
        <v>16598648</v>
      </c>
      <c r="E1708">
        <f>VLOOKUP(B1708,'inumos depara'!$A:$B,2,0)</f>
        <v>16298705</v>
      </c>
      <c r="F1708" s="1" t="str">
        <f t="shared" si="52"/>
        <v>0.00511671131033729</v>
      </c>
      <c r="G1708" t="str">
        <f t="shared" si="53"/>
        <v>16598648,16298705,0.00511671131033729</v>
      </c>
    </row>
    <row r="1709" spans="1:7" x14ac:dyDescent="0.25">
      <c r="A1709" s="1" t="s">
        <v>931</v>
      </c>
      <c r="B1709" s="1" t="s">
        <v>1186</v>
      </c>
      <c r="C1709" s="1" t="s">
        <v>938</v>
      </c>
      <c r="D1709">
        <f>IFERROR(VLOOKUP(A1709,depara!A:B,2,0),A1709)</f>
        <v>16598648</v>
      </c>
      <c r="E1709">
        <f>VLOOKUP(B1709,'inumos depara'!$A:$B,2,0)</f>
        <v>16298592</v>
      </c>
      <c r="F1709" s="1" t="str">
        <f t="shared" si="52"/>
        <v>0.00166293117585962</v>
      </c>
      <c r="G1709" t="str">
        <f t="shared" si="53"/>
        <v>16598648,16298592,0.00166293117585962</v>
      </c>
    </row>
    <row r="1710" spans="1:7" x14ac:dyDescent="0.25">
      <c r="A1710" s="1" t="s">
        <v>931</v>
      </c>
      <c r="B1710" s="1" t="s">
        <v>1187</v>
      </c>
      <c r="C1710" s="1" t="s">
        <v>939</v>
      </c>
      <c r="D1710">
        <f>IFERROR(VLOOKUP(A1710,depara!A:B,2,0),A1710)</f>
        <v>16598648</v>
      </c>
      <c r="E1710">
        <f>VLOOKUP(B1710,'inumos depara'!$A:$B,2,0)</f>
        <v>16298593</v>
      </c>
      <c r="F1710" s="1" t="str">
        <f t="shared" si="52"/>
        <v>0.000852785218389548</v>
      </c>
      <c r="G1710" t="str">
        <f t="shared" si="53"/>
        <v>16598648,16298593,0.000852785218389548</v>
      </c>
    </row>
    <row r="1711" spans="1:7" x14ac:dyDescent="0.25">
      <c r="A1711" s="1" t="s">
        <v>931</v>
      </c>
      <c r="B1711" s="1" t="s">
        <v>1190</v>
      </c>
      <c r="C1711" s="1" t="s">
        <v>939</v>
      </c>
      <c r="D1711">
        <f>IFERROR(VLOOKUP(A1711,depara!A:B,2,0),A1711)</f>
        <v>16598648</v>
      </c>
      <c r="E1711">
        <f>VLOOKUP(B1711,'inumos depara'!$A:$B,2,0)</f>
        <v>16298596</v>
      </c>
      <c r="F1711" s="1" t="str">
        <f t="shared" si="52"/>
        <v>0.000852785218389548</v>
      </c>
      <c r="G1711" t="str">
        <f t="shared" si="53"/>
        <v>16598648,16298596,0.000852785218389548</v>
      </c>
    </row>
    <row r="1712" spans="1:7" x14ac:dyDescent="0.25">
      <c r="A1712" s="1" t="s">
        <v>931</v>
      </c>
      <c r="B1712" s="1" t="s">
        <v>1305</v>
      </c>
      <c r="C1712" s="1" t="s">
        <v>940</v>
      </c>
      <c r="D1712">
        <f>IFERROR(VLOOKUP(A1712,depara!A:B,2,0),A1712)</f>
        <v>16598648</v>
      </c>
      <c r="E1712">
        <f>VLOOKUP(B1712,'inumos depara'!$A:$B,2,0)</f>
        <v>16298706</v>
      </c>
      <c r="F1712" s="1" t="str">
        <f t="shared" si="52"/>
        <v>0.0017055704367791</v>
      </c>
      <c r="G1712" t="str">
        <f t="shared" si="53"/>
        <v>16598648,16298706,0.0017055704367791</v>
      </c>
    </row>
    <row r="1713" spans="1:7" x14ac:dyDescent="0.25">
      <c r="A1713" s="1" t="s">
        <v>931</v>
      </c>
      <c r="B1713" s="1" t="s">
        <v>1193</v>
      </c>
      <c r="C1713" s="1" t="s">
        <v>941</v>
      </c>
      <c r="D1713">
        <f>IFERROR(VLOOKUP(A1713,depara!A:B,2,0),A1713)</f>
        <v>16598648</v>
      </c>
      <c r="E1713">
        <f>VLOOKUP(B1713,'inumos depara'!$A:$B,2,0)</f>
        <v>16298599</v>
      </c>
      <c r="F1713" s="1" t="str">
        <f t="shared" si="52"/>
        <v>0.00017055704367791</v>
      </c>
      <c r="G1713" t="str">
        <f t="shared" si="53"/>
        <v>16598648,16298599,0.00017055704367791</v>
      </c>
    </row>
    <row r="1714" spans="1:7" x14ac:dyDescent="0.25">
      <c r="A1714" s="1" t="s">
        <v>942</v>
      </c>
      <c r="B1714" s="1" t="s">
        <v>272</v>
      </c>
      <c r="C1714" s="1" t="s">
        <v>943</v>
      </c>
      <c r="D1714">
        <f>IFERROR(VLOOKUP(A1714,depara!A:B,2,0),A1714)</f>
        <v>16598649</v>
      </c>
      <c r="E1714">
        <f>VLOOKUP(B1714,'inumos depara'!$A:$B,2,0)</f>
        <v>16298827</v>
      </c>
      <c r="F1714" s="1" t="str">
        <f t="shared" si="52"/>
        <v>0.00595876158648086</v>
      </c>
      <c r="G1714" t="str">
        <f t="shared" si="53"/>
        <v>16598649,16298827,0.00595876158648086</v>
      </c>
    </row>
    <row r="1715" spans="1:7" x14ac:dyDescent="0.25">
      <c r="A1715" s="1" t="s">
        <v>942</v>
      </c>
      <c r="B1715" s="1" t="s">
        <v>944</v>
      </c>
      <c r="C1715" s="1" t="s">
        <v>945</v>
      </c>
      <c r="D1715">
        <f>IFERROR(VLOOKUP(A1715,depara!A:B,2,0),A1715)</f>
        <v>16598649</v>
      </c>
      <c r="E1715">
        <f>VLOOKUP(B1715,'inumos depara'!$A:$B,2,0)</f>
        <v>16299121</v>
      </c>
      <c r="F1715" s="1" t="str">
        <f t="shared" si="52"/>
        <v>0.00135856324771137</v>
      </c>
      <c r="G1715" t="str">
        <f t="shared" si="53"/>
        <v>16598649,16299121,0.00135856324771137</v>
      </c>
    </row>
    <row r="1716" spans="1:7" x14ac:dyDescent="0.25">
      <c r="A1716" s="1" t="s">
        <v>942</v>
      </c>
      <c r="B1716" s="1" t="s">
        <v>1443</v>
      </c>
      <c r="C1716" s="1" t="s">
        <v>946</v>
      </c>
      <c r="D1716">
        <f>IFERROR(VLOOKUP(A1716,depara!A:B,2,0),A1716)</f>
        <v>16598649</v>
      </c>
      <c r="E1716">
        <f>VLOOKUP(B1716,'inumos depara'!$A:$B,2,0)</f>
        <v>16298809</v>
      </c>
      <c r="F1716" s="1" t="str">
        <f t="shared" si="52"/>
        <v>0.00999719115615452</v>
      </c>
      <c r="G1716" t="str">
        <f t="shared" si="53"/>
        <v>16598649,16298809,0.00999719115615452</v>
      </c>
    </row>
    <row r="1717" spans="1:7" x14ac:dyDescent="0.25">
      <c r="A1717" s="1" t="s">
        <v>947</v>
      </c>
      <c r="B1717" s="1" t="s">
        <v>773</v>
      </c>
      <c r="C1717" s="1" t="s">
        <v>1656</v>
      </c>
      <c r="D1717">
        <f>IFERROR(VLOOKUP(A1717,depara!A:B,2,0),A1717)</f>
        <v>16598650</v>
      </c>
      <c r="E1717">
        <f>VLOOKUP(B1717,'inumos depara'!$A:$B,2,0)</f>
        <v>16299079</v>
      </c>
      <c r="F1717" s="1" t="str">
        <f t="shared" si="52"/>
        <v>1.01985370950888</v>
      </c>
      <c r="G1717" t="str">
        <f t="shared" si="53"/>
        <v>16598650,16299079,1.01985370950888</v>
      </c>
    </row>
    <row r="1718" spans="1:7" x14ac:dyDescent="0.25">
      <c r="A1718" s="1" t="s">
        <v>947</v>
      </c>
      <c r="B1718" s="1" t="s">
        <v>1288</v>
      </c>
      <c r="C1718" s="1" t="s">
        <v>948</v>
      </c>
      <c r="D1718">
        <f>IFERROR(VLOOKUP(A1718,depara!A:B,2,0),A1718)</f>
        <v>16598650</v>
      </c>
      <c r="E1718">
        <f>VLOOKUP(B1718,'inumos depara'!$A:$B,2,0)</f>
        <v>16298692</v>
      </c>
      <c r="F1718" s="1" t="str">
        <f t="shared" si="52"/>
        <v>0.0625466487535453</v>
      </c>
      <c r="G1718" t="str">
        <f t="shared" si="53"/>
        <v>16598650,16298692,0.0625466487535453</v>
      </c>
    </row>
    <row r="1719" spans="1:7" x14ac:dyDescent="0.25">
      <c r="A1719" s="1" t="s">
        <v>947</v>
      </c>
      <c r="B1719" s="1" t="s">
        <v>1367</v>
      </c>
      <c r="C1719" s="1" t="s">
        <v>1657</v>
      </c>
      <c r="D1719">
        <f>IFERROR(VLOOKUP(A1719,depara!A:B,2,0),A1719)</f>
        <v>16598650</v>
      </c>
      <c r="E1719">
        <f>VLOOKUP(B1719,'inumos depara'!$A:$B,2,0)</f>
        <v>16298755</v>
      </c>
      <c r="F1719" s="1" t="str">
        <f t="shared" si="52"/>
        <v>1.00492610837438</v>
      </c>
      <c r="G1719" t="str">
        <f t="shared" si="53"/>
        <v>16598650,16298755,1.00492610837438</v>
      </c>
    </row>
    <row r="1720" spans="1:7" x14ac:dyDescent="0.25">
      <c r="A1720" s="1" t="s">
        <v>947</v>
      </c>
      <c r="B1720" s="1" t="s">
        <v>98</v>
      </c>
      <c r="C1720" s="1" t="s">
        <v>1657</v>
      </c>
      <c r="D1720">
        <f>IFERROR(VLOOKUP(A1720,depara!A:B,2,0),A1720)</f>
        <v>16598650</v>
      </c>
      <c r="E1720">
        <f>VLOOKUP(B1720,'inumos depara'!$A:$B,2,0)</f>
        <v>16298690</v>
      </c>
      <c r="F1720" s="1" t="str">
        <f t="shared" si="52"/>
        <v>1.00492610837438</v>
      </c>
      <c r="G1720" t="str">
        <f t="shared" si="53"/>
        <v>16598650,16298690,1.00492610837438</v>
      </c>
    </row>
    <row r="1721" spans="1:7" x14ac:dyDescent="0.25">
      <c r="A1721" s="1" t="s">
        <v>947</v>
      </c>
      <c r="B1721" s="1" t="s">
        <v>272</v>
      </c>
      <c r="C1721" s="1" t="s">
        <v>949</v>
      </c>
      <c r="D1721">
        <f>IFERROR(VLOOKUP(A1721,depara!A:B,2,0),A1721)</f>
        <v>16598650</v>
      </c>
      <c r="E1721">
        <f>VLOOKUP(B1721,'inumos depara'!$A:$B,2,0)</f>
        <v>16298827</v>
      </c>
      <c r="F1721" s="1" t="str">
        <f t="shared" si="52"/>
        <v>0.155172413793103</v>
      </c>
      <c r="G1721" t="str">
        <f t="shared" si="53"/>
        <v>16598650,16298827,0.155172413793103</v>
      </c>
    </row>
    <row r="1722" spans="1:7" x14ac:dyDescent="0.25">
      <c r="A1722" s="1" t="s">
        <v>947</v>
      </c>
      <c r="B1722" s="1" t="s">
        <v>950</v>
      </c>
      <c r="C1722" s="1" t="s">
        <v>1658</v>
      </c>
      <c r="D1722">
        <f>IFERROR(VLOOKUP(A1722,depara!A:B,2,0),A1722)</f>
        <v>16598650</v>
      </c>
      <c r="E1722">
        <f>VLOOKUP(B1722,'inumos depara'!$A:$B,2,0)</f>
        <v>16299122</v>
      </c>
      <c r="F1722" s="1" t="str">
        <f t="shared" si="52"/>
        <v>1.029855202269</v>
      </c>
      <c r="G1722" t="str">
        <f t="shared" si="53"/>
        <v>16598650,16299122,1.029855202269</v>
      </c>
    </row>
    <row r="1723" spans="1:7" x14ac:dyDescent="0.25">
      <c r="A1723" s="1" t="s">
        <v>947</v>
      </c>
      <c r="B1723" s="1" t="s">
        <v>951</v>
      </c>
      <c r="C1723" s="1" t="s">
        <v>1659</v>
      </c>
      <c r="D1723">
        <f>IFERROR(VLOOKUP(A1723,depara!A:B,2,0),A1723)</f>
        <v>16598650</v>
      </c>
      <c r="E1723">
        <f>VLOOKUP(B1723,'inumos depara'!$A:$B,2,0)</f>
        <v>16299123</v>
      </c>
      <c r="F1723" s="1" t="str">
        <f t="shared" si="52"/>
        <v>1.03493058665472</v>
      </c>
      <c r="G1723" t="str">
        <f t="shared" si="53"/>
        <v>16598650,16299123,1.03493058665472</v>
      </c>
    </row>
    <row r="1724" spans="1:7" x14ac:dyDescent="0.25">
      <c r="A1724" s="1" t="s">
        <v>952</v>
      </c>
      <c r="B1724" s="1" t="s">
        <v>953</v>
      </c>
      <c r="C1724" s="1" t="s">
        <v>954</v>
      </c>
      <c r="D1724">
        <f>IFERROR(VLOOKUP(A1724,depara!A:B,2,0),A1724)</f>
        <v>16598651</v>
      </c>
      <c r="E1724">
        <f>VLOOKUP(B1724,'inumos depara'!$A:$B,2,0)</f>
        <v>16299124</v>
      </c>
      <c r="F1724" s="1" t="str">
        <f t="shared" si="52"/>
        <v>0.00927363237340756</v>
      </c>
      <c r="G1724" t="str">
        <f t="shared" si="53"/>
        <v>16598651,16299124,0.00927363237340756</v>
      </c>
    </row>
    <row r="1725" spans="1:7" x14ac:dyDescent="0.25">
      <c r="A1725" s="1" t="s">
        <v>952</v>
      </c>
      <c r="B1725" s="1" t="s">
        <v>955</v>
      </c>
      <c r="C1725" s="1" t="s">
        <v>956</v>
      </c>
      <c r="D1725">
        <f>IFERROR(VLOOKUP(A1725,depara!A:B,2,0),A1725)</f>
        <v>16598651</v>
      </c>
      <c r="E1725">
        <f>VLOOKUP(B1725,'inumos depara'!$A:$B,2,0)</f>
        <v>16299125</v>
      </c>
      <c r="F1725" s="1" t="str">
        <f t="shared" si="52"/>
        <v>0.00166827249045427</v>
      </c>
      <c r="G1725" t="str">
        <f t="shared" si="53"/>
        <v>16598651,16299125,0.00166827249045427</v>
      </c>
    </row>
    <row r="1726" spans="1:7" x14ac:dyDescent="0.25">
      <c r="A1726" s="1" t="s">
        <v>952</v>
      </c>
      <c r="B1726" s="1" t="s">
        <v>1443</v>
      </c>
      <c r="C1726" s="1" t="s">
        <v>957</v>
      </c>
      <c r="D1726">
        <f>IFERROR(VLOOKUP(A1726,depara!A:B,2,0),A1726)</f>
        <v>16598651</v>
      </c>
      <c r="E1726">
        <f>VLOOKUP(B1726,'inumos depara'!$A:$B,2,0)</f>
        <v>16298809</v>
      </c>
      <c r="F1726" s="1" t="str">
        <f t="shared" si="52"/>
        <v>0.0100007136994612</v>
      </c>
      <c r="G1726" t="str">
        <f t="shared" si="53"/>
        <v>16598651,16298809,0.0100007136994612</v>
      </c>
    </row>
    <row r="1727" spans="1:7" x14ac:dyDescent="0.25">
      <c r="A1727" s="1" t="s">
        <v>958</v>
      </c>
      <c r="B1727" s="1" t="s">
        <v>953</v>
      </c>
      <c r="C1727" s="1" t="s">
        <v>959</v>
      </c>
      <c r="D1727">
        <f>IFERROR(VLOOKUP(A1727,depara!A:B,2,0),A1727)</f>
        <v>16598652</v>
      </c>
      <c r="E1727">
        <f>VLOOKUP(B1727,'inumos depara'!$A:$B,2,0)</f>
        <v>16299124</v>
      </c>
      <c r="F1727" s="1" t="str">
        <f t="shared" si="52"/>
        <v>0.158171028606208</v>
      </c>
      <c r="G1727" t="str">
        <f t="shared" si="53"/>
        <v>16598652,16299124,0.158171028606208</v>
      </c>
    </row>
    <row r="1728" spans="1:7" x14ac:dyDescent="0.25">
      <c r="A1728" s="1" t="s">
        <v>958</v>
      </c>
      <c r="B1728" s="1" t="s">
        <v>1362</v>
      </c>
      <c r="C1728" s="1" t="s">
        <v>1660</v>
      </c>
      <c r="D1728">
        <f>IFERROR(VLOOKUP(A1728,depara!A:B,2,0),A1728)</f>
        <v>16598652</v>
      </c>
      <c r="E1728">
        <f>VLOOKUP(B1728,'inumos depara'!$A:$B,2,0)</f>
        <v>16298750</v>
      </c>
      <c r="F1728" s="1" t="str">
        <f t="shared" si="52"/>
        <v>1.00502130249544</v>
      </c>
      <c r="G1728" t="str">
        <f t="shared" si="53"/>
        <v>16598652,16298750,1.00502130249544</v>
      </c>
    </row>
    <row r="1729" spans="1:7" x14ac:dyDescent="0.25">
      <c r="A1729" s="1" t="s">
        <v>958</v>
      </c>
      <c r="B1729" s="1" t="s">
        <v>960</v>
      </c>
      <c r="C1729" s="1" t="s">
        <v>1660</v>
      </c>
      <c r="D1729">
        <f>IFERROR(VLOOKUP(A1729,depara!A:B,2,0),A1729)</f>
        <v>16598652</v>
      </c>
      <c r="E1729">
        <f>VLOOKUP(B1729,'inumos depara'!$A:$B,2,0)</f>
        <v>16299126</v>
      </c>
      <c r="F1729" s="1" t="str">
        <f t="shared" si="52"/>
        <v>1.00502130249544</v>
      </c>
      <c r="G1729" t="str">
        <f t="shared" si="53"/>
        <v>16598652,16299126,1.00502130249544</v>
      </c>
    </row>
    <row r="1730" spans="1:7" x14ac:dyDescent="0.25">
      <c r="A1730" s="1" t="s">
        <v>958</v>
      </c>
      <c r="B1730" s="1" t="s">
        <v>961</v>
      </c>
      <c r="C1730" s="1" t="s">
        <v>1661</v>
      </c>
      <c r="D1730">
        <f>IFERROR(VLOOKUP(A1730,depara!A:B,2,0),A1730)</f>
        <v>16598652</v>
      </c>
      <c r="E1730">
        <f>VLOOKUP(B1730,'inumos depara'!$A:$B,2,0)</f>
        <v>16299127</v>
      </c>
      <c r="F1730" s="1" t="str">
        <f t="shared" ref="F1730:F1793" si="54">C1730</f>
        <v>1.03499695678637</v>
      </c>
      <c r="G1730" t="str">
        <f t="shared" ref="G1730:G1793" si="55">D1730&amp;","&amp;E1730&amp;","&amp;F1730</f>
        <v>16598652,16299127,1.03499695678637</v>
      </c>
    </row>
    <row r="1731" spans="1:7" x14ac:dyDescent="0.25">
      <c r="A1731" s="1" t="s">
        <v>958</v>
      </c>
      <c r="B1731" s="1" t="s">
        <v>962</v>
      </c>
      <c r="C1731" s="1" t="s">
        <v>1662</v>
      </c>
      <c r="D1731">
        <f>IFERROR(VLOOKUP(A1731,depara!A:B,2,0),A1731)</f>
        <v>16598652</v>
      </c>
      <c r="E1731">
        <f>VLOOKUP(B1731,'inumos depara'!$A:$B,2,0)</f>
        <v>16299128</v>
      </c>
      <c r="F1731" s="1" t="str">
        <f t="shared" si="54"/>
        <v>1.03002637451816</v>
      </c>
      <c r="G1731" t="str">
        <f t="shared" si="55"/>
        <v>16598652,16299128,1.03002637451816</v>
      </c>
    </row>
    <row r="1732" spans="1:7" x14ac:dyDescent="0.25">
      <c r="A1732" s="1" t="s">
        <v>958</v>
      </c>
      <c r="B1732" s="1" t="s">
        <v>1287</v>
      </c>
      <c r="C1732" s="1" t="s">
        <v>1663</v>
      </c>
      <c r="D1732">
        <f>IFERROR(VLOOKUP(A1732,depara!A:B,2,0),A1732)</f>
        <v>16598652</v>
      </c>
      <c r="E1732">
        <f>VLOOKUP(B1732,'inumos depara'!$A:$B,2,0)</f>
        <v>16298691</v>
      </c>
      <c r="F1732" s="1" t="str">
        <f t="shared" si="54"/>
        <v>1.02003448975451</v>
      </c>
      <c r="G1732" t="str">
        <f t="shared" si="55"/>
        <v>16598652,16298691,1.02003448975451</v>
      </c>
    </row>
    <row r="1733" spans="1:7" x14ac:dyDescent="0.25">
      <c r="A1733" s="1" t="s">
        <v>958</v>
      </c>
      <c r="B1733" s="1" t="s">
        <v>1345</v>
      </c>
      <c r="C1733" s="1" t="s">
        <v>963</v>
      </c>
      <c r="D1733">
        <f>IFERROR(VLOOKUP(A1733,depara!A:B,2,0),A1733)</f>
        <v>16598652</v>
      </c>
      <c r="E1733">
        <f>VLOOKUP(B1733,'inumos depara'!$A:$B,2,0)</f>
        <v>16298736</v>
      </c>
      <c r="F1733" s="1" t="str">
        <f t="shared" si="54"/>
        <v>0.0624873199431933</v>
      </c>
      <c r="G1733" t="str">
        <f t="shared" si="55"/>
        <v>16598652,16298736,0.0624873199431933</v>
      </c>
    </row>
    <row r="1734" spans="1:7" x14ac:dyDescent="0.25">
      <c r="A1734" s="1" t="s">
        <v>964</v>
      </c>
      <c r="B1734" s="1" t="s">
        <v>166</v>
      </c>
      <c r="C1734" s="1" t="s">
        <v>965</v>
      </c>
      <c r="D1734">
        <f>IFERROR(VLOOKUP(A1734,depara!A:B,2,0),A1734)</f>
        <v>16598653</v>
      </c>
      <c r="E1734">
        <f>VLOOKUP(B1734,'inumos depara'!$A:$B,2,0)</f>
        <v>16298754</v>
      </c>
      <c r="F1734" s="1" t="str">
        <f t="shared" si="54"/>
        <v>0.009181240063593</v>
      </c>
      <c r="G1734" t="str">
        <f t="shared" si="55"/>
        <v>16598653,16298754,0.009181240063593</v>
      </c>
    </row>
    <row r="1735" spans="1:7" x14ac:dyDescent="0.25">
      <c r="A1735" s="1" t="s">
        <v>964</v>
      </c>
      <c r="B1735" s="1" t="s">
        <v>966</v>
      </c>
      <c r="C1735" s="1" t="s">
        <v>967</v>
      </c>
      <c r="D1735">
        <f>IFERROR(VLOOKUP(A1735,depara!A:B,2,0),A1735)</f>
        <v>16598653</v>
      </c>
      <c r="E1735">
        <f>VLOOKUP(B1735,'inumos depara'!$A:$B,2,0)</f>
        <v>16299129</v>
      </c>
      <c r="F1735" s="1" t="str">
        <f t="shared" si="54"/>
        <v>0.00166931637519873</v>
      </c>
      <c r="G1735" t="str">
        <f t="shared" si="55"/>
        <v>16598653,16299129,0.00166931637519873</v>
      </c>
    </row>
    <row r="1736" spans="1:7" x14ac:dyDescent="0.25">
      <c r="A1736" s="1" t="s">
        <v>964</v>
      </c>
      <c r="B1736" s="1" t="s">
        <v>1443</v>
      </c>
      <c r="C1736" s="1" t="s">
        <v>968</v>
      </c>
      <c r="D1736">
        <f>IFERROR(VLOOKUP(A1736,depara!A:B,2,0),A1736)</f>
        <v>16598653</v>
      </c>
      <c r="E1736">
        <f>VLOOKUP(B1736,'inumos depara'!$A:$B,2,0)</f>
        <v>16298809</v>
      </c>
      <c r="F1736" s="1" t="str">
        <f t="shared" si="54"/>
        <v>0.00999823352764529</v>
      </c>
      <c r="G1736" t="str">
        <f t="shared" si="55"/>
        <v>16598653,16298809,0.00999823352764529</v>
      </c>
    </row>
    <row r="1737" spans="1:7" x14ac:dyDescent="0.25">
      <c r="A1737" s="1" t="s">
        <v>969</v>
      </c>
      <c r="B1737" s="1" t="s">
        <v>166</v>
      </c>
      <c r="C1737" s="1" t="s">
        <v>970</v>
      </c>
      <c r="D1737">
        <f>IFERROR(VLOOKUP(A1737,depara!A:B,2,0),A1737)</f>
        <v>16598654</v>
      </c>
      <c r="E1737">
        <f>VLOOKUP(B1737,'inumos depara'!$A:$B,2,0)</f>
        <v>16298754</v>
      </c>
      <c r="F1737" s="1" t="str">
        <f t="shared" si="54"/>
        <v>0.156527631380816</v>
      </c>
      <c r="G1737" t="str">
        <f t="shared" si="55"/>
        <v>16598654,16298754,0.156527631380816</v>
      </c>
    </row>
    <row r="1738" spans="1:7" x14ac:dyDescent="0.25">
      <c r="A1738" s="1" t="s">
        <v>969</v>
      </c>
      <c r="B1738" s="1" t="s">
        <v>1367</v>
      </c>
      <c r="C1738" s="1" t="s">
        <v>1664</v>
      </c>
      <c r="D1738">
        <f>IFERROR(VLOOKUP(A1738,depara!A:B,2,0),A1738)</f>
        <v>16598654</v>
      </c>
      <c r="E1738">
        <f>VLOOKUP(B1738,'inumos depara'!$A:$B,2,0)</f>
        <v>16298755</v>
      </c>
      <c r="F1738" s="1" t="str">
        <f t="shared" si="54"/>
        <v>1.00496913115495</v>
      </c>
      <c r="G1738" t="str">
        <f t="shared" si="55"/>
        <v>16598654,16298755,1.00496913115495</v>
      </c>
    </row>
    <row r="1739" spans="1:7" x14ac:dyDescent="0.25">
      <c r="A1739" s="1" t="s">
        <v>969</v>
      </c>
      <c r="B1739" s="1" t="s">
        <v>960</v>
      </c>
      <c r="C1739" s="1" t="s">
        <v>1665</v>
      </c>
      <c r="D1739">
        <f>IFERROR(VLOOKUP(A1739,depara!A:B,2,0),A1739)</f>
        <v>16598654</v>
      </c>
      <c r="E1739">
        <f>VLOOKUP(B1739,'inumos depara'!$A:$B,2,0)</f>
        <v>16299126</v>
      </c>
      <c r="F1739" s="1" t="str">
        <f t="shared" si="54"/>
        <v>1.03493449781659</v>
      </c>
      <c r="G1739" t="str">
        <f t="shared" si="55"/>
        <v>16598654,16299126,1.03493449781659</v>
      </c>
    </row>
    <row r="1740" spans="1:7" x14ac:dyDescent="0.25">
      <c r="A1740" s="1" t="s">
        <v>969</v>
      </c>
      <c r="B1740" s="1" t="s">
        <v>1287</v>
      </c>
      <c r="C1740" s="1" t="s">
        <v>1666</v>
      </c>
      <c r="D1740">
        <f>IFERROR(VLOOKUP(A1740,depara!A:B,2,0),A1740)</f>
        <v>16598654</v>
      </c>
      <c r="E1740">
        <f>VLOOKUP(B1740,'inumos depara'!$A:$B,2,0)</f>
        <v>16298691</v>
      </c>
      <c r="F1740" s="1" t="str">
        <f t="shared" si="54"/>
        <v>1.02002710435175</v>
      </c>
      <c r="G1740" t="str">
        <f t="shared" si="55"/>
        <v>16598654,16298691,1.02002710435175</v>
      </c>
    </row>
    <row r="1741" spans="1:7" x14ac:dyDescent="0.25">
      <c r="A1741" s="1" t="s">
        <v>969</v>
      </c>
      <c r="B1741" s="1" t="s">
        <v>971</v>
      </c>
      <c r="C1741" s="1" t="s">
        <v>1665</v>
      </c>
      <c r="D1741">
        <f>IFERROR(VLOOKUP(A1741,depara!A:B,2,0),A1741)</f>
        <v>16598654</v>
      </c>
      <c r="E1741">
        <f>VLOOKUP(B1741,'inumos depara'!$A:$B,2,0)</f>
        <v>16299130</v>
      </c>
      <c r="F1741" s="1" t="str">
        <f t="shared" si="54"/>
        <v>1.03493449781659</v>
      </c>
      <c r="G1741" t="str">
        <f t="shared" si="55"/>
        <v>16598654,16299130,1.03493449781659</v>
      </c>
    </row>
    <row r="1742" spans="1:7" x14ac:dyDescent="0.25">
      <c r="A1742" s="1" t="s">
        <v>969</v>
      </c>
      <c r="B1742" s="1" t="s">
        <v>972</v>
      </c>
      <c r="C1742" s="1" t="s">
        <v>1667</v>
      </c>
      <c r="D1742">
        <f>IFERROR(VLOOKUP(A1742,depara!A:B,2,0),A1742)</f>
        <v>16598654</v>
      </c>
      <c r="E1742">
        <f>VLOOKUP(B1742,'inumos depara'!$A:$B,2,0)</f>
        <v>16299131</v>
      </c>
      <c r="F1742" s="1" t="str">
        <f t="shared" si="54"/>
        <v>1.02996536666165</v>
      </c>
      <c r="G1742" t="str">
        <f t="shared" si="55"/>
        <v>16598654,16299131,1.02996536666165</v>
      </c>
    </row>
    <row r="1743" spans="1:7" x14ac:dyDescent="0.25">
      <c r="A1743" s="1" t="s">
        <v>969</v>
      </c>
      <c r="B1743" s="1" t="s">
        <v>1345</v>
      </c>
      <c r="C1743" s="1" t="s">
        <v>973</v>
      </c>
      <c r="D1743">
        <f>IFERROR(VLOOKUP(A1743,depara!A:B,2,0),A1743)</f>
        <v>16598654</v>
      </c>
      <c r="E1743">
        <f>VLOOKUP(B1743,'inumos depara'!$A:$B,2,0)</f>
        <v>16298736</v>
      </c>
      <c r="F1743" s="1" t="str">
        <f t="shared" si="54"/>
        <v>0.062490588766752</v>
      </c>
      <c r="G1743" t="str">
        <f t="shared" si="55"/>
        <v>16598654,16298736,0.062490588766752</v>
      </c>
    </row>
    <row r="1744" spans="1:7" x14ac:dyDescent="0.25">
      <c r="A1744" s="1" t="s">
        <v>974</v>
      </c>
      <c r="B1744" s="1" t="s">
        <v>107</v>
      </c>
      <c r="C1744" s="1" t="s">
        <v>975</v>
      </c>
      <c r="D1744">
        <f>IFERROR(VLOOKUP(A1744,depara!A:B,2,0),A1744)</f>
        <v>16598655</v>
      </c>
      <c r="E1744">
        <f>VLOOKUP(B1744,'inumos depara'!$A:$B,2,0)</f>
        <v>16298700</v>
      </c>
      <c r="F1744" s="1" t="str">
        <f t="shared" si="54"/>
        <v>0.00381149806522941</v>
      </c>
      <c r="G1744" t="str">
        <f t="shared" si="55"/>
        <v>16598655,16298700,0.00381149806522941</v>
      </c>
    </row>
    <row r="1745" spans="1:7" x14ac:dyDescent="0.25">
      <c r="A1745" s="1" t="s">
        <v>974</v>
      </c>
      <c r="B1745" s="1" t="s">
        <v>976</v>
      </c>
      <c r="C1745" s="1" t="s">
        <v>977</v>
      </c>
      <c r="D1745">
        <f>IFERROR(VLOOKUP(A1745,depara!A:B,2,0),A1745)</f>
        <v>16598655</v>
      </c>
      <c r="E1745">
        <f>VLOOKUP(B1745,'inumos depara'!$A:$B,2,0)</f>
        <v>16299132</v>
      </c>
      <c r="F1745" s="1" t="str">
        <f t="shared" si="54"/>
        <v>0.00135986733001658</v>
      </c>
      <c r="G1745" t="str">
        <f t="shared" si="55"/>
        <v>16598655,16299132,0.00135986733001658</v>
      </c>
    </row>
    <row r="1746" spans="1:7" x14ac:dyDescent="0.25">
      <c r="A1746" s="1" t="s">
        <v>974</v>
      </c>
      <c r="B1746" s="1" t="s">
        <v>1443</v>
      </c>
      <c r="C1746" s="1" t="s">
        <v>978</v>
      </c>
      <c r="D1746">
        <f>IFERROR(VLOOKUP(A1746,depara!A:B,2,0),A1746)</f>
        <v>16598655</v>
      </c>
      <c r="E1746">
        <f>VLOOKUP(B1746,'inumos depara'!$A:$B,2,0)</f>
        <v>16298809</v>
      </c>
      <c r="F1746" s="1" t="str">
        <f t="shared" si="54"/>
        <v>0.00999815736134144</v>
      </c>
      <c r="G1746" t="str">
        <f t="shared" si="55"/>
        <v>16598655,16298809,0.00999815736134144</v>
      </c>
    </row>
    <row r="1747" spans="1:7" x14ac:dyDescent="0.25">
      <c r="A1747" s="1" t="s">
        <v>979</v>
      </c>
      <c r="B1747" s="1" t="s">
        <v>107</v>
      </c>
      <c r="C1747" s="1" t="s">
        <v>980</v>
      </c>
      <c r="D1747">
        <f>IFERROR(VLOOKUP(A1747,depara!A:B,2,0),A1747)</f>
        <v>16598656</v>
      </c>
      <c r="E1747">
        <f>VLOOKUP(B1747,'inumos depara'!$A:$B,2,0)</f>
        <v>16298700</v>
      </c>
      <c r="F1747" s="1" t="str">
        <f t="shared" si="54"/>
        <v>0.04137</v>
      </c>
      <c r="G1747" t="str">
        <f t="shared" si="55"/>
        <v>16598656,16298700,0.04137</v>
      </c>
    </row>
    <row r="1748" spans="1:7" x14ac:dyDescent="0.25">
      <c r="A1748" s="1" t="s">
        <v>979</v>
      </c>
      <c r="B1748" s="1" t="s">
        <v>981</v>
      </c>
      <c r="C1748" s="1" t="s">
        <v>1668</v>
      </c>
      <c r="D1748">
        <f>IFERROR(VLOOKUP(A1748,depara!A:B,2,0),A1748)</f>
        <v>16598656</v>
      </c>
      <c r="E1748">
        <f>VLOOKUP(B1748,'inumos depara'!$A:$B,2,0)</f>
        <v>16299133</v>
      </c>
      <c r="F1748" s="1" t="str">
        <f t="shared" si="54"/>
        <v>1.05002901166914</v>
      </c>
      <c r="G1748" t="str">
        <f t="shared" si="55"/>
        <v>16598656,16299133,1.05002901166914</v>
      </c>
    </row>
    <row r="1749" spans="1:7" x14ac:dyDescent="0.25">
      <c r="A1749" s="1" t="s">
        <v>979</v>
      </c>
      <c r="B1749" s="1" t="s">
        <v>982</v>
      </c>
      <c r="C1749" s="1" t="s">
        <v>1669</v>
      </c>
      <c r="D1749">
        <f>IFERROR(VLOOKUP(A1749,depara!A:B,2,0),A1749)</f>
        <v>16598656</v>
      </c>
      <c r="E1749">
        <f>VLOOKUP(B1749,'inumos depara'!$A:$B,2,0)</f>
        <v>16299134</v>
      </c>
      <c r="F1749" s="1" t="str">
        <f t="shared" si="54"/>
        <v>1.00502868931726</v>
      </c>
      <c r="G1749" t="str">
        <f t="shared" si="55"/>
        <v>16598656,16299134,1.00502868931726</v>
      </c>
    </row>
    <row r="1750" spans="1:7" x14ac:dyDescent="0.25">
      <c r="A1750" s="1" t="s">
        <v>979</v>
      </c>
      <c r="B1750" s="1" t="s">
        <v>1301</v>
      </c>
      <c r="C1750" s="1" t="s">
        <v>983</v>
      </c>
      <c r="D1750">
        <f>IFERROR(VLOOKUP(A1750,depara!A:B,2,0),A1750)</f>
        <v>16598656</v>
      </c>
      <c r="E1750">
        <f>VLOOKUP(B1750,'inumos depara'!$A:$B,2,0)</f>
        <v>16298703</v>
      </c>
      <c r="F1750" s="1" t="str">
        <f t="shared" si="54"/>
        <v>0.0624717942105602</v>
      </c>
      <c r="G1750" t="str">
        <f t="shared" si="55"/>
        <v>16598656,16298703,0.0624717942105602</v>
      </c>
    </row>
    <row r="1751" spans="1:7" x14ac:dyDescent="0.25">
      <c r="A1751" s="1" t="s">
        <v>984</v>
      </c>
      <c r="B1751" s="1" t="s">
        <v>107</v>
      </c>
      <c r="C1751" s="1" t="s">
        <v>985</v>
      </c>
      <c r="D1751">
        <f>IFERROR(VLOOKUP(A1751,depara!A:B,2,0),A1751)</f>
        <v>16598657</v>
      </c>
      <c r="E1751">
        <f>VLOOKUP(B1751,'inumos depara'!$A:$B,2,0)</f>
        <v>16298700</v>
      </c>
      <c r="F1751" s="1" t="str">
        <f t="shared" si="54"/>
        <v>0.12460843373494</v>
      </c>
      <c r="G1751" t="str">
        <f t="shared" si="55"/>
        <v>16598657,16298700,0.12460843373494</v>
      </c>
    </row>
    <row r="1752" spans="1:7" x14ac:dyDescent="0.25">
      <c r="A1752" s="1" t="s">
        <v>984</v>
      </c>
      <c r="B1752" s="1" t="s">
        <v>986</v>
      </c>
      <c r="C1752" s="1" t="s">
        <v>1670</v>
      </c>
      <c r="D1752">
        <f>IFERROR(VLOOKUP(A1752,depara!A:B,2,0),A1752)</f>
        <v>16598657</v>
      </c>
      <c r="E1752">
        <f>VLOOKUP(B1752,'inumos depara'!$A:$B,2,0)</f>
        <v>16299135</v>
      </c>
      <c r="F1752" s="1" t="str">
        <f t="shared" si="54"/>
        <v>1.05006418485237</v>
      </c>
      <c r="G1752" t="str">
        <f t="shared" si="55"/>
        <v>16598657,16299135,1.05006418485237</v>
      </c>
    </row>
    <row r="1753" spans="1:7" x14ac:dyDescent="0.25">
      <c r="A1753" s="1" t="s">
        <v>984</v>
      </c>
      <c r="B1753" s="1" t="s">
        <v>304</v>
      </c>
      <c r="C1753" s="1" t="s">
        <v>987</v>
      </c>
      <c r="D1753">
        <f>IFERROR(VLOOKUP(A1753,depara!A:B,2,0),A1753)</f>
        <v>16598657</v>
      </c>
      <c r="E1753">
        <f>VLOOKUP(B1753,'inumos depara'!$A:$B,2,0)</f>
        <v>16298849</v>
      </c>
      <c r="F1753" s="1" t="str">
        <f t="shared" si="54"/>
        <v>0.0625160462130937</v>
      </c>
      <c r="G1753" t="str">
        <f t="shared" si="55"/>
        <v>16598657,16298849,0.0625160462130937</v>
      </c>
    </row>
    <row r="1754" spans="1:7" x14ac:dyDescent="0.25">
      <c r="A1754" s="1" t="s">
        <v>988</v>
      </c>
      <c r="B1754" s="1" t="s">
        <v>989</v>
      </c>
      <c r="C1754" s="1" t="s">
        <v>990</v>
      </c>
      <c r="D1754">
        <f>IFERROR(VLOOKUP(A1754,depara!A:B,2,0),A1754)</f>
        <v>16598658</v>
      </c>
      <c r="E1754">
        <f>VLOOKUP(B1754,'inumos depara'!$A:$B,2,0)</f>
        <v>16299136</v>
      </c>
      <c r="F1754" s="1" t="str">
        <f t="shared" si="54"/>
        <v>0.00136109017357967</v>
      </c>
      <c r="G1754" t="str">
        <f t="shared" si="55"/>
        <v>16598658,16299136,0.00136109017357967</v>
      </c>
    </row>
    <row r="1755" spans="1:7" x14ac:dyDescent="0.25">
      <c r="A1755" s="1" t="s">
        <v>988</v>
      </c>
      <c r="B1755" s="1" t="s">
        <v>1443</v>
      </c>
      <c r="C1755" s="1" t="s">
        <v>991</v>
      </c>
      <c r="D1755">
        <f>IFERROR(VLOOKUP(A1755,depara!A:B,2,0),A1755)</f>
        <v>16598658</v>
      </c>
      <c r="E1755">
        <f>VLOOKUP(B1755,'inumos depara'!$A:$B,2,0)</f>
        <v>16298809</v>
      </c>
      <c r="F1755" s="1" t="str">
        <f t="shared" si="54"/>
        <v>0.00999940350629843</v>
      </c>
      <c r="G1755" t="str">
        <f t="shared" si="55"/>
        <v>16598658,16298809,0.00999940350629843</v>
      </c>
    </row>
    <row r="1756" spans="1:7" x14ac:dyDescent="0.25">
      <c r="A1756" s="1" t="s">
        <v>988</v>
      </c>
      <c r="B1756" s="1" t="s">
        <v>150</v>
      </c>
      <c r="C1756" s="1" t="s">
        <v>992</v>
      </c>
      <c r="D1756">
        <f>IFERROR(VLOOKUP(A1756,depara!A:B,2,0),A1756)</f>
        <v>16598658</v>
      </c>
      <c r="E1756">
        <f>VLOOKUP(B1756,'inumos depara'!$A:$B,2,0)</f>
        <v>16298737</v>
      </c>
      <c r="F1756" s="1" t="str">
        <f t="shared" si="54"/>
        <v>0.00563686547982496</v>
      </c>
      <c r="G1756" t="str">
        <f t="shared" si="55"/>
        <v>16598658,16298737,0.00563686547982496</v>
      </c>
    </row>
    <row r="1757" spans="1:7" x14ac:dyDescent="0.25">
      <c r="A1757" s="1" t="s">
        <v>993</v>
      </c>
      <c r="B1757" s="1" t="s">
        <v>150</v>
      </c>
      <c r="C1757" s="1" t="s">
        <v>994</v>
      </c>
      <c r="D1757">
        <f>IFERROR(VLOOKUP(A1757,depara!A:B,2,0),A1757)</f>
        <v>16598659</v>
      </c>
      <c r="E1757">
        <f>VLOOKUP(B1757,'inumos depara'!$A:$B,2,0)</f>
        <v>16298737</v>
      </c>
      <c r="F1757" s="1" t="str">
        <f t="shared" si="54"/>
        <v>0.102588638195004</v>
      </c>
      <c r="G1757" t="str">
        <f t="shared" si="55"/>
        <v>16598659,16298737,0.102588638195004</v>
      </c>
    </row>
    <row r="1758" spans="1:7" x14ac:dyDescent="0.25">
      <c r="A1758" s="1" t="s">
        <v>993</v>
      </c>
      <c r="B1758" s="1" t="s">
        <v>995</v>
      </c>
      <c r="C1758" s="1" t="s">
        <v>1671</v>
      </c>
      <c r="D1758">
        <f>IFERROR(VLOOKUP(A1758,depara!A:B,2,0),A1758)</f>
        <v>16598659</v>
      </c>
      <c r="E1758">
        <f>VLOOKUP(B1758,'inumos depara'!$A:$B,2,0)</f>
        <v>16299137</v>
      </c>
      <c r="F1758" s="1" t="str">
        <f t="shared" si="54"/>
        <v>1.04995970991136</v>
      </c>
      <c r="G1758" t="str">
        <f t="shared" si="55"/>
        <v>16598659,16299137,1.04995970991136</v>
      </c>
    </row>
    <row r="1759" spans="1:7" x14ac:dyDescent="0.25">
      <c r="A1759" s="1" t="s">
        <v>993</v>
      </c>
      <c r="B1759" s="1" t="s">
        <v>996</v>
      </c>
      <c r="C1759" s="1" t="s">
        <v>1672</v>
      </c>
      <c r="D1759">
        <f>IFERROR(VLOOKUP(A1759,depara!A:B,2,0),A1759)</f>
        <v>16598659</v>
      </c>
      <c r="E1759">
        <f>VLOOKUP(B1759,'inumos depara'!$A:$B,2,0)</f>
        <v>16299138</v>
      </c>
      <c r="F1759" s="1" t="str">
        <f t="shared" si="54"/>
        <v>1.00493553585818</v>
      </c>
      <c r="G1759" t="str">
        <f t="shared" si="55"/>
        <v>16598659,16299138,1.00493553585818</v>
      </c>
    </row>
    <row r="1760" spans="1:7" x14ac:dyDescent="0.25">
      <c r="A1760" s="1" t="s">
        <v>993</v>
      </c>
      <c r="B1760" s="1" t="s">
        <v>997</v>
      </c>
      <c r="C1760" s="1" t="s">
        <v>998</v>
      </c>
      <c r="D1760">
        <f>IFERROR(VLOOKUP(A1760,depara!A:B,2,0),A1760)</f>
        <v>16598659</v>
      </c>
      <c r="E1760">
        <f>VLOOKUP(B1760,'inumos depara'!$A:$B,2,0)</f>
        <v>16299139</v>
      </c>
      <c r="F1760" s="1" t="str">
        <f t="shared" si="54"/>
        <v>0.0624496373892023</v>
      </c>
      <c r="G1760" t="str">
        <f t="shared" si="55"/>
        <v>16598659,16299139,0.0624496373892023</v>
      </c>
    </row>
    <row r="1761" spans="1:7" x14ac:dyDescent="0.25">
      <c r="A1761" s="1" t="s">
        <v>999</v>
      </c>
      <c r="B1761" s="1" t="s">
        <v>129</v>
      </c>
      <c r="C1761" s="1" t="s">
        <v>1000</v>
      </c>
      <c r="D1761">
        <f>IFERROR(VLOOKUP(A1761,depara!A:B,2,0),A1761)</f>
        <v>16598660</v>
      </c>
      <c r="E1761">
        <f>VLOOKUP(B1761,'inumos depara'!$A:$B,2,0)</f>
        <v>16298717</v>
      </c>
      <c r="F1761" s="1" t="str">
        <f t="shared" si="54"/>
        <v>0.212533224289511</v>
      </c>
      <c r="G1761" t="str">
        <f t="shared" si="55"/>
        <v>16598660,16298717,0.212533224289511</v>
      </c>
    </row>
    <row r="1762" spans="1:7" x14ac:dyDescent="0.25">
      <c r="A1762" s="1" t="s">
        <v>999</v>
      </c>
      <c r="B1762" s="1" t="s">
        <v>1001</v>
      </c>
      <c r="C1762" s="1" t="s">
        <v>1673</v>
      </c>
      <c r="D1762">
        <f>IFERROR(VLOOKUP(A1762,depara!A:B,2,0),A1762)</f>
        <v>16598660</v>
      </c>
      <c r="E1762">
        <f>VLOOKUP(B1762,'inumos depara'!$A:$B,2,0)</f>
        <v>16299140</v>
      </c>
      <c r="F1762" s="1" t="str">
        <f t="shared" si="54"/>
        <v>1.00511142915559</v>
      </c>
      <c r="G1762" t="str">
        <f t="shared" si="55"/>
        <v>16598660,16299140,1.00511142915559</v>
      </c>
    </row>
    <row r="1763" spans="1:7" x14ac:dyDescent="0.25">
      <c r="A1763" s="1" t="s">
        <v>999</v>
      </c>
      <c r="B1763" s="1" t="s">
        <v>1322</v>
      </c>
      <c r="C1763" s="1" t="s">
        <v>1673</v>
      </c>
      <c r="D1763">
        <f>IFERROR(VLOOKUP(A1763,depara!A:B,2,0),A1763)</f>
        <v>16598660</v>
      </c>
      <c r="E1763">
        <f>VLOOKUP(B1763,'inumos depara'!$A:$B,2,0)</f>
        <v>16298719</v>
      </c>
      <c r="F1763" s="1" t="str">
        <f t="shared" si="54"/>
        <v>1.00511142915559</v>
      </c>
      <c r="G1763" t="str">
        <f t="shared" si="55"/>
        <v>16598660,16298719,1.00511142915559</v>
      </c>
    </row>
    <row r="1764" spans="1:7" x14ac:dyDescent="0.25">
      <c r="A1764" s="1" t="s">
        <v>999</v>
      </c>
      <c r="B1764" s="1" t="s">
        <v>1323</v>
      </c>
      <c r="C1764" s="1" t="s">
        <v>1002</v>
      </c>
      <c r="D1764">
        <f>IFERROR(VLOOKUP(A1764,depara!A:B,2,0),A1764)</f>
        <v>16598660</v>
      </c>
      <c r="E1764">
        <f>VLOOKUP(B1764,'inumos depara'!$A:$B,2,0)</f>
        <v>16298720</v>
      </c>
      <c r="F1764" s="1" t="str">
        <f t="shared" si="54"/>
        <v>0.0625638928644449</v>
      </c>
      <c r="G1764" t="str">
        <f t="shared" si="55"/>
        <v>16598660,16298720,0.0625638928644449</v>
      </c>
    </row>
    <row r="1765" spans="1:7" x14ac:dyDescent="0.25">
      <c r="A1765" s="1" t="s">
        <v>953</v>
      </c>
      <c r="B1765" s="1" t="s">
        <v>1221</v>
      </c>
      <c r="C1765" s="1" t="s">
        <v>10</v>
      </c>
      <c r="D1765" t="str">
        <f>IFERROR(VLOOKUP(A1765,depara!A:B,2,0),A1765)</f>
        <v>P0001848</v>
      </c>
      <c r="E1765">
        <f>VLOOKUP(B1765,'inumos depara'!$A:$B,2,0)</f>
        <v>16298626</v>
      </c>
      <c r="F1765" s="1" t="str">
        <f t="shared" si="54"/>
        <v>0.001</v>
      </c>
      <c r="G1765" t="str">
        <f t="shared" si="55"/>
        <v>P0001848,16298626,0.001</v>
      </c>
    </row>
    <row r="1766" spans="1:7" x14ac:dyDescent="0.25">
      <c r="A1766" s="1" t="s">
        <v>953</v>
      </c>
      <c r="B1766" s="1" t="s">
        <v>1219</v>
      </c>
      <c r="C1766" s="1" t="s">
        <v>64</v>
      </c>
      <c r="D1766" t="str">
        <f>IFERROR(VLOOKUP(A1766,depara!A:B,2,0),A1766)</f>
        <v>P0001848</v>
      </c>
      <c r="E1766">
        <f>VLOOKUP(B1766,'inumos depara'!$A:$B,2,0)</f>
        <v>16298624</v>
      </c>
      <c r="F1766" s="1" t="str">
        <f t="shared" si="54"/>
        <v>0.02</v>
      </c>
      <c r="G1766" t="str">
        <f t="shared" si="55"/>
        <v>P0001848,16298624,0.02</v>
      </c>
    </row>
    <row r="1767" spans="1:7" x14ac:dyDescent="0.25">
      <c r="A1767" s="1" t="s">
        <v>953</v>
      </c>
      <c r="B1767" s="1" t="s">
        <v>1222</v>
      </c>
      <c r="C1767" s="1" t="s">
        <v>446</v>
      </c>
      <c r="D1767" t="str">
        <f>IFERROR(VLOOKUP(A1767,depara!A:B,2,0),A1767)</f>
        <v>P0001848</v>
      </c>
      <c r="E1767">
        <f>VLOOKUP(B1767,'inumos depara'!$A:$B,2,0)</f>
        <v>16298627</v>
      </c>
      <c r="F1767" s="1" t="str">
        <f t="shared" si="54"/>
        <v>0.0003</v>
      </c>
      <c r="G1767" t="str">
        <f t="shared" si="55"/>
        <v>P0001848,16298627,0.0003</v>
      </c>
    </row>
    <row r="1768" spans="1:7" x14ac:dyDescent="0.25">
      <c r="A1768" s="1" t="s">
        <v>953</v>
      </c>
      <c r="B1768" s="1" t="s">
        <v>1218</v>
      </c>
      <c r="C1768" s="1" t="s">
        <v>64</v>
      </c>
      <c r="D1768" t="str">
        <f>IFERROR(VLOOKUP(A1768,depara!A:B,2,0),A1768)</f>
        <v>P0001848</v>
      </c>
      <c r="E1768">
        <f>VLOOKUP(B1768,'inumos depara'!$A:$B,2,0)</f>
        <v>16298623</v>
      </c>
      <c r="F1768" s="1" t="str">
        <f t="shared" si="54"/>
        <v>0.02</v>
      </c>
      <c r="G1768" t="str">
        <f t="shared" si="55"/>
        <v>P0001848,16298623,0.02</v>
      </c>
    </row>
    <row r="1769" spans="1:7" x14ac:dyDescent="0.25">
      <c r="A1769" s="1" t="s">
        <v>953</v>
      </c>
      <c r="B1769" s="1" t="s">
        <v>1215</v>
      </c>
      <c r="C1769" s="1" t="s">
        <v>1</v>
      </c>
      <c r="D1769" t="str">
        <f>IFERROR(VLOOKUP(A1769,depara!A:B,2,0),A1769)</f>
        <v>P0001848</v>
      </c>
      <c r="E1769">
        <f>VLOOKUP(B1769,'inumos depara'!$A:$B,2,0)</f>
        <v>16298620</v>
      </c>
      <c r="F1769" s="1" t="str">
        <f t="shared" si="54"/>
        <v>0.003</v>
      </c>
      <c r="G1769" t="str">
        <f t="shared" si="55"/>
        <v>P0001848,16298620,0.003</v>
      </c>
    </row>
    <row r="1770" spans="1:7" x14ac:dyDescent="0.25">
      <c r="A1770" s="1" t="s">
        <v>953</v>
      </c>
      <c r="B1770" s="1" t="s">
        <v>1180</v>
      </c>
      <c r="C1770" s="1" t="s">
        <v>71</v>
      </c>
      <c r="D1770" t="str">
        <f>IFERROR(VLOOKUP(A1770,depara!A:B,2,0),A1770)</f>
        <v>P0001848</v>
      </c>
      <c r="E1770">
        <f>VLOOKUP(B1770,'inumos depara'!$A:$B,2,0)</f>
        <v>16298588</v>
      </c>
      <c r="F1770" s="1" t="str">
        <f t="shared" si="54"/>
        <v>0.04</v>
      </c>
      <c r="G1770" t="str">
        <f t="shared" si="55"/>
        <v>P0001848,16298588,0.04</v>
      </c>
    </row>
    <row r="1771" spans="1:7" x14ac:dyDescent="0.25">
      <c r="A1771" s="1" t="s">
        <v>953</v>
      </c>
      <c r="B1771" s="1" t="s">
        <v>1185</v>
      </c>
      <c r="C1771" s="1" t="s">
        <v>82</v>
      </c>
      <c r="D1771" t="str">
        <f>IFERROR(VLOOKUP(A1771,depara!A:B,2,0),A1771)</f>
        <v>P0001848</v>
      </c>
      <c r="E1771">
        <f>VLOOKUP(B1771,'inumos depara'!$A:$B,2,0)</f>
        <v>16298591</v>
      </c>
      <c r="F1771" s="1" t="str">
        <f t="shared" si="54"/>
        <v>0.0005</v>
      </c>
      <c r="G1771" t="str">
        <f t="shared" si="55"/>
        <v>P0001848,16298591,0.0005</v>
      </c>
    </row>
    <row r="1772" spans="1:7" x14ac:dyDescent="0.25">
      <c r="A1772" s="1" t="s">
        <v>953</v>
      </c>
      <c r="B1772" s="1" t="s">
        <v>1211</v>
      </c>
      <c r="C1772" s="1" t="s">
        <v>12</v>
      </c>
      <c r="D1772" t="str">
        <f>IFERROR(VLOOKUP(A1772,depara!A:B,2,0),A1772)</f>
        <v>P0001848</v>
      </c>
      <c r="E1772">
        <f>VLOOKUP(B1772,'inumos depara'!$A:$B,2,0)</f>
        <v>16298616</v>
      </c>
      <c r="F1772" s="1" t="str">
        <f t="shared" si="54"/>
        <v>0.0015</v>
      </c>
      <c r="G1772" t="str">
        <f t="shared" si="55"/>
        <v>P0001848,16298616,0.0015</v>
      </c>
    </row>
    <row r="1773" spans="1:7" x14ac:dyDescent="0.25">
      <c r="A1773" s="1" t="s">
        <v>953</v>
      </c>
      <c r="B1773" s="1" t="s">
        <v>1189</v>
      </c>
      <c r="C1773" s="1" t="s">
        <v>6</v>
      </c>
      <c r="D1773" t="str">
        <f>IFERROR(VLOOKUP(A1773,depara!A:B,2,0),A1773)</f>
        <v>P0001848</v>
      </c>
      <c r="E1773">
        <f>VLOOKUP(B1773,'inumos depara'!$A:$B,2,0)</f>
        <v>16298595</v>
      </c>
      <c r="F1773" s="1" t="str">
        <f t="shared" si="54"/>
        <v>0.01</v>
      </c>
      <c r="G1773" t="str">
        <f t="shared" si="55"/>
        <v>P0001848,16298595,0.01</v>
      </c>
    </row>
    <row r="1774" spans="1:7" x14ac:dyDescent="0.25">
      <c r="A1774" s="1" t="s">
        <v>953</v>
      </c>
      <c r="B1774" s="1" t="s">
        <v>1214</v>
      </c>
      <c r="C1774" s="1" t="s">
        <v>5</v>
      </c>
      <c r="D1774" t="str">
        <f>IFERROR(VLOOKUP(A1774,depara!A:B,2,0),A1774)</f>
        <v>P0001848</v>
      </c>
      <c r="E1774">
        <f>VLOOKUP(B1774,'inumos depara'!$A:$B,2,0)</f>
        <v>16298619</v>
      </c>
      <c r="F1774" s="1" t="str">
        <f t="shared" si="54"/>
        <v>0.002</v>
      </c>
      <c r="G1774" t="str">
        <f t="shared" si="55"/>
        <v>P0001848,16298619,0.002</v>
      </c>
    </row>
    <row r="1775" spans="1:7" x14ac:dyDescent="0.25">
      <c r="A1775" s="1" t="s">
        <v>953</v>
      </c>
      <c r="B1775" s="1" t="s">
        <v>1212</v>
      </c>
      <c r="C1775" s="1" t="s">
        <v>426</v>
      </c>
      <c r="D1775" t="str">
        <f>IFERROR(VLOOKUP(A1775,depara!A:B,2,0),A1775)</f>
        <v>P0001848</v>
      </c>
      <c r="E1775">
        <f>VLOOKUP(B1775,'inumos depara'!$A:$B,2,0)</f>
        <v>16298617</v>
      </c>
      <c r="F1775" s="1" t="str">
        <f t="shared" si="54"/>
        <v>0.006</v>
      </c>
      <c r="G1775" t="str">
        <f t="shared" si="55"/>
        <v>P0001848,16298617,0.006</v>
      </c>
    </row>
    <row r="1776" spans="1:7" x14ac:dyDescent="0.25">
      <c r="A1776" s="1" t="s">
        <v>953</v>
      </c>
      <c r="B1776" s="1" t="s">
        <v>1200</v>
      </c>
      <c r="C1776" s="1" t="s">
        <v>66</v>
      </c>
      <c r="D1776" t="str">
        <f>IFERROR(VLOOKUP(A1776,depara!A:B,2,0),A1776)</f>
        <v>P0001848</v>
      </c>
      <c r="E1776">
        <f>VLOOKUP(B1776,'inumos depara'!$A:$B,2,0)</f>
        <v>16298605</v>
      </c>
      <c r="F1776" s="1" t="str">
        <f t="shared" si="54"/>
        <v>0.07</v>
      </c>
      <c r="G1776" t="str">
        <f t="shared" si="55"/>
        <v>P0001848,16298605,0.07</v>
      </c>
    </row>
    <row r="1777" spans="1:7" x14ac:dyDescent="0.25">
      <c r="A1777" s="1" t="s">
        <v>953</v>
      </c>
      <c r="B1777" s="1" t="s">
        <v>1213</v>
      </c>
      <c r="C1777" s="1" t="s">
        <v>6</v>
      </c>
      <c r="D1777" t="str">
        <f>IFERROR(VLOOKUP(A1777,depara!A:B,2,0),A1777)</f>
        <v>P0001848</v>
      </c>
      <c r="E1777">
        <f>VLOOKUP(B1777,'inumos depara'!$A:$B,2,0)</f>
        <v>16298618</v>
      </c>
      <c r="F1777" s="1" t="str">
        <f t="shared" si="54"/>
        <v>0.01</v>
      </c>
      <c r="G1777" t="str">
        <f t="shared" si="55"/>
        <v>P0001848,16298618,0.01</v>
      </c>
    </row>
    <row r="1778" spans="1:7" x14ac:dyDescent="0.25">
      <c r="A1778" s="1" t="s">
        <v>953</v>
      </c>
      <c r="B1778" s="1" t="s">
        <v>1216</v>
      </c>
      <c r="C1778" s="1" t="s">
        <v>68</v>
      </c>
      <c r="D1778" t="str">
        <f>IFERROR(VLOOKUP(A1778,depara!A:B,2,0),A1778)</f>
        <v>P0001848</v>
      </c>
      <c r="E1778">
        <f>VLOOKUP(B1778,'inumos depara'!$A:$B,2,0)</f>
        <v>16298621</v>
      </c>
      <c r="F1778" s="1" t="str">
        <f t="shared" si="54"/>
        <v>0.004</v>
      </c>
      <c r="G1778" t="str">
        <f t="shared" si="55"/>
        <v>P0001848,16298621,0.004</v>
      </c>
    </row>
    <row r="1779" spans="1:7" x14ac:dyDescent="0.25">
      <c r="A1779" s="1" t="s">
        <v>953</v>
      </c>
      <c r="B1779" s="1" t="s">
        <v>1192</v>
      </c>
      <c r="C1779" s="1" t="s">
        <v>64</v>
      </c>
      <c r="D1779" t="str">
        <f>IFERROR(VLOOKUP(A1779,depara!A:B,2,0),A1779)</f>
        <v>P0001848</v>
      </c>
      <c r="E1779">
        <f>VLOOKUP(B1779,'inumos depara'!$A:$B,2,0)</f>
        <v>16298598</v>
      </c>
      <c r="F1779" s="1" t="str">
        <f t="shared" si="54"/>
        <v>0.02</v>
      </c>
      <c r="G1779" t="str">
        <f t="shared" si="55"/>
        <v>P0001848,16298598,0.02</v>
      </c>
    </row>
    <row r="1780" spans="1:7" x14ac:dyDescent="0.25">
      <c r="A1780" s="1" t="s">
        <v>953</v>
      </c>
      <c r="B1780" s="1" t="s">
        <v>1199</v>
      </c>
      <c r="C1780" s="1" t="s">
        <v>76</v>
      </c>
      <c r="D1780" t="str">
        <f>IFERROR(VLOOKUP(A1780,depara!A:B,2,0),A1780)</f>
        <v>P0001848</v>
      </c>
      <c r="E1780">
        <f>VLOOKUP(B1780,'inumos depara'!$A:$B,2,0)</f>
        <v>16298604</v>
      </c>
      <c r="F1780" s="1" t="str">
        <f t="shared" si="54"/>
        <v>0.03</v>
      </c>
      <c r="G1780" t="str">
        <f t="shared" si="55"/>
        <v>P0001848,16298604,0.03</v>
      </c>
    </row>
    <row r="1781" spans="1:7" x14ac:dyDescent="0.25">
      <c r="A1781" s="1" t="s">
        <v>953</v>
      </c>
      <c r="B1781" s="1" t="s">
        <v>1193</v>
      </c>
      <c r="C1781" s="1" t="s">
        <v>4</v>
      </c>
      <c r="D1781" t="str">
        <f>IFERROR(VLOOKUP(A1781,depara!A:B,2,0),A1781)</f>
        <v>P0001848</v>
      </c>
      <c r="E1781">
        <f>VLOOKUP(B1781,'inumos depara'!$A:$B,2,0)</f>
        <v>16298599</v>
      </c>
      <c r="F1781" s="1" t="str">
        <f t="shared" si="54"/>
        <v>0.005</v>
      </c>
      <c r="G1781" t="str">
        <f t="shared" si="55"/>
        <v>P0001848,16298599,0.005</v>
      </c>
    </row>
    <row r="1782" spans="1:7" x14ac:dyDescent="0.25">
      <c r="A1782" s="1" t="s">
        <v>953</v>
      </c>
      <c r="B1782" s="1" t="s">
        <v>1220</v>
      </c>
      <c r="C1782" s="1" t="s">
        <v>10</v>
      </c>
      <c r="D1782" t="str">
        <f>IFERROR(VLOOKUP(A1782,depara!A:B,2,0),A1782)</f>
        <v>P0001848</v>
      </c>
      <c r="E1782">
        <f>VLOOKUP(B1782,'inumos depara'!$A:$B,2,0)</f>
        <v>16298625</v>
      </c>
      <c r="F1782" s="1" t="str">
        <f t="shared" si="54"/>
        <v>0.001</v>
      </c>
      <c r="G1782" t="str">
        <f t="shared" si="55"/>
        <v>P0001848,16298625,0.001</v>
      </c>
    </row>
    <row r="1783" spans="1:7" x14ac:dyDescent="0.25">
      <c r="A1783" s="1" t="s">
        <v>953</v>
      </c>
      <c r="B1783" s="1" t="s">
        <v>1165</v>
      </c>
      <c r="C1783" s="1" t="s">
        <v>76</v>
      </c>
      <c r="D1783" t="str">
        <f>IFERROR(VLOOKUP(A1783,depara!A:B,2,0),A1783)</f>
        <v>P0001848</v>
      </c>
      <c r="E1783">
        <f>VLOOKUP(B1783,'inumos depara'!$A:$B,2,0)</f>
        <v>16298574</v>
      </c>
      <c r="F1783" s="1" t="str">
        <f t="shared" si="54"/>
        <v>0.03</v>
      </c>
      <c r="G1783" t="str">
        <f t="shared" si="55"/>
        <v>P0001848,16298574,0.03</v>
      </c>
    </row>
    <row r="1784" spans="1:7" x14ac:dyDescent="0.25">
      <c r="A1784" s="1" t="s">
        <v>953</v>
      </c>
      <c r="B1784" s="1" t="s">
        <v>1210</v>
      </c>
      <c r="C1784" s="1" t="s">
        <v>320</v>
      </c>
      <c r="D1784" t="str">
        <f>IFERROR(VLOOKUP(A1784,depara!A:B,2,0),A1784)</f>
        <v>P0001848</v>
      </c>
      <c r="E1784">
        <f>VLOOKUP(B1784,'inumos depara'!$A:$B,2,0)</f>
        <v>16298615</v>
      </c>
      <c r="F1784" s="1" t="str">
        <f t="shared" si="54"/>
        <v>0.0009</v>
      </c>
      <c r="G1784" t="str">
        <f t="shared" si="55"/>
        <v>P0001848,16298615,0.0009</v>
      </c>
    </row>
    <row r="1785" spans="1:7" x14ac:dyDescent="0.25">
      <c r="A1785" s="1" t="s">
        <v>953</v>
      </c>
      <c r="B1785" s="1" t="s">
        <v>1194</v>
      </c>
      <c r="C1785" s="1" t="s">
        <v>76</v>
      </c>
      <c r="D1785" t="str">
        <f>IFERROR(VLOOKUP(A1785,depara!A:B,2,0),A1785)</f>
        <v>P0001848</v>
      </c>
      <c r="E1785">
        <f>VLOOKUP(B1785,'inumos depara'!$A:$B,2,0)</f>
        <v>16298600</v>
      </c>
      <c r="F1785" s="1" t="str">
        <f t="shared" si="54"/>
        <v>0.03</v>
      </c>
      <c r="G1785" t="str">
        <f t="shared" si="55"/>
        <v>P0001848,16298600,0.03</v>
      </c>
    </row>
    <row r="1786" spans="1:7" x14ac:dyDescent="0.25">
      <c r="A1786" s="1" t="s">
        <v>953</v>
      </c>
      <c r="B1786" s="1" t="s">
        <v>1195</v>
      </c>
      <c r="C1786" s="1" t="s">
        <v>451</v>
      </c>
      <c r="D1786" t="str">
        <f>IFERROR(VLOOKUP(A1786,depara!A:B,2,0),A1786)</f>
        <v>P0001848</v>
      </c>
      <c r="E1786">
        <f>VLOOKUP(B1786,'inumos depara'!$A:$B,2,0)</f>
        <v>16298601</v>
      </c>
      <c r="F1786" s="1" t="str">
        <f t="shared" si="54"/>
        <v>0.33</v>
      </c>
      <c r="G1786" t="str">
        <f t="shared" si="55"/>
        <v>P0001848,16298601,0.33</v>
      </c>
    </row>
    <row r="1787" spans="1:7" x14ac:dyDescent="0.25">
      <c r="A1787" s="1" t="s">
        <v>953</v>
      </c>
      <c r="B1787" s="1" t="s">
        <v>453</v>
      </c>
      <c r="C1787" s="1" t="s">
        <v>6</v>
      </c>
      <c r="D1787" t="str">
        <f>IFERROR(VLOOKUP(A1787,depara!A:B,2,0),A1787)</f>
        <v>P0001848</v>
      </c>
      <c r="E1787">
        <f>VLOOKUP(B1787,'inumos depara'!$A:$B,2,0)</f>
        <v>16298938</v>
      </c>
      <c r="F1787" s="1" t="str">
        <f t="shared" si="54"/>
        <v>0.01</v>
      </c>
      <c r="G1787" t="str">
        <f t="shared" si="55"/>
        <v>P0001848,16298938,0.01</v>
      </c>
    </row>
    <row r="1788" spans="1:7" x14ac:dyDescent="0.25">
      <c r="A1788" s="1" t="s">
        <v>799</v>
      </c>
      <c r="B1788" s="1" t="s">
        <v>1205</v>
      </c>
      <c r="C1788" s="1" t="s">
        <v>4</v>
      </c>
      <c r="D1788" t="str">
        <f>IFERROR(VLOOKUP(A1788,depara!A:B,2,0),A1788)</f>
        <v>P0001871</v>
      </c>
      <c r="E1788">
        <f>VLOOKUP(B1788,'inumos depara'!$A:$B,2,0)</f>
        <v>16298610</v>
      </c>
      <c r="F1788" s="1" t="str">
        <f t="shared" si="54"/>
        <v>0.005</v>
      </c>
      <c r="G1788" t="str">
        <f t="shared" si="55"/>
        <v>P0001871,16298610,0.005</v>
      </c>
    </row>
    <row r="1789" spans="1:7" x14ac:dyDescent="0.25">
      <c r="A1789" s="1" t="s">
        <v>799</v>
      </c>
      <c r="B1789" s="1" t="s">
        <v>1195</v>
      </c>
      <c r="C1789" s="1" t="s">
        <v>387</v>
      </c>
      <c r="D1789" t="str">
        <f>IFERROR(VLOOKUP(A1789,depara!A:B,2,0),A1789)</f>
        <v>P0001871</v>
      </c>
      <c r="E1789">
        <f>VLOOKUP(B1789,'inumos depara'!$A:$B,2,0)</f>
        <v>16298601</v>
      </c>
      <c r="F1789" s="1" t="str">
        <f t="shared" si="54"/>
        <v>0.2</v>
      </c>
      <c r="G1789" t="str">
        <f t="shared" si="55"/>
        <v>P0001871,16298601,0.2</v>
      </c>
    </row>
    <row r="1790" spans="1:7" x14ac:dyDescent="0.25">
      <c r="A1790" s="1" t="s">
        <v>799</v>
      </c>
      <c r="B1790" s="1" t="s">
        <v>1180</v>
      </c>
      <c r="C1790" s="1" t="s">
        <v>71</v>
      </c>
      <c r="D1790" t="str">
        <f>IFERROR(VLOOKUP(A1790,depara!A:B,2,0),A1790)</f>
        <v>P0001871</v>
      </c>
      <c r="E1790">
        <f>VLOOKUP(B1790,'inumos depara'!$A:$B,2,0)</f>
        <v>16298588</v>
      </c>
      <c r="F1790" s="1" t="str">
        <f t="shared" si="54"/>
        <v>0.04</v>
      </c>
      <c r="G1790" t="str">
        <f t="shared" si="55"/>
        <v>P0001871,16298588,0.04</v>
      </c>
    </row>
    <row r="1791" spans="1:7" x14ac:dyDescent="0.25">
      <c r="A1791" s="1" t="s">
        <v>799</v>
      </c>
      <c r="B1791" s="1" t="s">
        <v>1567</v>
      </c>
      <c r="C1791" s="1" t="s">
        <v>73</v>
      </c>
      <c r="D1791" t="str">
        <f>IFERROR(VLOOKUP(A1791,depara!A:B,2,0),A1791)</f>
        <v>P0001871</v>
      </c>
      <c r="E1791">
        <f>VLOOKUP(B1791,'inumos depara'!$A:$B,2,0)</f>
        <v>16298945</v>
      </c>
      <c r="F1791" s="1" t="str">
        <f t="shared" si="54"/>
        <v>0.08</v>
      </c>
      <c r="G1791" t="str">
        <f t="shared" si="55"/>
        <v>P0001871,16298945,0.08</v>
      </c>
    </row>
    <row r="1792" spans="1:7" x14ac:dyDescent="0.25">
      <c r="A1792" s="1" t="s">
        <v>799</v>
      </c>
      <c r="B1792" s="1" t="s">
        <v>1568</v>
      </c>
      <c r="C1792" s="1" t="s">
        <v>6</v>
      </c>
      <c r="D1792" t="str">
        <f>IFERROR(VLOOKUP(A1792,depara!A:B,2,0),A1792)</f>
        <v>P0001871</v>
      </c>
      <c r="E1792">
        <f>VLOOKUP(B1792,'inumos depara'!$A:$B,2,0)</f>
        <v>16298946</v>
      </c>
      <c r="F1792" s="1" t="str">
        <f t="shared" si="54"/>
        <v>0.01</v>
      </c>
      <c r="G1792" t="str">
        <f t="shared" si="55"/>
        <v>P0001871,16298946,0.01</v>
      </c>
    </row>
    <row r="1793" spans="1:7" x14ac:dyDescent="0.25">
      <c r="A1793" s="1" t="s">
        <v>799</v>
      </c>
      <c r="B1793" s="1" t="s">
        <v>1569</v>
      </c>
      <c r="C1793" s="1" t="s">
        <v>64</v>
      </c>
      <c r="D1793" t="str">
        <f>IFERROR(VLOOKUP(A1793,depara!A:B,2,0),A1793)</f>
        <v>P0001871</v>
      </c>
      <c r="E1793">
        <f>VLOOKUP(B1793,'inumos depara'!$A:$B,2,0)</f>
        <v>16298947</v>
      </c>
      <c r="F1793" s="1" t="str">
        <f t="shared" si="54"/>
        <v>0.02</v>
      </c>
      <c r="G1793" t="str">
        <f t="shared" si="55"/>
        <v>P0001871,16298947,0.02</v>
      </c>
    </row>
    <row r="1794" spans="1:7" x14ac:dyDescent="0.25">
      <c r="A1794" s="1" t="s">
        <v>799</v>
      </c>
      <c r="B1794" s="1" t="s">
        <v>1201</v>
      </c>
      <c r="C1794" s="1" t="s">
        <v>4</v>
      </c>
      <c r="D1794" t="str">
        <f>IFERROR(VLOOKUP(A1794,depara!A:B,2,0),A1794)</f>
        <v>P0001871</v>
      </c>
      <c r="E1794">
        <f>VLOOKUP(B1794,'inumos depara'!$A:$B,2,0)</f>
        <v>16298606</v>
      </c>
      <c r="F1794" s="1" t="str">
        <f t="shared" ref="F1794:F1857" si="56">C1794</f>
        <v>0.005</v>
      </c>
      <c r="G1794" t="str">
        <f t="shared" ref="G1794:G1857" si="57">D1794&amp;","&amp;E1794&amp;","&amp;F1794</f>
        <v>P0001871,16298606,0.005</v>
      </c>
    </row>
    <row r="1795" spans="1:7" x14ac:dyDescent="0.25">
      <c r="A1795" s="1" t="s">
        <v>799</v>
      </c>
      <c r="B1795" s="1" t="s">
        <v>1570</v>
      </c>
      <c r="C1795" s="1" t="s">
        <v>82</v>
      </c>
      <c r="D1795" t="str">
        <f>IFERROR(VLOOKUP(A1795,depara!A:B,2,0),A1795)</f>
        <v>P0001871</v>
      </c>
      <c r="E1795">
        <f>VLOOKUP(B1795,'inumos depara'!$A:$B,2,0)</f>
        <v>16298948</v>
      </c>
      <c r="F1795" s="1" t="str">
        <f t="shared" si="56"/>
        <v>0.0005</v>
      </c>
      <c r="G1795" t="str">
        <f t="shared" si="57"/>
        <v>P0001871,16298948,0.0005</v>
      </c>
    </row>
    <row r="1796" spans="1:7" x14ac:dyDescent="0.25">
      <c r="A1796" s="1" t="s">
        <v>799</v>
      </c>
      <c r="B1796" s="1" t="s">
        <v>1571</v>
      </c>
      <c r="C1796" s="1" t="s">
        <v>6</v>
      </c>
      <c r="D1796" t="str">
        <f>IFERROR(VLOOKUP(A1796,depara!A:B,2,0),A1796)</f>
        <v>P0001871</v>
      </c>
      <c r="E1796">
        <f>VLOOKUP(B1796,'inumos depara'!$A:$B,2,0)</f>
        <v>16298949</v>
      </c>
      <c r="F1796" s="1" t="str">
        <f t="shared" si="56"/>
        <v>0.01</v>
      </c>
      <c r="G1796" t="str">
        <f t="shared" si="57"/>
        <v>P0001871,16298949,0.01</v>
      </c>
    </row>
    <row r="1797" spans="1:7" x14ac:dyDescent="0.25">
      <c r="A1797" s="1" t="s">
        <v>799</v>
      </c>
      <c r="B1797" s="1" t="s">
        <v>1224</v>
      </c>
      <c r="C1797" s="1" t="s">
        <v>64</v>
      </c>
      <c r="D1797" t="str">
        <f>IFERROR(VLOOKUP(A1797,depara!A:B,2,0),A1797)</f>
        <v>P0001871</v>
      </c>
      <c r="E1797">
        <f>VLOOKUP(B1797,'inumos depara'!$A:$B,2,0)</f>
        <v>16298628</v>
      </c>
      <c r="F1797" s="1" t="str">
        <f t="shared" si="56"/>
        <v>0.02</v>
      </c>
      <c r="G1797" t="str">
        <f t="shared" si="57"/>
        <v>P0001871,16298628,0.02</v>
      </c>
    </row>
    <row r="1798" spans="1:7" x14ac:dyDescent="0.25">
      <c r="A1798" s="1" t="s">
        <v>799</v>
      </c>
      <c r="B1798" s="1" t="s">
        <v>1572</v>
      </c>
      <c r="C1798" s="1" t="s">
        <v>64</v>
      </c>
      <c r="D1798" t="str">
        <f>IFERROR(VLOOKUP(A1798,depara!A:B,2,0),A1798)</f>
        <v>P0001871</v>
      </c>
      <c r="E1798">
        <f>VLOOKUP(B1798,'inumos depara'!$A:$B,2,0)</f>
        <v>16298950</v>
      </c>
      <c r="F1798" s="1" t="str">
        <f t="shared" si="56"/>
        <v>0.02</v>
      </c>
      <c r="G1798" t="str">
        <f t="shared" si="57"/>
        <v>P0001871,16298950,0.02</v>
      </c>
    </row>
    <row r="1799" spans="1:7" x14ac:dyDescent="0.25">
      <c r="A1799" s="1" t="s">
        <v>799</v>
      </c>
      <c r="B1799" s="1" t="s">
        <v>1215</v>
      </c>
      <c r="C1799" s="1" t="s">
        <v>0</v>
      </c>
      <c r="D1799" t="str">
        <f>IFERROR(VLOOKUP(A1799,depara!A:B,2,0),A1799)</f>
        <v>P0001871</v>
      </c>
      <c r="E1799">
        <f>VLOOKUP(B1799,'inumos depara'!$A:$B,2,0)</f>
        <v>16298620</v>
      </c>
      <c r="F1799" s="1" t="str">
        <f t="shared" si="56"/>
        <v>0.05</v>
      </c>
      <c r="G1799" t="str">
        <f t="shared" si="57"/>
        <v>P0001871,16298620,0.05</v>
      </c>
    </row>
    <row r="1800" spans="1:7" x14ac:dyDescent="0.25">
      <c r="A1800" s="1" t="s">
        <v>799</v>
      </c>
      <c r="B1800" s="1" t="s">
        <v>1207</v>
      </c>
      <c r="C1800" s="1" t="s">
        <v>461</v>
      </c>
      <c r="D1800" t="str">
        <f>IFERROR(VLOOKUP(A1800,depara!A:B,2,0),A1800)</f>
        <v>P0001871</v>
      </c>
      <c r="E1800">
        <f>VLOOKUP(B1800,'inumos depara'!$A:$B,2,0)</f>
        <v>16298613</v>
      </c>
      <c r="F1800" s="1" t="str">
        <f t="shared" si="56"/>
        <v>0.0006</v>
      </c>
      <c r="G1800" t="str">
        <f t="shared" si="57"/>
        <v>P0001871,16298613,0.0006</v>
      </c>
    </row>
    <row r="1801" spans="1:7" x14ac:dyDescent="0.25">
      <c r="A1801" s="1" t="s">
        <v>727</v>
      </c>
      <c r="B1801" s="1" t="s">
        <v>1151</v>
      </c>
      <c r="C1801" s="1" t="s">
        <v>4</v>
      </c>
      <c r="D1801" t="str">
        <f>IFERROR(VLOOKUP(A1801,depara!A:B,2,0),A1801)</f>
        <v>P0001872</v>
      </c>
      <c r="E1801">
        <f>VLOOKUP(B1801,'inumos depara'!$A:$B,2,0)</f>
        <v>16298562</v>
      </c>
      <c r="F1801" s="1" t="str">
        <f t="shared" si="56"/>
        <v>0.005</v>
      </c>
      <c r="G1801" t="str">
        <f t="shared" si="57"/>
        <v>P0001872,16298562,0.005</v>
      </c>
    </row>
    <row r="1802" spans="1:7" x14ac:dyDescent="0.25">
      <c r="A1802" s="1" t="s">
        <v>727</v>
      </c>
      <c r="B1802" s="1" t="s">
        <v>1145</v>
      </c>
      <c r="C1802" s="1" t="s">
        <v>1</v>
      </c>
      <c r="D1802" t="str">
        <f>IFERROR(VLOOKUP(A1802,depara!A:B,2,0),A1802)</f>
        <v>P0001872</v>
      </c>
      <c r="E1802">
        <f>VLOOKUP(B1802,'inumos depara'!$A:$B,2,0)</f>
        <v>16298557</v>
      </c>
      <c r="F1802" s="1" t="str">
        <f t="shared" si="56"/>
        <v>0.003</v>
      </c>
      <c r="G1802" t="str">
        <f t="shared" si="57"/>
        <v>P0001872,16298557,0.003</v>
      </c>
    </row>
    <row r="1803" spans="1:7" x14ac:dyDescent="0.25">
      <c r="A1803" s="1" t="s">
        <v>727</v>
      </c>
      <c r="B1803" s="1" t="s">
        <v>1147</v>
      </c>
      <c r="C1803" s="1" t="s">
        <v>0</v>
      </c>
      <c r="D1803" t="str">
        <f>IFERROR(VLOOKUP(A1803,depara!A:B,2,0),A1803)</f>
        <v>P0001872</v>
      </c>
      <c r="E1803">
        <f>VLOOKUP(B1803,'inumos depara'!$A:$B,2,0)</f>
        <v>16298559</v>
      </c>
      <c r="F1803" s="1" t="str">
        <f t="shared" si="56"/>
        <v>0.05</v>
      </c>
      <c r="G1803" t="str">
        <f t="shared" si="57"/>
        <v>P0001872,16298559,0.05</v>
      </c>
    </row>
    <row r="1804" spans="1:7" x14ac:dyDescent="0.25">
      <c r="A1804" s="1" t="s">
        <v>727</v>
      </c>
      <c r="B1804" s="1" t="s">
        <v>1158</v>
      </c>
      <c r="C1804" s="1" t="s">
        <v>7</v>
      </c>
      <c r="D1804" t="str">
        <f>IFERROR(VLOOKUP(A1804,depara!A:B,2,0),A1804)</f>
        <v>P0001872</v>
      </c>
      <c r="E1804">
        <f>VLOOKUP(B1804,'inumos depara'!$A:$B,2,0)</f>
        <v>16298569</v>
      </c>
      <c r="F1804" s="1" t="str">
        <f t="shared" si="56"/>
        <v>0.025</v>
      </c>
      <c r="G1804" t="str">
        <f t="shared" si="57"/>
        <v>P0001872,16298569,0.025</v>
      </c>
    </row>
    <row r="1805" spans="1:7" x14ac:dyDescent="0.25">
      <c r="A1805" s="1" t="s">
        <v>727</v>
      </c>
      <c r="B1805" s="1" t="s">
        <v>1148</v>
      </c>
      <c r="C1805" s="1" t="s">
        <v>3</v>
      </c>
      <c r="D1805" t="str">
        <f>IFERROR(VLOOKUP(A1805,depara!A:B,2,0),A1805)</f>
        <v>P0001872</v>
      </c>
      <c r="E1805">
        <f>VLOOKUP(B1805,'inumos depara'!$A:$B,2,0)</f>
        <v>16298560</v>
      </c>
      <c r="F1805" s="1" t="str">
        <f t="shared" si="56"/>
        <v>0.055</v>
      </c>
      <c r="G1805" t="str">
        <f t="shared" si="57"/>
        <v>P0001872,16298560,0.055</v>
      </c>
    </row>
    <row r="1806" spans="1:7" x14ac:dyDescent="0.25">
      <c r="A1806" s="1" t="s">
        <v>727</v>
      </c>
      <c r="B1806" s="1" t="s">
        <v>1160</v>
      </c>
      <c r="C1806" s="1" t="s">
        <v>8</v>
      </c>
      <c r="D1806" t="str">
        <f>IFERROR(VLOOKUP(A1806,depara!A:B,2,0),A1806)</f>
        <v>P0001872</v>
      </c>
      <c r="E1806">
        <f>VLOOKUP(B1806,'inumos depara'!$A:$B,2,0)</f>
        <v>16298571</v>
      </c>
      <c r="F1806" s="1" t="str">
        <f t="shared" si="56"/>
        <v>0.06</v>
      </c>
      <c r="G1806" t="str">
        <f t="shared" si="57"/>
        <v>P0001872,16298571,0.06</v>
      </c>
    </row>
    <row r="1807" spans="1:7" x14ac:dyDescent="0.25">
      <c r="A1807" s="1" t="s">
        <v>727</v>
      </c>
      <c r="B1807" s="1" t="s">
        <v>1161</v>
      </c>
      <c r="C1807" s="1" t="s">
        <v>8</v>
      </c>
      <c r="D1807" t="str">
        <f>IFERROR(VLOOKUP(A1807,depara!A:B,2,0),A1807)</f>
        <v>P0001872</v>
      </c>
      <c r="E1807">
        <f>VLOOKUP(B1807,'inumos depara'!$A:$B,2,0)</f>
        <v>16298572</v>
      </c>
      <c r="F1807" s="1" t="str">
        <f t="shared" si="56"/>
        <v>0.06</v>
      </c>
      <c r="G1807" t="str">
        <f t="shared" si="57"/>
        <v>P0001872,16298572,0.06</v>
      </c>
    </row>
    <row r="1808" spans="1:7" x14ac:dyDescent="0.25">
      <c r="A1808" s="1" t="s">
        <v>727</v>
      </c>
      <c r="B1808" s="1" t="s">
        <v>1157</v>
      </c>
      <c r="C1808" s="1" t="s">
        <v>6</v>
      </c>
      <c r="D1808" t="str">
        <f>IFERROR(VLOOKUP(A1808,depara!A:B,2,0),A1808)</f>
        <v>P0001872</v>
      </c>
      <c r="E1808">
        <f>VLOOKUP(B1808,'inumos depara'!$A:$B,2,0)</f>
        <v>16298568</v>
      </c>
      <c r="F1808" s="1" t="str">
        <f t="shared" si="56"/>
        <v>0.01</v>
      </c>
      <c r="G1808" t="str">
        <f t="shared" si="57"/>
        <v>P0001872,16298568,0.01</v>
      </c>
    </row>
    <row r="1809" spans="1:7" x14ac:dyDescent="0.25">
      <c r="A1809" s="1" t="s">
        <v>727</v>
      </c>
      <c r="B1809" s="1" t="s">
        <v>1159</v>
      </c>
      <c r="C1809" s="1" t="s">
        <v>4</v>
      </c>
      <c r="D1809" t="str">
        <f>IFERROR(VLOOKUP(A1809,depara!A:B,2,0),A1809)</f>
        <v>P0001872</v>
      </c>
      <c r="E1809">
        <f>VLOOKUP(B1809,'inumos depara'!$A:$B,2,0)</f>
        <v>16298570</v>
      </c>
      <c r="F1809" s="1" t="str">
        <f t="shared" si="56"/>
        <v>0.005</v>
      </c>
      <c r="G1809" t="str">
        <f t="shared" si="57"/>
        <v>P0001872,16298570,0.005</v>
      </c>
    </row>
    <row r="1810" spans="1:7" x14ac:dyDescent="0.25">
      <c r="A1810" s="1" t="s">
        <v>727</v>
      </c>
      <c r="B1810" s="1" t="s">
        <v>1144</v>
      </c>
      <c r="C1810" s="1" t="s">
        <v>0</v>
      </c>
      <c r="D1810" t="str">
        <f>IFERROR(VLOOKUP(A1810,depara!A:B,2,0),A1810)</f>
        <v>P0001872</v>
      </c>
      <c r="E1810">
        <f>VLOOKUP(B1810,'inumos depara'!$A:$B,2,0)</f>
        <v>16298556</v>
      </c>
      <c r="F1810" s="1" t="str">
        <f t="shared" si="56"/>
        <v>0.05</v>
      </c>
      <c r="G1810" t="str">
        <f t="shared" si="57"/>
        <v>P0001872,16298556,0.05</v>
      </c>
    </row>
    <row r="1811" spans="1:7" x14ac:dyDescent="0.25">
      <c r="A1811" s="1" t="s">
        <v>727</v>
      </c>
      <c r="B1811" s="1" t="s">
        <v>1156</v>
      </c>
      <c r="C1811" s="1" t="s">
        <v>4</v>
      </c>
      <c r="D1811" t="str">
        <f>IFERROR(VLOOKUP(A1811,depara!A:B,2,0),A1811)</f>
        <v>P0001872</v>
      </c>
      <c r="E1811">
        <f>VLOOKUP(B1811,'inumos depara'!$A:$B,2,0)</f>
        <v>16298567</v>
      </c>
      <c r="F1811" s="1" t="str">
        <f t="shared" si="56"/>
        <v>0.005</v>
      </c>
      <c r="G1811" t="str">
        <f t="shared" si="57"/>
        <v>P0001872,16298567,0.005</v>
      </c>
    </row>
    <row r="1812" spans="1:7" x14ac:dyDescent="0.25">
      <c r="A1812" s="1" t="s">
        <v>727</v>
      </c>
      <c r="B1812" s="1" t="s">
        <v>1152</v>
      </c>
      <c r="C1812" s="1" t="s">
        <v>1</v>
      </c>
      <c r="D1812" t="str">
        <f>IFERROR(VLOOKUP(A1812,depara!A:B,2,0),A1812)</f>
        <v>P0001872</v>
      </c>
      <c r="E1812">
        <f>VLOOKUP(B1812,'inumos depara'!$A:$B,2,0)</f>
        <v>16298563</v>
      </c>
      <c r="F1812" s="1" t="str">
        <f t="shared" si="56"/>
        <v>0.003</v>
      </c>
      <c r="G1812" t="str">
        <f t="shared" si="57"/>
        <v>P0001872,16298563,0.003</v>
      </c>
    </row>
    <row r="1813" spans="1:7" x14ac:dyDescent="0.25">
      <c r="A1813" s="1" t="s">
        <v>727</v>
      </c>
      <c r="B1813" s="1" t="s">
        <v>1153</v>
      </c>
      <c r="C1813" s="1" t="s">
        <v>1</v>
      </c>
      <c r="D1813" t="str">
        <f>IFERROR(VLOOKUP(A1813,depara!A:B,2,0),A1813)</f>
        <v>P0001872</v>
      </c>
      <c r="E1813">
        <f>VLOOKUP(B1813,'inumos depara'!$A:$B,2,0)</f>
        <v>16298564</v>
      </c>
      <c r="F1813" s="1" t="str">
        <f t="shared" si="56"/>
        <v>0.003</v>
      </c>
      <c r="G1813" t="str">
        <f t="shared" si="57"/>
        <v>P0001872,16298564,0.003</v>
      </c>
    </row>
    <row r="1814" spans="1:7" x14ac:dyDescent="0.25">
      <c r="A1814" s="1" t="s">
        <v>727</v>
      </c>
      <c r="B1814" s="1" t="s">
        <v>1146</v>
      </c>
      <c r="C1814" s="1" t="s">
        <v>2</v>
      </c>
      <c r="D1814" t="str">
        <f>IFERROR(VLOOKUP(A1814,depara!A:B,2,0),A1814)</f>
        <v>P0001872</v>
      </c>
      <c r="E1814">
        <f>VLOOKUP(B1814,'inumos depara'!$A:$B,2,0)</f>
        <v>16298558</v>
      </c>
      <c r="F1814" s="1" t="str">
        <f t="shared" si="56"/>
        <v>0.0007</v>
      </c>
      <c r="G1814" t="str">
        <f t="shared" si="57"/>
        <v>P0001872,16298558,0.0007</v>
      </c>
    </row>
    <row r="1815" spans="1:7" x14ac:dyDescent="0.25">
      <c r="A1815" s="1" t="s">
        <v>727</v>
      </c>
      <c r="B1815" s="1" t="s">
        <v>1155</v>
      </c>
      <c r="C1815" s="1" t="s">
        <v>4</v>
      </c>
      <c r="D1815" t="str">
        <f>IFERROR(VLOOKUP(A1815,depara!A:B,2,0),A1815)</f>
        <v>P0001872</v>
      </c>
      <c r="E1815">
        <f>VLOOKUP(B1815,'inumos depara'!$A:$B,2,0)</f>
        <v>16298566</v>
      </c>
      <c r="F1815" s="1" t="str">
        <f t="shared" si="56"/>
        <v>0.005</v>
      </c>
      <c r="G1815" t="str">
        <f t="shared" si="57"/>
        <v>P0001872,16298566,0.005</v>
      </c>
    </row>
    <row r="1816" spans="1:7" x14ac:dyDescent="0.25">
      <c r="A1816" s="1" t="s">
        <v>719</v>
      </c>
      <c r="B1816" s="1" t="s">
        <v>1151</v>
      </c>
      <c r="C1816" s="1" t="s">
        <v>4</v>
      </c>
      <c r="D1816" t="str">
        <f>IFERROR(VLOOKUP(A1816,depara!A:B,2,0),A1816)</f>
        <v>P0001878</v>
      </c>
      <c r="E1816">
        <f>VLOOKUP(B1816,'inumos depara'!$A:$B,2,0)</f>
        <v>16298562</v>
      </c>
      <c r="F1816" s="1" t="str">
        <f t="shared" si="56"/>
        <v>0.005</v>
      </c>
      <c r="G1816" t="str">
        <f t="shared" si="57"/>
        <v>P0001878,16298562,0.005</v>
      </c>
    </row>
    <row r="1817" spans="1:7" x14ac:dyDescent="0.25">
      <c r="A1817" s="1" t="s">
        <v>719</v>
      </c>
      <c r="B1817" s="1" t="s">
        <v>1145</v>
      </c>
      <c r="C1817" s="1" t="s">
        <v>1</v>
      </c>
      <c r="D1817" t="str">
        <f>IFERROR(VLOOKUP(A1817,depara!A:B,2,0),A1817)</f>
        <v>P0001878</v>
      </c>
      <c r="E1817">
        <f>VLOOKUP(B1817,'inumos depara'!$A:$B,2,0)</f>
        <v>16298557</v>
      </c>
      <c r="F1817" s="1" t="str">
        <f t="shared" si="56"/>
        <v>0.003</v>
      </c>
      <c r="G1817" t="str">
        <f t="shared" si="57"/>
        <v>P0001878,16298557,0.003</v>
      </c>
    </row>
    <row r="1818" spans="1:7" x14ac:dyDescent="0.25">
      <c r="A1818" s="1" t="s">
        <v>719</v>
      </c>
      <c r="B1818" s="1" t="s">
        <v>1147</v>
      </c>
      <c r="C1818" s="1" t="s">
        <v>0</v>
      </c>
      <c r="D1818" t="str">
        <f>IFERROR(VLOOKUP(A1818,depara!A:B,2,0),A1818)</f>
        <v>P0001878</v>
      </c>
      <c r="E1818">
        <f>VLOOKUP(B1818,'inumos depara'!$A:$B,2,0)</f>
        <v>16298559</v>
      </c>
      <c r="F1818" s="1" t="str">
        <f t="shared" si="56"/>
        <v>0.05</v>
      </c>
      <c r="G1818" t="str">
        <f t="shared" si="57"/>
        <v>P0001878,16298559,0.05</v>
      </c>
    </row>
    <row r="1819" spans="1:7" x14ac:dyDescent="0.25">
      <c r="A1819" s="1" t="s">
        <v>719</v>
      </c>
      <c r="B1819" s="1" t="s">
        <v>1158</v>
      </c>
      <c r="C1819" s="1" t="s">
        <v>7</v>
      </c>
      <c r="D1819" t="str">
        <f>IFERROR(VLOOKUP(A1819,depara!A:B,2,0),A1819)</f>
        <v>P0001878</v>
      </c>
      <c r="E1819">
        <f>VLOOKUP(B1819,'inumos depara'!$A:$B,2,0)</f>
        <v>16298569</v>
      </c>
      <c r="F1819" s="1" t="str">
        <f t="shared" si="56"/>
        <v>0.025</v>
      </c>
      <c r="G1819" t="str">
        <f t="shared" si="57"/>
        <v>P0001878,16298569,0.025</v>
      </c>
    </row>
    <row r="1820" spans="1:7" x14ac:dyDescent="0.25">
      <c r="A1820" s="1" t="s">
        <v>719</v>
      </c>
      <c r="B1820" s="1" t="s">
        <v>1148</v>
      </c>
      <c r="C1820" s="1" t="s">
        <v>3</v>
      </c>
      <c r="D1820" t="str">
        <f>IFERROR(VLOOKUP(A1820,depara!A:B,2,0),A1820)</f>
        <v>P0001878</v>
      </c>
      <c r="E1820">
        <f>VLOOKUP(B1820,'inumos depara'!$A:$B,2,0)</f>
        <v>16298560</v>
      </c>
      <c r="F1820" s="1" t="str">
        <f t="shared" si="56"/>
        <v>0.055</v>
      </c>
      <c r="G1820" t="str">
        <f t="shared" si="57"/>
        <v>P0001878,16298560,0.055</v>
      </c>
    </row>
    <row r="1821" spans="1:7" x14ac:dyDescent="0.25">
      <c r="A1821" s="1" t="s">
        <v>719</v>
      </c>
      <c r="B1821" s="1" t="s">
        <v>1160</v>
      </c>
      <c r="C1821" s="1" t="s">
        <v>8</v>
      </c>
      <c r="D1821" t="str">
        <f>IFERROR(VLOOKUP(A1821,depara!A:B,2,0),A1821)</f>
        <v>P0001878</v>
      </c>
      <c r="E1821">
        <f>VLOOKUP(B1821,'inumos depara'!$A:$B,2,0)</f>
        <v>16298571</v>
      </c>
      <c r="F1821" s="1" t="str">
        <f t="shared" si="56"/>
        <v>0.06</v>
      </c>
      <c r="G1821" t="str">
        <f t="shared" si="57"/>
        <v>P0001878,16298571,0.06</v>
      </c>
    </row>
    <row r="1822" spans="1:7" x14ac:dyDescent="0.25">
      <c r="A1822" s="1" t="s">
        <v>719</v>
      </c>
      <c r="B1822" s="1" t="s">
        <v>1161</v>
      </c>
      <c r="C1822" s="1" t="s">
        <v>8</v>
      </c>
      <c r="D1822" t="str">
        <f>IFERROR(VLOOKUP(A1822,depara!A:B,2,0),A1822)</f>
        <v>P0001878</v>
      </c>
      <c r="E1822">
        <f>VLOOKUP(B1822,'inumos depara'!$A:$B,2,0)</f>
        <v>16298572</v>
      </c>
      <c r="F1822" s="1" t="str">
        <f t="shared" si="56"/>
        <v>0.06</v>
      </c>
      <c r="G1822" t="str">
        <f t="shared" si="57"/>
        <v>P0001878,16298572,0.06</v>
      </c>
    </row>
    <row r="1823" spans="1:7" x14ac:dyDescent="0.25">
      <c r="A1823" s="1" t="s">
        <v>719</v>
      </c>
      <c r="B1823" s="1" t="s">
        <v>1157</v>
      </c>
      <c r="C1823" s="1" t="s">
        <v>6</v>
      </c>
      <c r="D1823" t="str">
        <f>IFERROR(VLOOKUP(A1823,depara!A:B,2,0),A1823)</f>
        <v>P0001878</v>
      </c>
      <c r="E1823">
        <f>VLOOKUP(B1823,'inumos depara'!$A:$B,2,0)</f>
        <v>16298568</v>
      </c>
      <c r="F1823" s="1" t="str">
        <f t="shared" si="56"/>
        <v>0.01</v>
      </c>
      <c r="G1823" t="str">
        <f t="shared" si="57"/>
        <v>P0001878,16298568,0.01</v>
      </c>
    </row>
    <row r="1824" spans="1:7" x14ac:dyDescent="0.25">
      <c r="A1824" s="1" t="s">
        <v>719</v>
      </c>
      <c r="B1824" s="1" t="s">
        <v>1159</v>
      </c>
      <c r="C1824" s="1" t="s">
        <v>4</v>
      </c>
      <c r="D1824" t="str">
        <f>IFERROR(VLOOKUP(A1824,depara!A:B,2,0),A1824)</f>
        <v>P0001878</v>
      </c>
      <c r="E1824">
        <f>VLOOKUP(B1824,'inumos depara'!$A:$B,2,0)</f>
        <v>16298570</v>
      </c>
      <c r="F1824" s="1" t="str">
        <f t="shared" si="56"/>
        <v>0.005</v>
      </c>
      <c r="G1824" t="str">
        <f t="shared" si="57"/>
        <v>P0001878,16298570,0.005</v>
      </c>
    </row>
    <row r="1825" spans="1:7" x14ac:dyDescent="0.25">
      <c r="A1825" s="1" t="s">
        <v>719</v>
      </c>
      <c r="B1825" s="1" t="s">
        <v>1144</v>
      </c>
      <c r="C1825" s="1" t="s">
        <v>0</v>
      </c>
      <c r="D1825" t="str">
        <f>IFERROR(VLOOKUP(A1825,depara!A:B,2,0),A1825)</f>
        <v>P0001878</v>
      </c>
      <c r="E1825">
        <f>VLOOKUP(B1825,'inumos depara'!$A:$B,2,0)</f>
        <v>16298556</v>
      </c>
      <c r="F1825" s="1" t="str">
        <f t="shared" si="56"/>
        <v>0.05</v>
      </c>
      <c r="G1825" t="str">
        <f t="shared" si="57"/>
        <v>P0001878,16298556,0.05</v>
      </c>
    </row>
    <row r="1826" spans="1:7" x14ac:dyDescent="0.25">
      <c r="A1826" s="1" t="s">
        <v>719</v>
      </c>
      <c r="B1826" s="1" t="s">
        <v>1156</v>
      </c>
      <c r="C1826" s="1" t="s">
        <v>4</v>
      </c>
      <c r="D1826" t="str">
        <f>IFERROR(VLOOKUP(A1826,depara!A:B,2,0),A1826)</f>
        <v>P0001878</v>
      </c>
      <c r="E1826">
        <f>VLOOKUP(B1826,'inumos depara'!$A:$B,2,0)</f>
        <v>16298567</v>
      </c>
      <c r="F1826" s="1" t="str">
        <f t="shared" si="56"/>
        <v>0.005</v>
      </c>
      <c r="G1826" t="str">
        <f t="shared" si="57"/>
        <v>P0001878,16298567,0.005</v>
      </c>
    </row>
    <row r="1827" spans="1:7" x14ac:dyDescent="0.25">
      <c r="A1827" s="1" t="s">
        <v>719</v>
      </c>
      <c r="B1827" s="1" t="s">
        <v>1152</v>
      </c>
      <c r="C1827" s="1" t="s">
        <v>1</v>
      </c>
      <c r="D1827" t="str">
        <f>IFERROR(VLOOKUP(A1827,depara!A:B,2,0),A1827)</f>
        <v>P0001878</v>
      </c>
      <c r="E1827">
        <f>VLOOKUP(B1827,'inumos depara'!$A:$B,2,0)</f>
        <v>16298563</v>
      </c>
      <c r="F1827" s="1" t="str">
        <f t="shared" si="56"/>
        <v>0.003</v>
      </c>
      <c r="G1827" t="str">
        <f t="shared" si="57"/>
        <v>P0001878,16298563,0.003</v>
      </c>
    </row>
    <row r="1828" spans="1:7" x14ac:dyDescent="0.25">
      <c r="A1828" s="1" t="s">
        <v>719</v>
      </c>
      <c r="B1828" s="1" t="s">
        <v>1153</v>
      </c>
      <c r="C1828" s="1" t="s">
        <v>1</v>
      </c>
      <c r="D1828" t="str">
        <f>IFERROR(VLOOKUP(A1828,depara!A:B,2,0),A1828)</f>
        <v>P0001878</v>
      </c>
      <c r="E1828">
        <f>VLOOKUP(B1828,'inumos depara'!$A:$B,2,0)</f>
        <v>16298564</v>
      </c>
      <c r="F1828" s="1" t="str">
        <f t="shared" si="56"/>
        <v>0.003</v>
      </c>
      <c r="G1828" t="str">
        <f t="shared" si="57"/>
        <v>P0001878,16298564,0.003</v>
      </c>
    </row>
    <row r="1829" spans="1:7" x14ac:dyDescent="0.25">
      <c r="A1829" s="1" t="s">
        <v>719</v>
      </c>
      <c r="B1829" s="1" t="s">
        <v>1146</v>
      </c>
      <c r="C1829" s="1" t="s">
        <v>2</v>
      </c>
      <c r="D1829" t="str">
        <f>IFERROR(VLOOKUP(A1829,depara!A:B,2,0),A1829)</f>
        <v>P0001878</v>
      </c>
      <c r="E1829">
        <f>VLOOKUP(B1829,'inumos depara'!$A:$B,2,0)</f>
        <v>16298558</v>
      </c>
      <c r="F1829" s="1" t="str">
        <f t="shared" si="56"/>
        <v>0.0007</v>
      </c>
      <c r="G1829" t="str">
        <f t="shared" si="57"/>
        <v>P0001878,16298558,0.0007</v>
      </c>
    </row>
    <row r="1830" spans="1:7" x14ac:dyDescent="0.25">
      <c r="A1830" s="1" t="s">
        <v>719</v>
      </c>
      <c r="B1830" s="1" t="s">
        <v>1155</v>
      </c>
      <c r="C1830" s="1" t="s">
        <v>4</v>
      </c>
      <c r="D1830" t="str">
        <f>IFERROR(VLOOKUP(A1830,depara!A:B,2,0),A1830)</f>
        <v>P0001878</v>
      </c>
      <c r="E1830">
        <f>VLOOKUP(B1830,'inumos depara'!$A:$B,2,0)</f>
        <v>16298566</v>
      </c>
      <c r="F1830" s="1" t="str">
        <f t="shared" si="56"/>
        <v>0.005</v>
      </c>
      <c r="G1830" t="str">
        <f t="shared" si="57"/>
        <v>P0001878,16298566,0.005</v>
      </c>
    </row>
    <row r="1831" spans="1:7" x14ac:dyDescent="0.25">
      <c r="A1831" s="1" t="s">
        <v>719</v>
      </c>
      <c r="B1831" s="1" t="s">
        <v>1154</v>
      </c>
      <c r="C1831" s="1" t="s">
        <v>5</v>
      </c>
      <c r="D1831" t="str">
        <f>IFERROR(VLOOKUP(A1831,depara!A:B,2,0),A1831)</f>
        <v>P0001878</v>
      </c>
      <c r="E1831">
        <f>VLOOKUP(B1831,'inumos depara'!$A:$B,2,0)</f>
        <v>16298565</v>
      </c>
      <c r="F1831" s="1" t="str">
        <f t="shared" si="56"/>
        <v>0.002</v>
      </c>
      <c r="G1831" t="str">
        <f t="shared" si="57"/>
        <v>P0001878,16298565,0.002</v>
      </c>
    </row>
    <row r="1832" spans="1:7" x14ac:dyDescent="0.25">
      <c r="A1832" s="1" t="s">
        <v>1003</v>
      </c>
      <c r="B1832" s="1" t="s">
        <v>1004</v>
      </c>
      <c r="C1832" s="1" t="s">
        <v>1674</v>
      </c>
      <c r="D1832">
        <f>IFERROR(VLOOKUP(A1832,depara!A:B,2,0),A1832)</f>
        <v>16598661</v>
      </c>
      <c r="E1832">
        <f>VLOOKUP(B1832,'inumos depara'!$A:$B,2,0)</f>
        <v>16299141</v>
      </c>
      <c r="F1832" s="1" t="str">
        <f t="shared" si="56"/>
        <v>1.05001082485386</v>
      </c>
      <c r="G1832" t="str">
        <f t="shared" si="57"/>
        <v>16598661,16299141,1.05001082485386</v>
      </c>
    </row>
    <row r="1833" spans="1:7" x14ac:dyDescent="0.25">
      <c r="A1833" s="1" t="s">
        <v>1003</v>
      </c>
      <c r="B1833" s="1" t="s">
        <v>660</v>
      </c>
      <c r="C1833" s="1" t="s">
        <v>1005</v>
      </c>
      <c r="D1833">
        <f>IFERROR(VLOOKUP(A1833,depara!A:B,2,0),A1833)</f>
        <v>16598661</v>
      </c>
      <c r="E1833">
        <f>VLOOKUP(B1833,'inumos depara'!$A:$B,2,0)</f>
        <v>16299045</v>
      </c>
      <c r="F1833" s="1" t="str">
        <f t="shared" si="56"/>
        <v>0.222775492530851</v>
      </c>
      <c r="G1833" t="str">
        <f t="shared" si="57"/>
        <v>16598661,16299045,0.222775492530851</v>
      </c>
    </row>
    <row r="1834" spans="1:7" x14ac:dyDescent="0.25">
      <c r="A1834" s="1" t="s">
        <v>1003</v>
      </c>
      <c r="B1834" s="1" t="s">
        <v>599</v>
      </c>
      <c r="C1834" s="1" t="s">
        <v>1006</v>
      </c>
      <c r="D1834">
        <f>IFERROR(VLOOKUP(A1834,depara!A:B,2,0),A1834)</f>
        <v>16598661</v>
      </c>
      <c r="E1834">
        <f>VLOOKUP(B1834,'inumos depara'!$A:$B,2,0)</f>
        <v>16299019</v>
      </c>
      <c r="F1834" s="1" t="str">
        <f t="shared" si="56"/>
        <v>0.062567655336653</v>
      </c>
      <c r="G1834" t="str">
        <f t="shared" si="57"/>
        <v>16598661,16299019,0.062567655336653</v>
      </c>
    </row>
    <row r="1835" spans="1:7" x14ac:dyDescent="0.25">
      <c r="A1835" s="1" t="s">
        <v>1007</v>
      </c>
      <c r="B1835" s="1" t="s">
        <v>1008</v>
      </c>
      <c r="C1835" s="1" t="s">
        <v>1675</v>
      </c>
      <c r="D1835">
        <f>IFERROR(VLOOKUP(A1835,depara!A:B,2,0),A1835)</f>
        <v>16598662</v>
      </c>
      <c r="E1835">
        <f>VLOOKUP(B1835,'inumos depara'!$A:$B,2,0)</f>
        <v>16299142</v>
      </c>
      <c r="F1835" s="1" t="str">
        <f t="shared" si="56"/>
        <v>1.05002730748225</v>
      </c>
      <c r="G1835" t="str">
        <f t="shared" si="57"/>
        <v>16598662,16299142,1.05002730748225</v>
      </c>
    </row>
    <row r="1836" spans="1:7" x14ac:dyDescent="0.25">
      <c r="A1836" s="1" t="s">
        <v>1007</v>
      </c>
      <c r="B1836" s="1" t="s">
        <v>660</v>
      </c>
      <c r="C1836" s="1" t="s">
        <v>1009</v>
      </c>
      <c r="D1836">
        <f>IFERROR(VLOOKUP(A1836,depara!A:B,2,0),A1836)</f>
        <v>16598662</v>
      </c>
      <c r="E1836">
        <f>VLOOKUP(B1836,'inumos depara'!$A:$B,2,0)</f>
        <v>16299045</v>
      </c>
      <c r="F1836" s="1" t="str">
        <f t="shared" si="56"/>
        <v>0.112397596941562</v>
      </c>
      <c r="G1836" t="str">
        <f t="shared" si="57"/>
        <v>16598662,16299045,0.112397596941562</v>
      </c>
    </row>
    <row r="1837" spans="1:7" x14ac:dyDescent="0.25">
      <c r="A1837" s="1" t="s">
        <v>1007</v>
      </c>
      <c r="B1837" s="1" t="s">
        <v>1010</v>
      </c>
      <c r="C1837" s="1" t="s">
        <v>1011</v>
      </c>
      <c r="D1837">
        <f>IFERROR(VLOOKUP(A1837,depara!A:B,2,0),A1837)</f>
        <v>16598662</v>
      </c>
      <c r="E1837">
        <f>VLOOKUP(B1837,'inumos depara'!$A:$B,2,0)</f>
        <v>16299143</v>
      </c>
      <c r="F1837" s="1" t="str">
        <f t="shared" si="56"/>
        <v>0.0624795193883124</v>
      </c>
      <c r="G1837" t="str">
        <f t="shared" si="57"/>
        <v>16598662,16299143,0.0624795193883124</v>
      </c>
    </row>
    <row r="1838" spans="1:7" x14ac:dyDescent="0.25">
      <c r="A1838" s="1" t="s">
        <v>1012</v>
      </c>
      <c r="B1838" s="1" t="s">
        <v>1257</v>
      </c>
      <c r="C1838" s="1" t="s">
        <v>824</v>
      </c>
      <c r="D1838">
        <f>IFERROR(VLOOKUP(A1838,depara!A:B,2,0),A1838)</f>
        <v>16598663</v>
      </c>
      <c r="E1838">
        <f>VLOOKUP(B1838,'inumos depara'!$A:$B,2,0)</f>
        <v>16298836</v>
      </c>
      <c r="F1838" s="1" t="str">
        <f t="shared" si="56"/>
        <v>0.00308636363636364</v>
      </c>
      <c r="G1838" t="str">
        <f t="shared" si="57"/>
        <v>16598663,16298836,0.00308636363636364</v>
      </c>
    </row>
    <row r="1839" spans="1:7" x14ac:dyDescent="0.25">
      <c r="A1839" s="1" t="s">
        <v>1012</v>
      </c>
      <c r="B1839" s="1" t="s">
        <v>1013</v>
      </c>
      <c r="C1839" s="1" t="s">
        <v>706</v>
      </c>
      <c r="D1839">
        <f>IFERROR(VLOOKUP(A1839,depara!A:B,2,0),A1839)</f>
        <v>16598663</v>
      </c>
      <c r="E1839">
        <f>VLOOKUP(B1839,'inumos depara'!$A:$B,2,0)</f>
        <v>16299144</v>
      </c>
      <c r="F1839" s="1" t="str">
        <f t="shared" si="56"/>
        <v>0.00135979310395933</v>
      </c>
      <c r="G1839" t="str">
        <f t="shared" si="57"/>
        <v>16598663,16299144,0.00135979310395933</v>
      </c>
    </row>
    <row r="1840" spans="1:7" x14ac:dyDescent="0.25">
      <c r="A1840" s="1" t="s">
        <v>1012</v>
      </c>
      <c r="B1840" s="1" t="s">
        <v>1443</v>
      </c>
      <c r="C1840" s="1" t="s">
        <v>707</v>
      </c>
      <c r="D1840">
        <f>IFERROR(VLOOKUP(A1840,depara!A:B,2,0),A1840)</f>
        <v>16598663</v>
      </c>
      <c r="E1840">
        <f>VLOOKUP(B1840,'inumos depara'!$A:$B,2,0)</f>
        <v>16298809</v>
      </c>
      <c r="F1840" s="1" t="str">
        <f t="shared" si="56"/>
        <v>0.0100002223094993</v>
      </c>
      <c r="G1840" t="str">
        <f t="shared" si="57"/>
        <v>16598663,16298809,0.0100002223094993</v>
      </c>
    </row>
    <row r="1841" spans="1:7" x14ac:dyDescent="0.25">
      <c r="A1841" s="1" t="s">
        <v>1014</v>
      </c>
      <c r="B1841" s="1" t="s">
        <v>1241</v>
      </c>
      <c r="C1841" s="1" t="s">
        <v>824</v>
      </c>
      <c r="D1841">
        <f>IFERROR(VLOOKUP(A1841,depara!A:B,2,0),A1841)</f>
        <v>16598664</v>
      </c>
      <c r="E1841">
        <f>VLOOKUP(B1841,'inumos depara'!$A:$B,2,0)</f>
        <v>16298796</v>
      </c>
      <c r="F1841" s="1" t="str">
        <f t="shared" si="56"/>
        <v>0.00308636363636364</v>
      </c>
      <c r="G1841" t="str">
        <f t="shared" si="57"/>
        <v>16598664,16298796,0.00308636363636364</v>
      </c>
    </row>
    <row r="1842" spans="1:7" x14ac:dyDescent="0.25">
      <c r="A1842" s="1" t="s">
        <v>1014</v>
      </c>
      <c r="B1842" s="1" t="s">
        <v>1015</v>
      </c>
      <c r="C1842" s="1" t="s">
        <v>711</v>
      </c>
      <c r="D1842">
        <f>IFERROR(VLOOKUP(A1842,depara!A:B,2,0),A1842)</f>
        <v>16598664</v>
      </c>
      <c r="E1842">
        <f>VLOOKUP(B1842,'inumos depara'!$A:$B,2,0)</f>
        <v>16299145</v>
      </c>
      <c r="F1842" s="1" t="str">
        <f t="shared" si="56"/>
        <v>0.00135744890607819</v>
      </c>
      <c r="G1842" t="str">
        <f t="shared" si="57"/>
        <v>16598664,16299145,0.00135744890607819</v>
      </c>
    </row>
    <row r="1843" spans="1:7" x14ac:dyDescent="0.25">
      <c r="A1843" s="1" t="s">
        <v>1014</v>
      </c>
      <c r="B1843" s="1" t="s">
        <v>1443</v>
      </c>
      <c r="C1843" s="1" t="s">
        <v>712</v>
      </c>
      <c r="D1843">
        <f>IFERROR(VLOOKUP(A1843,depara!A:B,2,0),A1843)</f>
        <v>16598664</v>
      </c>
      <c r="E1843">
        <f>VLOOKUP(B1843,'inumos depara'!$A:$B,2,0)</f>
        <v>16298809</v>
      </c>
      <c r="F1843" s="1" t="str">
        <f t="shared" si="56"/>
        <v>0.00999886247298373</v>
      </c>
      <c r="G1843" t="str">
        <f t="shared" si="57"/>
        <v>16598664,16298809,0.00999886247298373</v>
      </c>
    </row>
    <row r="1844" spans="1:7" x14ac:dyDescent="0.25">
      <c r="A1844" s="1" t="s">
        <v>1016</v>
      </c>
      <c r="B1844" s="1" t="s">
        <v>1574</v>
      </c>
      <c r="C1844" s="1" t="s">
        <v>1017</v>
      </c>
      <c r="D1844">
        <f>IFERROR(VLOOKUP(A1844,depara!A:B,2,0),A1844)</f>
        <v>16598665</v>
      </c>
      <c r="E1844">
        <f>VLOOKUP(B1844,'inumos depara'!$A:$B,2,0)</f>
        <v>16298952</v>
      </c>
      <c r="F1844" s="1" t="str">
        <f t="shared" si="56"/>
        <v>0.0882852919438285</v>
      </c>
      <c r="G1844" t="str">
        <f t="shared" si="57"/>
        <v>16598665,16298952,0.0882852919438285</v>
      </c>
    </row>
    <row r="1845" spans="1:7" x14ac:dyDescent="0.25">
      <c r="A1845" s="1" t="s">
        <v>1016</v>
      </c>
      <c r="B1845" s="1" t="s">
        <v>1575</v>
      </c>
      <c r="C1845" s="1" t="s">
        <v>1018</v>
      </c>
      <c r="D1845">
        <f>IFERROR(VLOOKUP(A1845,depara!A:B,2,0),A1845)</f>
        <v>16598665</v>
      </c>
      <c r="E1845">
        <f>VLOOKUP(B1845,'inumos depara'!$A:$B,2,0)</f>
        <v>16298953</v>
      </c>
      <c r="F1845" s="1" t="str">
        <f t="shared" si="56"/>
        <v>0.000184774575018477</v>
      </c>
      <c r="G1845" t="str">
        <f t="shared" si="57"/>
        <v>16598665,16298953,0.000184774575018477</v>
      </c>
    </row>
    <row r="1846" spans="1:7" x14ac:dyDescent="0.25">
      <c r="A1846" s="1" t="s">
        <v>1016</v>
      </c>
      <c r="B1846" s="1" t="s">
        <v>1576</v>
      </c>
      <c r="C1846" s="1" t="s">
        <v>1676</v>
      </c>
      <c r="D1846">
        <f>IFERROR(VLOOKUP(A1846,depara!A:B,2,0),A1846)</f>
        <v>16598665</v>
      </c>
      <c r="E1846">
        <f>VLOOKUP(B1846,'inumos depara'!$A:$B,2,0)</f>
        <v>16298954</v>
      </c>
      <c r="F1846" s="1" t="str">
        <f t="shared" si="56"/>
        <v>1.84774575018477E-05</v>
      </c>
      <c r="G1846" t="str">
        <f t="shared" si="57"/>
        <v>16598665,16298954,1.84774575018477E-05</v>
      </c>
    </row>
    <row r="1847" spans="1:7" x14ac:dyDescent="0.25">
      <c r="A1847" s="1" t="s">
        <v>1016</v>
      </c>
      <c r="B1847" s="1" t="s">
        <v>1228</v>
      </c>
      <c r="C1847" s="1" t="s">
        <v>1677</v>
      </c>
      <c r="D1847">
        <f>IFERROR(VLOOKUP(A1847,depara!A:B,2,0),A1847)</f>
        <v>16598665</v>
      </c>
      <c r="E1847">
        <f>VLOOKUP(B1847,'inumos depara'!$A:$B,2,0)</f>
        <v>16298631</v>
      </c>
      <c r="F1847" s="1" t="str">
        <f t="shared" si="56"/>
        <v>3.69549150036955E-05</v>
      </c>
      <c r="G1847" t="str">
        <f t="shared" si="57"/>
        <v>16598665,16298631,3.69549150036955E-05</v>
      </c>
    </row>
    <row r="1848" spans="1:7" x14ac:dyDescent="0.25">
      <c r="A1848" s="1" t="s">
        <v>1016</v>
      </c>
      <c r="B1848" s="1" t="s">
        <v>1148</v>
      </c>
      <c r="C1848" s="1" t="s">
        <v>1019</v>
      </c>
      <c r="D1848">
        <f>IFERROR(VLOOKUP(A1848,depara!A:B,2,0),A1848)</f>
        <v>16598665</v>
      </c>
      <c r="E1848">
        <f>VLOOKUP(B1848,'inumos depara'!$A:$B,2,0)</f>
        <v>16298560</v>
      </c>
      <c r="F1848" s="1" t="str">
        <f t="shared" si="56"/>
        <v>0.00090539541759054</v>
      </c>
      <c r="G1848" t="str">
        <f t="shared" si="57"/>
        <v>16598665,16298560,0.00090539541759054</v>
      </c>
    </row>
    <row r="1849" spans="1:7" x14ac:dyDescent="0.25">
      <c r="A1849" s="1" t="s">
        <v>1016</v>
      </c>
      <c r="B1849" s="1" t="s">
        <v>475</v>
      </c>
      <c r="C1849" s="1" t="s">
        <v>1020</v>
      </c>
      <c r="D1849">
        <f>IFERROR(VLOOKUP(A1849,depara!A:B,2,0),A1849)</f>
        <v>16598665</v>
      </c>
      <c r="E1849">
        <f>VLOOKUP(B1849,'inumos depara'!$A:$B,2,0)</f>
        <v>16298955</v>
      </c>
      <c r="F1849" s="1" t="str">
        <f t="shared" si="56"/>
        <v>0.000923872875092387</v>
      </c>
      <c r="G1849" t="str">
        <f t="shared" si="57"/>
        <v>16598665,16298955,0.000923872875092387</v>
      </c>
    </row>
    <row r="1850" spans="1:7" x14ac:dyDescent="0.25">
      <c r="A1850" s="1" t="s">
        <v>1016</v>
      </c>
      <c r="B1850" s="1" t="s">
        <v>1156</v>
      </c>
      <c r="C1850" s="1" t="s">
        <v>1678</v>
      </c>
      <c r="D1850">
        <f>IFERROR(VLOOKUP(A1850,depara!A:B,2,0),A1850)</f>
        <v>16598665</v>
      </c>
      <c r="E1850">
        <f>VLOOKUP(B1850,'inumos depara'!$A:$B,2,0)</f>
        <v>16298567</v>
      </c>
      <c r="F1850" s="1" t="str">
        <f t="shared" si="56"/>
        <v>9.23872875092387E-05</v>
      </c>
      <c r="G1850" t="str">
        <f t="shared" si="57"/>
        <v>16598665,16298567,9.23872875092387E-05</v>
      </c>
    </row>
    <row r="1851" spans="1:7" x14ac:dyDescent="0.25">
      <c r="A1851" s="1" t="s">
        <v>1016</v>
      </c>
      <c r="B1851" s="1" t="s">
        <v>382</v>
      </c>
      <c r="C1851" s="1" t="s">
        <v>1020</v>
      </c>
      <c r="D1851">
        <f>IFERROR(VLOOKUP(A1851,depara!A:B,2,0),A1851)</f>
        <v>16598665</v>
      </c>
      <c r="E1851">
        <f>VLOOKUP(B1851,'inumos depara'!$A:$B,2,0)</f>
        <v>16298881</v>
      </c>
      <c r="F1851" s="1" t="str">
        <f t="shared" si="56"/>
        <v>0.000923872875092387</v>
      </c>
      <c r="G1851" t="str">
        <f t="shared" si="57"/>
        <v>16598665,16298881,0.000923872875092387</v>
      </c>
    </row>
    <row r="1852" spans="1:7" x14ac:dyDescent="0.25">
      <c r="A1852" s="1" t="s">
        <v>1016</v>
      </c>
      <c r="B1852" s="1" t="s">
        <v>1379</v>
      </c>
      <c r="C1852" s="1" t="s">
        <v>1678</v>
      </c>
      <c r="D1852">
        <f>IFERROR(VLOOKUP(A1852,depara!A:B,2,0),A1852)</f>
        <v>16598665</v>
      </c>
      <c r="E1852">
        <f>VLOOKUP(B1852,'inumos depara'!$A:$B,2,0)</f>
        <v>16298763</v>
      </c>
      <c r="F1852" s="1" t="str">
        <f t="shared" si="56"/>
        <v>9.23872875092387E-05</v>
      </c>
      <c r="G1852" t="str">
        <f t="shared" si="57"/>
        <v>16598665,16298763,9.23872875092387E-05</v>
      </c>
    </row>
    <row r="1853" spans="1:7" x14ac:dyDescent="0.25">
      <c r="A1853" s="1" t="s">
        <v>1016</v>
      </c>
      <c r="B1853" s="1" t="s">
        <v>478</v>
      </c>
      <c r="C1853" s="1" t="s">
        <v>1020</v>
      </c>
      <c r="D1853">
        <f>IFERROR(VLOOKUP(A1853,depara!A:B,2,0),A1853)</f>
        <v>16598665</v>
      </c>
      <c r="E1853">
        <f>VLOOKUP(B1853,'inumos depara'!$A:$B,2,0)</f>
        <v>16298956</v>
      </c>
      <c r="F1853" s="1" t="str">
        <f t="shared" si="56"/>
        <v>0.000923872875092387</v>
      </c>
      <c r="G1853" t="str">
        <f t="shared" si="57"/>
        <v>16598665,16298956,0.000923872875092387</v>
      </c>
    </row>
    <row r="1854" spans="1:7" x14ac:dyDescent="0.25">
      <c r="A1854" s="1" t="s">
        <v>1016</v>
      </c>
      <c r="B1854" s="1" t="s">
        <v>480</v>
      </c>
      <c r="C1854" s="1" t="s">
        <v>1679</v>
      </c>
      <c r="D1854">
        <f>IFERROR(VLOOKUP(A1854,depara!A:B,2,0),A1854)</f>
        <v>16598665</v>
      </c>
      <c r="E1854">
        <f>VLOOKUP(B1854,'inumos depara'!$A:$B,2,0)</f>
        <v>16298958</v>
      </c>
      <c r="F1854" s="1" t="str">
        <f t="shared" si="56"/>
        <v>1.01003061978672</v>
      </c>
      <c r="G1854" t="str">
        <f t="shared" si="57"/>
        <v>16598665,16298958,1.01003061978672</v>
      </c>
    </row>
    <row r="1855" spans="1:7" x14ac:dyDescent="0.25">
      <c r="A1855" s="1" t="s">
        <v>1016</v>
      </c>
      <c r="B1855" s="1" t="s">
        <v>482</v>
      </c>
      <c r="C1855" s="1" t="s">
        <v>1150</v>
      </c>
      <c r="D1855">
        <f>IFERROR(VLOOKUP(A1855,depara!A:B,2,0),A1855)</f>
        <v>16598665</v>
      </c>
      <c r="E1855">
        <f>VLOOKUP(B1855,'inumos depara'!$A:$B,2,0)</f>
        <v>16298959</v>
      </c>
      <c r="F1855" s="1" t="str">
        <f t="shared" si="56"/>
        <v>1</v>
      </c>
      <c r="G1855" t="str">
        <f t="shared" si="57"/>
        <v>16598665,16298959,1</v>
      </c>
    </row>
    <row r="1856" spans="1:7" x14ac:dyDescent="0.25">
      <c r="A1856" s="1" t="s">
        <v>1016</v>
      </c>
      <c r="B1856" s="1" t="s">
        <v>163</v>
      </c>
      <c r="C1856" s="1" t="s">
        <v>1021</v>
      </c>
      <c r="D1856">
        <f>IFERROR(VLOOKUP(A1856,depara!A:B,2,0),A1856)</f>
        <v>16598665</v>
      </c>
      <c r="E1856">
        <f>VLOOKUP(B1856,'inumos depara'!$A:$B,2,0)</f>
        <v>16298748</v>
      </c>
      <c r="F1856" s="1" t="str">
        <f t="shared" si="56"/>
        <v>0.0841516207369866</v>
      </c>
      <c r="G1856" t="str">
        <f t="shared" si="57"/>
        <v>16598665,16298748,0.0841516207369866</v>
      </c>
    </row>
    <row r="1857" spans="1:7" x14ac:dyDescent="0.25">
      <c r="A1857" s="1" t="s">
        <v>1016</v>
      </c>
      <c r="B1857" s="1" t="s">
        <v>160</v>
      </c>
      <c r="C1857" s="1" t="s">
        <v>1022</v>
      </c>
      <c r="D1857">
        <f>IFERROR(VLOOKUP(A1857,depara!A:B,2,0),A1857)</f>
        <v>16598665</v>
      </c>
      <c r="E1857">
        <f>VLOOKUP(B1857,'inumos depara'!$A:$B,2,0)</f>
        <v>16298745</v>
      </c>
      <c r="F1857" s="1" t="str">
        <f t="shared" si="56"/>
        <v>0.00084468377151304</v>
      </c>
      <c r="G1857" t="str">
        <f t="shared" si="57"/>
        <v>16598665,16298745,0.00084468377151304</v>
      </c>
    </row>
    <row r="1858" spans="1:7" x14ac:dyDescent="0.25">
      <c r="A1858" s="1" t="s">
        <v>1023</v>
      </c>
      <c r="B1858" s="1" t="s">
        <v>1024</v>
      </c>
      <c r="C1858" s="1" t="s">
        <v>1680</v>
      </c>
      <c r="D1858">
        <f>IFERROR(VLOOKUP(A1858,depara!A:B,2,0),A1858)</f>
        <v>16598666</v>
      </c>
      <c r="E1858">
        <f>VLOOKUP(B1858,'inumos depara'!$A:$B,2,0)</f>
        <v>16299146</v>
      </c>
      <c r="F1858" s="1" t="str">
        <f t="shared" ref="F1858:F1921" si="58">C1858</f>
        <v>1.0049864498645</v>
      </c>
      <c r="G1858" t="str">
        <f t="shared" ref="G1858:G1921" si="59">D1858&amp;","&amp;E1858&amp;","&amp;F1858</f>
        <v>16598666,16299146,1.0049864498645</v>
      </c>
    </row>
    <row r="1859" spans="1:7" x14ac:dyDescent="0.25">
      <c r="A1859" s="1" t="s">
        <v>1023</v>
      </c>
      <c r="B1859" s="1" t="s">
        <v>1025</v>
      </c>
      <c r="C1859" s="1" t="s">
        <v>1681</v>
      </c>
      <c r="D1859">
        <f>IFERROR(VLOOKUP(A1859,depara!A:B,2,0),A1859)</f>
        <v>16598666</v>
      </c>
      <c r="E1859">
        <f>VLOOKUP(B1859,'inumos depara'!$A:$B,2,0)</f>
        <v>16299147</v>
      </c>
      <c r="F1859" s="1" t="str">
        <f t="shared" si="58"/>
        <v>1.049972899729</v>
      </c>
      <c r="G1859" t="str">
        <f t="shared" si="59"/>
        <v>16598666,16299147,1.049972899729</v>
      </c>
    </row>
    <row r="1860" spans="1:7" x14ac:dyDescent="0.25">
      <c r="A1860" s="1" t="s">
        <v>1023</v>
      </c>
      <c r="B1860" s="1" t="s">
        <v>997</v>
      </c>
      <c r="C1860" s="1" t="s">
        <v>1026</v>
      </c>
      <c r="D1860">
        <f>IFERROR(VLOOKUP(A1860,depara!A:B,2,0),A1860)</f>
        <v>16598666</v>
      </c>
      <c r="E1860">
        <f>VLOOKUP(B1860,'inumos depara'!$A:$B,2,0)</f>
        <v>16299139</v>
      </c>
      <c r="F1860" s="1" t="str">
        <f t="shared" si="58"/>
        <v>0.0625474254742547</v>
      </c>
      <c r="G1860" t="str">
        <f t="shared" si="59"/>
        <v>16598666,16299139,0.0625474254742547</v>
      </c>
    </row>
    <row r="1861" spans="1:7" x14ac:dyDescent="0.25">
      <c r="A1861" s="1" t="s">
        <v>1023</v>
      </c>
      <c r="B1861" s="1" t="s">
        <v>670</v>
      </c>
      <c r="C1861" s="1" t="s">
        <v>1027</v>
      </c>
      <c r="D1861">
        <f>IFERROR(VLOOKUP(A1861,depara!A:B,2,0),A1861)</f>
        <v>16598666</v>
      </c>
      <c r="E1861">
        <f>VLOOKUP(B1861,'inumos depara'!$A:$B,2,0)</f>
        <v>16299049</v>
      </c>
      <c r="F1861" s="1" t="str">
        <f t="shared" si="58"/>
        <v>0.111544715447154</v>
      </c>
      <c r="G1861" t="str">
        <f t="shared" si="59"/>
        <v>16598666,16299049,0.111544715447154</v>
      </c>
    </row>
    <row r="1862" spans="1:7" x14ac:dyDescent="0.25">
      <c r="A1862" s="1" t="s">
        <v>1028</v>
      </c>
      <c r="B1862" s="1" t="s">
        <v>1029</v>
      </c>
      <c r="C1862" s="1" t="s">
        <v>1682</v>
      </c>
      <c r="D1862">
        <f>IFERROR(VLOOKUP(A1862,depara!A:B,2,0),A1862)</f>
        <v>16598667</v>
      </c>
      <c r="E1862">
        <f>VLOOKUP(B1862,'inumos depara'!$A:$B,2,0)</f>
        <v>16299148</v>
      </c>
      <c r="F1862" s="1" t="str">
        <f t="shared" si="58"/>
        <v>1.00499535315985</v>
      </c>
      <c r="G1862" t="str">
        <f t="shared" si="59"/>
        <v>16598667,16299148,1.00499535315985</v>
      </c>
    </row>
    <row r="1863" spans="1:7" x14ac:dyDescent="0.25">
      <c r="A1863" s="1" t="s">
        <v>1028</v>
      </c>
      <c r="B1863" s="1" t="s">
        <v>1030</v>
      </c>
      <c r="C1863" s="1" t="s">
        <v>1683</v>
      </c>
      <c r="D1863">
        <f>IFERROR(VLOOKUP(A1863,depara!A:B,2,0),A1863)</f>
        <v>16598667</v>
      </c>
      <c r="E1863">
        <f>VLOOKUP(B1863,'inumos depara'!$A:$B,2,0)</f>
        <v>16299149</v>
      </c>
      <c r="F1863" s="1" t="str">
        <f t="shared" si="58"/>
        <v>1.04995353159851</v>
      </c>
      <c r="G1863" t="str">
        <f t="shared" si="59"/>
        <v>16598667,16299149,1.04995353159851</v>
      </c>
    </row>
    <row r="1864" spans="1:7" x14ac:dyDescent="0.25">
      <c r="A1864" s="1" t="s">
        <v>1028</v>
      </c>
      <c r="B1864" s="1" t="s">
        <v>997</v>
      </c>
      <c r="C1864" s="1" t="s">
        <v>1031</v>
      </c>
      <c r="D1864">
        <f>IFERROR(VLOOKUP(A1864,depara!A:B,2,0),A1864)</f>
        <v>16598667</v>
      </c>
      <c r="E1864">
        <f>VLOOKUP(B1864,'inumos depara'!$A:$B,2,0)</f>
        <v>16299139</v>
      </c>
      <c r="F1864" s="1" t="str">
        <f t="shared" si="58"/>
        <v>0.0874767657992565</v>
      </c>
      <c r="G1864" t="str">
        <f t="shared" si="59"/>
        <v>16598667,16299139,0.0874767657992565</v>
      </c>
    </row>
    <row r="1865" spans="1:7" x14ac:dyDescent="0.25">
      <c r="A1865" s="1" t="s">
        <v>1028</v>
      </c>
      <c r="B1865" s="1" t="s">
        <v>689</v>
      </c>
      <c r="C1865" s="1" t="s">
        <v>1032</v>
      </c>
      <c r="D1865">
        <f>IFERROR(VLOOKUP(A1865,depara!A:B,2,0),A1865)</f>
        <v>16598667</v>
      </c>
      <c r="E1865">
        <f>VLOOKUP(B1865,'inumos depara'!$A:$B,2,0)</f>
        <v>16299055</v>
      </c>
      <c r="F1865" s="1" t="str">
        <f t="shared" si="58"/>
        <v>0.119539962825279</v>
      </c>
      <c r="G1865" t="str">
        <f t="shared" si="59"/>
        <v>16598667,16299055,0.119539962825279</v>
      </c>
    </row>
    <row r="1866" spans="1:7" x14ac:dyDescent="0.25">
      <c r="A1866" s="1" t="s">
        <v>1033</v>
      </c>
      <c r="B1866" s="1" t="s">
        <v>1556</v>
      </c>
      <c r="C1866" s="1" t="s">
        <v>10</v>
      </c>
      <c r="D1866" t="str">
        <f>IFERROR(VLOOKUP(A1866,depara!A:B,2,0),A1866)</f>
        <v>P0002132</v>
      </c>
      <c r="E1866">
        <f>VLOOKUP(B1866,'inumos depara'!$A:$B,2,0)</f>
        <v>16298919</v>
      </c>
      <c r="F1866" s="1" t="str">
        <f t="shared" si="58"/>
        <v>0.001</v>
      </c>
      <c r="G1866" t="str">
        <f t="shared" si="59"/>
        <v>P0002132,16298919,0.001</v>
      </c>
    </row>
    <row r="1867" spans="1:7" x14ac:dyDescent="0.25">
      <c r="A1867" s="1" t="s">
        <v>1033</v>
      </c>
      <c r="B1867" s="1" t="s">
        <v>1034</v>
      </c>
      <c r="C1867" s="1" t="s">
        <v>418</v>
      </c>
      <c r="D1867" t="str">
        <f>IFERROR(VLOOKUP(A1867,depara!A:B,2,0),A1867)</f>
        <v>P0002132</v>
      </c>
      <c r="E1867">
        <f>VLOOKUP(B1867,'inumos depara'!$A:$B,2,0)</f>
        <v>16299150</v>
      </c>
      <c r="F1867" s="1" t="str">
        <f t="shared" si="58"/>
        <v>0.0025</v>
      </c>
      <c r="G1867" t="str">
        <f t="shared" si="59"/>
        <v>P0002132,16299150,0.0025</v>
      </c>
    </row>
    <row r="1868" spans="1:7" x14ac:dyDescent="0.25">
      <c r="A1868" s="1" t="s">
        <v>1033</v>
      </c>
      <c r="B1868" s="1" t="s">
        <v>1171</v>
      </c>
      <c r="C1868" s="1" t="s">
        <v>10</v>
      </c>
      <c r="D1868" t="str">
        <f>IFERROR(VLOOKUP(A1868,depara!A:B,2,0),A1868)</f>
        <v>P0002132</v>
      </c>
      <c r="E1868">
        <f>VLOOKUP(B1868,'inumos depara'!$A:$B,2,0)</f>
        <v>16298580</v>
      </c>
      <c r="F1868" s="1" t="str">
        <f t="shared" si="58"/>
        <v>0.001</v>
      </c>
      <c r="G1868" t="str">
        <f t="shared" si="59"/>
        <v>P0002132,16298580,0.001</v>
      </c>
    </row>
    <row r="1869" spans="1:7" x14ac:dyDescent="0.25">
      <c r="A1869" s="1" t="s">
        <v>1033</v>
      </c>
      <c r="B1869" s="1" t="s">
        <v>1356</v>
      </c>
      <c r="C1869" s="1" t="s">
        <v>6</v>
      </c>
      <c r="D1869" t="str">
        <f>IFERROR(VLOOKUP(A1869,depara!A:B,2,0),A1869)</f>
        <v>P0002132</v>
      </c>
      <c r="E1869">
        <f>VLOOKUP(B1869,'inumos depara'!$A:$B,2,0)</f>
        <v>16298743</v>
      </c>
      <c r="F1869" s="1" t="str">
        <f t="shared" si="58"/>
        <v>0.01</v>
      </c>
      <c r="G1869" t="str">
        <f t="shared" si="59"/>
        <v>P0002132,16298743,0.01</v>
      </c>
    </row>
    <row r="1870" spans="1:7" x14ac:dyDescent="0.25">
      <c r="A1870" s="1" t="s">
        <v>1033</v>
      </c>
      <c r="B1870" s="1" t="s">
        <v>1242</v>
      </c>
      <c r="C1870" s="1" t="s">
        <v>71</v>
      </c>
      <c r="D1870" t="str">
        <f>IFERROR(VLOOKUP(A1870,depara!A:B,2,0),A1870)</f>
        <v>P0002132</v>
      </c>
      <c r="E1870">
        <f>VLOOKUP(B1870,'inumos depara'!$A:$B,2,0)</f>
        <v>16298643</v>
      </c>
      <c r="F1870" s="1" t="str">
        <f t="shared" si="58"/>
        <v>0.04</v>
      </c>
      <c r="G1870" t="str">
        <f t="shared" si="59"/>
        <v>P0002132,16298643,0.04</v>
      </c>
    </row>
    <row r="1871" spans="1:7" x14ac:dyDescent="0.25">
      <c r="A1871" s="1" t="s">
        <v>1033</v>
      </c>
      <c r="B1871" s="1" t="s">
        <v>72</v>
      </c>
      <c r="C1871" s="1" t="s">
        <v>64</v>
      </c>
      <c r="D1871" t="str">
        <f>IFERROR(VLOOKUP(A1871,depara!A:B,2,0),A1871)</f>
        <v>P0002132</v>
      </c>
      <c r="E1871">
        <f>VLOOKUP(B1871,'inumos depara'!$A:$B,2,0)</f>
        <v>16298644</v>
      </c>
      <c r="F1871" s="1" t="str">
        <f t="shared" si="58"/>
        <v>0.02</v>
      </c>
      <c r="G1871" t="str">
        <f t="shared" si="59"/>
        <v>P0002132,16298644,0.02</v>
      </c>
    </row>
    <row r="1872" spans="1:7" x14ac:dyDescent="0.25">
      <c r="A1872" s="1" t="s">
        <v>1033</v>
      </c>
      <c r="B1872" s="1" t="s">
        <v>1254</v>
      </c>
      <c r="C1872" s="1" t="s">
        <v>71</v>
      </c>
      <c r="D1872" t="str">
        <f>IFERROR(VLOOKUP(A1872,depara!A:B,2,0),A1872)</f>
        <v>P0002132</v>
      </c>
      <c r="E1872">
        <f>VLOOKUP(B1872,'inumos depara'!$A:$B,2,0)</f>
        <v>16298659</v>
      </c>
      <c r="F1872" s="1" t="str">
        <f t="shared" si="58"/>
        <v>0.04</v>
      </c>
      <c r="G1872" t="str">
        <f t="shared" si="59"/>
        <v>P0002132,16298659,0.04</v>
      </c>
    </row>
    <row r="1873" spans="1:7" x14ac:dyDescent="0.25">
      <c r="A1873" s="1" t="s">
        <v>1033</v>
      </c>
      <c r="B1873" s="1" t="s">
        <v>1255</v>
      </c>
      <c r="C1873" s="1" t="s">
        <v>78</v>
      </c>
      <c r="D1873" t="str">
        <f>IFERROR(VLOOKUP(A1873,depara!A:B,2,0),A1873)</f>
        <v>P0002132</v>
      </c>
      <c r="E1873">
        <f>VLOOKUP(B1873,'inumos depara'!$A:$B,2,0)</f>
        <v>16298660</v>
      </c>
      <c r="F1873" s="1" t="str">
        <f t="shared" si="58"/>
        <v>0.14</v>
      </c>
      <c r="G1873" t="str">
        <f t="shared" si="59"/>
        <v>P0002132,16298660,0.14</v>
      </c>
    </row>
    <row r="1874" spans="1:7" x14ac:dyDescent="0.25">
      <c r="A1874" s="1" t="s">
        <v>1033</v>
      </c>
      <c r="B1874" s="1" t="s">
        <v>1244</v>
      </c>
      <c r="C1874" s="1" t="s">
        <v>68</v>
      </c>
      <c r="D1874" t="str">
        <f>IFERROR(VLOOKUP(A1874,depara!A:B,2,0),A1874)</f>
        <v>P0002132</v>
      </c>
      <c r="E1874">
        <f>VLOOKUP(B1874,'inumos depara'!$A:$B,2,0)</f>
        <v>16298646</v>
      </c>
      <c r="F1874" s="1" t="str">
        <f t="shared" si="58"/>
        <v>0.004</v>
      </c>
      <c r="G1874" t="str">
        <f t="shared" si="59"/>
        <v>P0002132,16298646,0.004</v>
      </c>
    </row>
    <row r="1875" spans="1:7" x14ac:dyDescent="0.25">
      <c r="A1875" s="1" t="s">
        <v>1033</v>
      </c>
      <c r="B1875" s="1" t="s">
        <v>1245</v>
      </c>
      <c r="C1875" s="1" t="s">
        <v>4</v>
      </c>
      <c r="D1875" t="str">
        <f>IFERROR(VLOOKUP(A1875,depara!A:B,2,0),A1875)</f>
        <v>P0002132</v>
      </c>
      <c r="E1875">
        <f>VLOOKUP(B1875,'inumos depara'!$A:$B,2,0)</f>
        <v>16298647</v>
      </c>
      <c r="F1875" s="1" t="str">
        <f t="shared" si="58"/>
        <v>0.005</v>
      </c>
      <c r="G1875" t="str">
        <f t="shared" si="59"/>
        <v>P0002132,16298647,0.005</v>
      </c>
    </row>
    <row r="1876" spans="1:7" x14ac:dyDescent="0.25">
      <c r="A1876" s="1" t="s">
        <v>1033</v>
      </c>
      <c r="B1876" s="1" t="s">
        <v>1246</v>
      </c>
      <c r="C1876" s="1" t="s">
        <v>64</v>
      </c>
      <c r="D1876" t="str">
        <f>IFERROR(VLOOKUP(A1876,depara!A:B,2,0),A1876)</f>
        <v>P0002132</v>
      </c>
      <c r="E1876">
        <f>VLOOKUP(B1876,'inumos depara'!$A:$B,2,0)</f>
        <v>16298648</v>
      </c>
      <c r="F1876" s="1" t="str">
        <f t="shared" si="58"/>
        <v>0.02</v>
      </c>
      <c r="G1876" t="str">
        <f t="shared" si="59"/>
        <v>P0002132,16298648,0.02</v>
      </c>
    </row>
    <row r="1877" spans="1:7" x14ac:dyDescent="0.25">
      <c r="A1877" s="1" t="s">
        <v>1033</v>
      </c>
      <c r="B1877" s="1" t="s">
        <v>1247</v>
      </c>
      <c r="C1877" s="1" t="s">
        <v>0</v>
      </c>
      <c r="D1877" t="str">
        <f>IFERROR(VLOOKUP(A1877,depara!A:B,2,0),A1877)</f>
        <v>P0002132</v>
      </c>
      <c r="E1877">
        <f>VLOOKUP(B1877,'inumos depara'!$A:$B,2,0)</f>
        <v>16298649</v>
      </c>
      <c r="F1877" s="1" t="str">
        <f t="shared" si="58"/>
        <v>0.05</v>
      </c>
      <c r="G1877" t="str">
        <f t="shared" si="59"/>
        <v>P0002132,16298649,0.05</v>
      </c>
    </row>
    <row r="1878" spans="1:7" x14ac:dyDescent="0.25">
      <c r="A1878" s="1" t="s">
        <v>1033</v>
      </c>
      <c r="B1878" s="1" t="s">
        <v>1248</v>
      </c>
      <c r="C1878" s="1" t="s">
        <v>0</v>
      </c>
      <c r="D1878" t="str">
        <f>IFERROR(VLOOKUP(A1878,depara!A:B,2,0),A1878)</f>
        <v>P0002132</v>
      </c>
      <c r="E1878">
        <f>VLOOKUP(B1878,'inumos depara'!$A:$B,2,0)</f>
        <v>16298650</v>
      </c>
      <c r="F1878" s="1" t="str">
        <f t="shared" si="58"/>
        <v>0.05</v>
      </c>
      <c r="G1878" t="str">
        <f t="shared" si="59"/>
        <v>P0002132,16298650,0.05</v>
      </c>
    </row>
    <row r="1879" spans="1:7" x14ac:dyDescent="0.25">
      <c r="A1879" s="1" t="s">
        <v>1033</v>
      </c>
      <c r="B1879" s="1" t="s">
        <v>1249</v>
      </c>
      <c r="C1879" s="1" t="s">
        <v>73</v>
      </c>
      <c r="D1879" t="str">
        <f>IFERROR(VLOOKUP(A1879,depara!A:B,2,0),A1879)</f>
        <v>P0002132</v>
      </c>
      <c r="E1879">
        <f>VLOOKUP(B1879,'inumos depara'!$A:$B,2,0)</f>
        <v>16298651</v>
      </c>
      <c r="F1879" s="1" t="str">
        <f t="shared" si="58"/>
        <v>0.08</v>
      </c>
      <c r="G1879" t="str">
        <f t="shared" si="59"/>
        <v>P0002132,16298651,0.08</v>
      </c>
    </row>
    <row r="1880" spans="1:7" x14ac:dyDescent="0.25">
      <c r="A1880" s="1" t="s">
        <v>1033</v>
      </c>
      <c r="B1880" s="1" t="s">
        <v>1563</v>
      </c>
      <c r="C1880" s="1" t="s">
        <v>0</v>
      </c>
      <c r="D1880" t="str">
        <f>IFERROR(VLOOKUP(A1880,depara!A:B,2,0),A1880)</f>
        <v>P0002132</v>
      </c>
      <c r="E1880">
        <f>VLOOKUP(B1880,'inumos depara'!$A:$B,2,0)</f>
        <v>16298927</v>
      </c>
      <c r="F1880" s="1" t="str">
        <f t="shared" si="58"/>
        <v>0.05</v>
      </c>
      <c r="G1880" t="str">
        <f t="shared" si="59"/>
        <v>P0002132,16298927,0.05</v>
      </c>
    </row>
    <row r="1881" spans="1:7" x14ac:dyDescent="0.25">
      <c r="A1881" s="1" t="s">
        <v>1033</v>
      </c>
      <c r="B1881" s="1" t="s">
        <v>1250</v>
      </c>
      <c r="C1881" s="1" t="s">
        <v>6</v>
      </c>
      <c r="D1881" t="str">
        <f>IFERROR(VLOOKUP(A1881,depara!A:B,2,0),A1881)</f>
        <v>P0002132</v>
      </c>
      <c r="E1881">
        <f>VLOOKUP(B1881,'inumos depara'!$A:$B,2,0)</f>
        <v>16298652</v>
      </c>
      <c r="F1881" s="1" t="str">
        <f t="shared" si="58"/>
        <v>0.01</v>
      </c>
      <c r="G1881" t="str">
        <f t="shared" si="59"/>
        <v>P0002132,16298652,0.01</v>
      </c>
    </row>
    <row r="1882" spans="1:7" x14ac:dyDescent="0.25">
      <c r="A1882" s="1" t="s">
        <v>1033</v>
      </c>
      <c r="B1882" s="1" t="s">
        <v>1035</v>
      </c>
      <c r="C1882" s="1" t="s">
        <v>6</v>
      </c>
      <c r="D1882" t="str">
        <f>IFERROR(VLOOKUP(A1882,depara!A:B,2,0),A1882)</f>
        <v>P0002132</v>
      </c>
      <c r="E1882">
        <f>VLOOKUP(B1882,'inumos depara'!$A:$B,2,0)</f>
        <v>16299151</v>
      </c>
      <c r="F1882" s="1" t="str">
        <f t="shared" si="58"/>
        <v>0.01</v>
      </c>
      <c r="G1882" t="str">
        <f t="shared" si="59"/>
        <v>P0002132,16299151,0.01</v>
      </c>
    </row>
    <row r="1883" spans="1:7" x14ac:dyDescent="0.25">
      <c r="A1883" s="1" t="s">
        <v>1033</v>
      </c>
      <c r="B1883" s="1" t="s">
        <v>1251</v>
      </c>
      <c r="C1883" s="1" t="s">
        <v>323</v>
      </c>
      <c r="D1883" t="str">
        <f>IFERROR(VLOOKUP(A1883,depara!A:B,2,0),A1883)</f>
        <v>P0002132</v>
      </c>
      <c r="E1883">
        <f>VLOOKUP(B1883,'inumos depara'!$A:$B,2,0)</f>
        <v>16298653</v>
      </c>
      <c r="F1883" s="1" t="str">
        <f t="shared" si="58"/>
        <v>0.0018</v>
      </c>
      <c r="G1883" t="str">
        <f t="shared" si="59"/>
        <v>P0002132,16298653,0.0018</v>
      </c>
    </row>
    <row r="1884" spans="1:7" x14ac:dyDescent="0.25">
      <c r="A1884" s="1" t="s">
        <v>1033</v>
      </c>
      <c r="B1884" s="1" t="s">
        <v>1036</v>
      </c>
      <c r="C1884" s="1" t="s">
        <v>6</v>
      </c>
      <c r="D1884" t="str">
        <f>IFERROR(VLOOKUP(A1884,depara!A:B,2,0),A1884)</f>
        <v>P0002132</v>
      </c>
      <c r="E1884">
        <f>VLOOKUP(B1884,'inumos depara'!$A:$B,2,0)</f>
        <v>16299152</v>
      </c>
      <c r="F1884" s="1" t="str">
        <f t="shared" si="58"/>
        <v>0.01</v>
      </c>
      <c r="G1884" t="str">
        <f t="shared" si="59"/>
        <v>P0002132,16299152,0.01</v>
      </c>
    </row>
    <row r="1885" spans="1:7" x14ac:dyDescent="0.25">
      <c r="A1885" s="1" t="s">
        <v>1033</v>
      </c>
      <c r="B1885" s="1" t="s">
        <v>1252</v>
      </c>
      <c r="C1885" s="1" t="s">
        <v>5</v>
      </c>
      <c r="D1885" t="str">
        <f>IFERROR(VLOOKUP(A1885,depara!A:B,2,0),A1885)</f>
        <v>P0002132</v>
      </c>
      <c r="E1885">
        <f>VLOOKUP(B1885,'inumos depara'!$A:$B,2,0)</f>
        <v>16298656</v>
      </c>
      <c r="F1885" s="1" t="str">
        <f t="shared" si="58"/>
        <v>0.002</v>
      </c>
      <c r="G1885" t="str">
        <f t="shared" si="59"/>
        <v>P0002132,16298656,0.002</v>
      </c>
    </row>
    <row r="1886" spans="1:7" x14ac:dyDescent="0.25">
      <c r="A1886" s="1" t="s">
        <v>1033</v>
      </c>
      <c r="B1886" s="1" t="s">
        <v>75</v>
      </c>
      <c r="C1886" s="1" t="s">
        <v>10</v>
      </c>
      <c r="D1886" t="str">
        <f>IFERROR(VLOOKUP(A1886,depara!A:B,2,0),A1886)</f>
        <v>P0002132</v>
      </c>
      <c r="E1886">
        <f>VLOOKUP(B1886,'inumos depara'!$A:$B,2,0)</f>
        <v>16298655</v>
      </c>
      <c r="F1886" s="1" t="str">
        <f t="shared" si="58"/>
        <v>0.001</v>
      </c>
      <c r="G1886" t="str">
        <f t="shared" si="59"/>
        <v>P0002132,16298655,0.001</v>
      </c>
    </row>
    <row r="1887" spans="1:7" x14ac:dyDescent="0.25">
      <c r="A1887" s="1" t="s">
        <v>1033</v>
      </c>
      <c r="B1887" s="1" t="s">
        <v>1176</v>
      </c>
      <c r="C1887" s="1" t="s">
        <v>10</v>
      </c>
      <c r="D1887" t="str">
        <f>IFERROR(VLOOKUP(A1887,depara!A:B,2,0),A1887)</f>
        <v>P0002132</v>
      </c>
      <c r="E1887">
        <f>VLOOKUP(B1887,'inumos depara'!$A:$B,2,0)</f>
        <v>16298585</v>
      </c>
      <c r="F1887" s="1" t="str">
        <f t="shared" si="58"/>
        <v>0.001</v>
      </c>
      <c r="G1887" t="str">
        <f t="shared" si="59"/>
        <v>P0002132,16298585,0.001</v>
      </c>
    </row>
    <row r="1888" spans="1:7" x14ac:dyDescent="0.25">
      <c r="A1888" s="1" t="s">
        <v>1033</v>
      </c>
      <c r="B1888" s="1" t="s">
        <v>77</v>
      </c>
      <c r="C1888" s="1" t="s">
        <v>0</v>
      </c>
      <c r="D1888" t="str">
        <f>IFERROR(VLOOKUP(A1888,depara!A:B,2,0),A1888)</f>
        <v>P0002132</v>
      </c>
      <c r="E1888">
        <f>VLOOKUP(B1888,'inumos depara'!$A:$B,2,0)</f>
        <v>16298658</v>
      </c>
      <c r="F1888" s="1" t="str">
        <f t="shared" si="58"/>
        <v>0.05</v>
      </c>
      <c r="G1888" t="str">
        <f t="shared" si="59"/>
        <v>P0002132,16298658,0.05</v>
      </c>
    </row>
    <row r="1889" spans="1:7" x14ac:dyDescent="0.25">
      <c r="A1889" s="1" t="s">
        <v>1033</v>
      </c>
      <c r="B1889" s="1" t="s">
        <v>1253</v>
      </c>
      <c r="C1889" s="1" t="s">
        <v>76</v>
      </c>
      <c r="D1889" t="str">
        <f>IFERROR(VLOOKUP(A1889,depara!A:B,2,0),A1889)</f>
        <v>P0002132</v>
      </c>
      <c r="E1889">
        <f>VLOOKUP(B1889,'inumos depara'!$A:$B,2,0)</f>
        <v>16298657</v>
      </c>
      <c r="F1889" s="1" t="str">
        <f t="shared" si="58"/>
        <v>0.03</v>
      </c>
      <c r="G1889" t="str">
        <f t="shared" si="59"/>
        <v>P0002132,16298657,0.03</v>
      </c>
    </row>
    <row r="1890" spans="1:7" x14ac:dyDescent="0.25">
      <c r="A1890" s="1" t="s">
        <v>1033</v>
      </c>
      <c r="B1890" s="1" t="s">
        <v>1037</v>
      </c>
      <c r="C1890" s="1" t="s">
        <v>68</v>
      </c>
      <c r="D1890" t="str">
        <f>IFERROR(VLOOKUP(A1890,depara!A:B,2,0),A1890)</f>
        <v>P0002132</v>
      </c>
      <c r="E1890">
        <f>VLOOKUP(B1890,'inumos depara'!$A:$B,2,0)</f>
        <v>16299153</v>
      </c>
      <c r="F1890" s="1" t="str">
        <f t="shared" si="58"/>
        <v>0.004</v>
      </c>
      <c r="G1890" t="str">
        <f t="shared" si="59"/>
        <v>P0002132,16299153,0.004</v>
      </c>
    </row>
    <row r="1891" spans="1:7" x14ac:dyDescent="0.25">
      <c r="A1891" s="1" t="s">
        <v>1033</v>
      </c>
      <c r="B1891" s="1" t="s">
        <v>1038</v>
      </c>
      <c r="C1891" s="1" t="s">
        <v>0</v>
      </c>
      <c r="D1891" t="str">
        <f>IFERROR(VLOOKUP(A1891,depara!A:B,2,0),A1891)</f>
        <v>P0002132</v>
      </c>
      <c r="E1891">
        <f>VLOOKUP(B1891,'inumos depara'!$A:$B,2,0)</f>
        <v>16299154</v>
      </c>
      <c r="F1891" s="1" t="str">
        <f t="shared" si="58"/>
        <v>0.05</v>
      </c>
      <c r="G1891" t="str">
        <f t="shared" si="59"/>
        <v>P0002132,16299154,0.05</v>
      </c>
    </row>
    <row r="1892" spans="1:7" x14ac:dyDescent="0.25">
      <c r="A1892" s="1" t="s">
        <v>1033</v>
      </c>
      <c r="B1892" s="1" t="s">
        <v>1039</v>
      </c>
      <c r="C1892" s="1" t="s">
        <v>1150</v>
      </c>
      <c r="D1892" t="str">
        <f>IFERROR(VLOOKUP(A1892,depara!A:B,2,0),A1892)</f>
        <v>P0002132</v>
      </c>
      <c r="E1892">
        <f>VLOOKUP(B1892,'inumos depara'!$A:$B,2,0)</f>
        <v>16299155</v>
      </c>
      <c r="F1892" s="1" t="str">
        <f t="shared" si="58"/>
        <v>1</v>
      </c>
      <c r="G1892" t="str">
        <f t="shared" si="59"/>
        <v>P0002132,16299155,1</v>
      </c>
    </row>
    <row r="1893" spans="1:7" x14ac:dyDescent="0.25">
      <c r="A1893" s="1" t="s">
        <v>1033</v>
      </c>
      <c r="B1893" s="1" t="s">
        <v>1556</v>
      </c>
      <c r="C1893" s="1" t="s">
        <v>10</v>
      </c>
      <c r="D1893" t="str">
        <f>IFERROR(VLOOKUP(A1893,depara!A:B,2,0),A1893)</f>
        <v>P0002132</v>
      </c>
      <c r="E1893">
        <f>VLOOKUP(B1893,'inumos depara'!$A:$B,2,0)</f>
        <v>16298919</v>
      </c>
      <c r="F1893" s="1" t="str">
        <f t="shared" si="58"/>
        <v>0.001</v>
      </c>
      <c r="G1893" t="str">
        <f t="shared" si="59"/>
        <v>P0002132,16298919,0.001</v>
      </c>
    </row>
    <row r="1894" spans="1:7" x14ac:dyDescent="0.25">
      <c r="A1894" s="1" t="s">
        <v>1033</v>
      </c>
      <c r="B1894" s="1" t="s">
        <v>1034</v>
      </c>
      <c r="C1894" s="1" t="s">
        <v>418</v>
      </c>
      <c r="D1894" t="str">
        <f>IFERROR(VLOOKUP(A1894,depara!A:B,2,0),A1894)</f>
        <v>P0002132</v>
      </c>
      <c r="E1894">
        <f>VLOOKUP(B1894,'inumos depara'!$A:$B,2,0)</f>
        <v>16299150</v>
      </c>
      <c r="F1894" s="1" t="str">
        <f t="shared" si="58"/>
        <v>0.0025</v>
      </c>
      <c r="G1894" t="str">
        <f t="shared" si="59"/>
        <v>P0002132,16299150,0.0025</v>
      </c>
    </row>
    <row r="1895" spans="1:7" x14ac:dyDescent="0.25">
      <c r="A1895" s="1" t="s">
        <v>1033</v>
      </c>
      <c r="B1895" s="1" t="s">
        <v>1171</v>
      </c>
      <c r="C1895" s="1" t="s">
        <v>10</v>
      </c>
      <c r="D1895" t="str">
        <f>IFERROR(VLOOKUP(A1895,depara!A:B,2,0),A1895)</f>
        <v>P0002132</v>
      </c>
      <c r="E1895">
        <f>VLOOKUP(B1895,'inumos depara'!$A:$B,2,0)</f>
        <v>16298580</v>
      </c>
      <c r="F1895" s="1" t="str">
        <f t="shared" si="58"/>
        <v>0.001</v>
      </c>
      <c r="G1895" t="str">
        <f t="shared" si="59"/>
        <v>P0002132,16298580,0.001</v>
      </c>
    </row>
    <row r="1896" spans="1:7" x14ac:dyDescent="0.25">
      <c r="A1896" s="1" t="s">
        <v>1033</v>
      </c>
      <c r="B1896" s="1" t="s">
        <v>1356</v>
      </c>
      <c r="C1896" s="1" t="s">
        <v>6</v>
      </c>
      <c r="D1896" t="str">
        <f>IFERROR(VLOOKUP(A1896,depara!A:B,2,0),A1896)</f>
        <v>P0002132</v>
      </c>
      <c r="E1896">
        <f>VLOOKUP(B1896,'inumos depara'!$A:$B,2,0)</f>
        <v>16298743</v>
      </c>
      <c r="F1896" s="1" t="str">
        <f t="shared" si="58"/>
        <v>0.01</v>
      </c>
      <c r="G1896" t="str">
        <f t="shared" si="59"/>
        <v>P0002132,16298743,0.01</v>
      </c>
    </row>
    <row r="1897" spans="1:7" x14ac:dyDescent="0.25">
      <c r="A1897" s="1" t="s">
        <v>1033</v>
      </c>
      <c r="B1897" s="1" t="s">
        <v>1242</v>
      </c>
      <c r="C1897" s="1" t="s">
        <v>71</v>
      </c>
      <c r="D1897" t="str">
        <f>IFERROR(VLOOKUP(A1897,depara!A:B,2,0),A1897)</f>
        <v>P0002132</v>
      </c>
      <c r="E1897">
        <f>VLOOKUP(B1897,'inumos depara'!$A:$B,2,0)</f>
        <v>16298643</v>
      </c>
      <c r="F1897" s="1" t="str">
        <f t="shared" si="58"/>
        <v>0.04</v>
      </c>
      <c r="G1897" t="str">
        <f t="shared" si="59"/>
        <v>P0002132,16298643,0.04</v>
      </c>
    </row>
    <row r="1898" spans="1:7" x14ac:dyDescent="0.25">
      <c r="A1898" s="1" t="s">
        <v>1033</v>
      </c>
      <c r="B1898" s="1" t="s">
        <v>72</v>
      </c>
      <c r="C1898" s="1" t="s">
        <v>64</v>
      </c>
      <c r="D1898" t="str">
        <f>IFERROR(VLOOKUP(A1898,depara!A:B,2,0),A1898)</f>
        <v>P0002132</v>
      </c>
      <c r="E1898">
        <f>VLOOKUP(B1898,'inumos depara'!$A:$B,2,0)</f>
        <v>16298644</v>
      </c>
      <c r="F1898" s="1" t="str">
        <f t="shared" si="58"/>
        <v>0.02</v>
      </c>
      <c r="G1898" t="str">
        <f t="shared" si="59"/>
        <v>P0002132,16298644,0.02</v>
      </c>
    </row>
    <row r="1899" spans="1:7" x14ac:dyDescent="0.25">
      <c r="A1899" s="1" t="s">
        <v>1033</v>
      </c>
      <c r="B1899" s="1" t="s">
        <v>1254</v>
      </c>
      <c r="C1899" s="1" t="s">
        <v>71</v>
      </c>
      <c r="D1899" t="str">
        <f>IFERROR(VLOOKUP(A1899,depara!A:B,2,0),A1899)</f>
        <v>P0002132</v>
      </c>
      <c r="E1899">
        <f>VLOOKUP(B1899,'inumos depara'!$A:$B,2,0)</f>
        <v>16298659</v>
      </c>
      <c r="F1899" s="1" t="str">
        <f t="shared" si="58"/>
        <v>0.04</v>
      </c>
      <c r="G1899" t="str">
        <f t="shared" si="59"/>
        <v>P0002132,16298659,0.04</v>
      </c>
    </row>
    <row r="1900" spans="1:7" x14ac:dyDescent="0.25">
      <c r="A1900" s="1" t="s">
        <v>1033</v>
      </c>
      <c r="B1900" s="1" t="s">
        <v>1255</v>
      </c>
      <c r="C1900" s="1" t="s">
        <v>78</v>
      </c>
      <c r="D1900" t="str">
        <f>IFERROR(VLOOKUP(A1900,depara!A:B,2,0),A1900)</f>
        <v>P0002132</v>
      </c>
      <c r="E1900">
        <f>VLOOKUP(B1900,'inumos depara'!$A:$B,2,0)</f>
        <v>16298660</v>
      </c>
      <c r="F1900" s="1" t="str">
        <f t="shared" si="58"/>
        <v>0.14</v>
      </c>
      <c r="G1900" t="str">
        <f t="shared" si="59"/>
        <v>P0002132,16298660,0.14</v>
      </c>
    </row>
    <row r="1901" spans="1:7" x14ac:dyDescent="0.25">
      <c r="A1901" s="1" t="s">
        <v>1033</v>
      </c>
      <c r="B1901" s="1" t="s">
        <v>1244</v>
      </c>
      <c r="C1901" s="1" t="s">
        <v>68</v>
      </c>
      <c r="D1901" t="str">
        <f>IFERROR(VLOOKUP(A1901,depara!A:B,2,0),A1901)</f>
        <v>P0002132</v>
      </c>
      <c r="E1901">
        <f>VLOOKUP(B1901,'inumos depara'!$A:$B,2,0)</f>
        <v>16298646</v>
      </c>
      <c r="F1901" s="1" t="str">
        <f t="shared" si="58"/>
        <v>0.004</v>
      </c>
      <c r="G1901" t="str">
        <f t="shared" si="59"/>
        <v>P0002132,16298646,0.004</v>
      </c>
    </row>
    <row r="1902" spans="1:7" x14ac:dyDescent="0.25">
      <c r="A1902" s="1" t="s">
        <v>1033</v>
      </c>
      <c r="B1902" s="1" t="s">
        <v>1245</v>
      </c>
      <c r="C1902" s="1" t="s">
        <v>4</v>
      </c>
      <c r="D1902" t="str">
        <f>IFERROR(VLOOKUP(A1902,depara!A:B,2,0),A1902)</f>
        <v>P0002132</v>
      </c>
      <c r="E1902">
        <f>VLOOKUP(B1902,'inumos depara'!$A:$B,2,0)</f>
        <v>16298647</v>
      </c>
      <c r="F1902" s="1" t="str">
        <f t="shared" si="58"/>
        <v>0.005</v>
      </c>
      <c r="G1902" t="str">
        <f t="shared" si="59"/>
        <v>P0002132,16298647,0.005</v>
      </c>
    </row>
    <row r="1903" spans="1:7" x14ac:dyDescent="0.25">
      <c r="A1903" s="1" t="s">
        <v>1033</v>
      </c>
      <c r="B1903" s="1" t="s">
        <v>1246</v>
      </c>
      <c r="C1903" s="1" t="s">
        <v>64</v>
      </c>
      <c r="D1903" t="str">
        <f>IFERROR(VLOOKUP(A1903,depara!A:B,2,0),A1903)</f>
        <v>P0002132</v>
      </c>
      <c r="E1903">
        <f>VLOOKUP(B1903,'inumos depara'!$A:$B,2,0)</f>
        <v>16298648</v>
      </c>
      <c r="F1903" s="1" t="str">
        <f t="shared" si="58"/>
        <v>0.02</v>
      </c>
      <c r="G1903" t="str">
        <f t="shared" si="59"/>
        <v>P0002132,16298648,0.02</v>
      </c>
    </row>
    <row r="1904" spans="1:7" x14ac:dyDescent="0.25">
      <c r="A1904" s="1" t="s">
        <v>1033</v>
      </c>
      <c r="B1904" s="1" t="s">
        <v>1247</v>
      </c>
      <c r="C1904" s="1" t="s">
        <v>0</v>
      </c>
      <c r="D1904" t="str">
        <f>IFERROR(VLOOKUP(A1904,depara!A:B,2,0),A1904)</f>
        <v>P0002132</v>
      </c>
      <c r="E1904">
        <f>VLOOKUP(B1904,'inumos depara'!$A:$B,2,0)</f>
        <v>16298649</v>
      </c>
      <c r="F1904" s="1" t="str">
        <f t="shared" si="58"/>
        <v>0.05</v>
      </c>
      <c r="G1904" t="str">
        <f t="shared" si="59"/>
        <v>P0002132,16298649,0.05</v>
      </c>
    </row>
    <row r="1905" spans="1:7" x14ac:dyDescent="0.25">
      <c r="A1905" s="1" t="s">
        <v>1033</v>
      </c>
      <c r="B1905" s="1" t="s">
        <v>1248</v>
      </c>
      <c r="C1905" s="1" t="s">
        <v>0</v>
      </c>
      <c r="D1905" t="str">
        <f>IFERROR(VLOOKUP(A1905,depara!A:B,2,0),A1905)</f>
        <v>P0002132</v>
      </c>
      <c r="E1905">
        <f>VLOOKUP(B1905,'inumos depara'!$A:$B,2,0)</f>
        <v>16298650</v>
      </c>
      <c r="F1905" s="1" t="str">
        <f t="shared" si="58"/>
        <v>0.05</v>
      </c>
      <c r="G1905" t="str">
        <f t="shared" si="59"/>
        <v>P0002132,16298650,0.05</v>
      </c>
    </row>
    <row r="1906" spans="1:7" x14ac:dyDescent="0.25">
      <c r="A1906" s="1" t="s">
        <v>1033</v>
      </c>
      <c r="B1906" s="1" t="s">
        <v>1249</v>
      </c>
      <c r="C1906" s="1" t="s">
        <v>73</v>
      </c>
      <c r="D1906" t="str">
        <f>IFERROR(VLOOKUP(A1906,depara!A:B,2,0),A1906)</f>
        <v>P0002132</v>
      </c>
      <c r="E1906">
        <f>VLOOKUP(B1906,'inumos depara'!$A:$B,2,0)</f>
        <v>16298651</v>
      </c>
      <c r="F1906" s="1" t="str">
        <f t="shared" si="58"/>
        <v>0.08</v>
      </c>
      <c r="G1906" t="str">
        <f t="shared" si="59"/>
        <v>P0002132,16298651,0.08</v>
      </c>
    </row>
    <row r="1907" spans="1:7" x14ac:dyDescent="0.25">
      <c r="A1907" s="1" t="s">
        <v>1033</v>
      </c>
      <c r="B1907" s="1" t="s">
        <v>1563</v>
      </c>
      <c r="C1907" s="1" t="s">
        <v>0</v>
      </c>
      <c r="D1907" t="str">
        <f>IFERROR(VLOOKUP(A1907,depara!A:B,2,0),A1907)</f>
        <v>P0002132</v>
      </c>
      <c r="E1907">
        <f>VLOOKUP(B1907,'inumos depara'!$A:$B,2,0)</f>
        <v>16298927</v>
      </c>
      <c r="F1907" s="1" t="str">
        <f t="shared" si="58"/>
        <v>0.05</v>
      </c>
      <c r="G1907" t="str">
        <f t="shared" si="59"/>
        <v>P0002132,16298927,0.05</v>
      </c>
    </row>
    <row r="1908" spans="1:7" x14ac:dyDescent="0.25">
      <c r="A1908" s="1" t="s">
        <v>1033</v>
      </c>
      <c r="B1908" s="1" t="s">
        <v>1250</v>
      </c>
      <c r="C1908" s="1" t="s">
        <v>6</v>
      </c>
      <c r="D1908" t="str">
        <f>IFERROR(VLOOKUP(A1908,depara!A:B,2,0),A1908)</f>
        <v>P0002132</v>
      </c>
      <c r="E1908">
        <f>VLOOKUP(B1908,'inumos depara'!$A:$B,2,0)</f>
        <v>16298652</v>
      </c>
      <c r="F1908" s="1" t="str">
        <f t="shared" si="58"/>
        <v>0.01</v>
      </c>
      <c r="G1908" t="str">
        <f t="shared" si="59"/>
        <v>P0002132,16298652,0.01</v>
      </c>
    </row>
    <row r="1909" spans="1:7" x14ac:dyDescent="0.25">
      <c r="A1909" s="1" t="s">
        <v>1033</v>
      </c>
      <c r="B1909" s="1" t="s">
        <v>1035</v>
      </c>
      <c r="C1909" s="1" t="s">
        <v>6</v>
      </c>
      <c r="D1909" t="str">
        <f>IFERROR(VLOOKUP(A1909,depara!A:B,2,0),A1909)</f>
        <v>P0002132</v>
      </c>
      <c r="E1909">
        <f>VLOOKUP(B1909,'inumos depara'!$A:$B,2,0)</f>
        <v>16299151</v>
      </c>
      <c r="F1909" s="1" t="str">
        <f t="shared" si="58"/>
        <v>0.01</v>
      </c>
      <c r="G1909" t="str">
        <f t="shared" si="59"/>
        <v>P0002132,16299151,0.01</v>
      </c>
    </row>
    <row r="1910" spans="1:7" x14ac:dyDescent="0.25">
      <c r="A1910" s="1" t="s">
        <v>1033</v>
      </c>
      <c r="B1910" s="1" t="s">
        <v>1251</v>
      </c>
      <c r="C1910" s="1" t="s">
        <v>323</v>
      </c>
      <c r="D1910" t="str">
        <f>IFERROR(VLOOKUP(A1910,depara!A:B,2,0),A1910)</f>
        <v>P0002132</v>
      </c>
      <c r="E1910">
        <f>VLOOKUP(B1910,'inumos depara'!$A:$B,2,0)</f>
        <v>16298653</v>
      </c>
      <c r="F1910" s="1" t="str">
        <f t="shared" si="58"/>
        <v>0.0018</v>
      </c>
      <c r="G1910" t="str">
        <f t="shared" si="59"/>
        <v>P0002132,16298653,0.0018</v>
      </c>
    </row>
    <row r="1911" spans="1:7" x14ac:dyDescent="0.25">
      <c r="A1911" s="1" t="s">
        <v>1033</v>
      </c>
      <c r="B1911" s="1" t="s">
        <v>1036</v>
      </c>
      <c r="C1911" s="1" t="s">
        <v>6</v>
      </c>
      <c r="D1911" t="str">
        <f>IFERROR(VLOOKUP(A1911,depara!A:B,2,0),A1911)</f>
        <v>P0002132</v>
      </c>
      <c r="E1911">
        <f>VLOOKUP(B1911,'inumos depara'!$A:$B,2,0)</f>
        <v>16299152</v>
      </c>
      <c r="F1911" s="1" t="str">
        <f t="shared" si="58"/>
        <v>0.01</v>
      </c>
      <c r="G1911" t="str">
        <f t="shared" si="59"/>
        <v>P0002132,16299152,0.01</v>
      </c>
    </row>
    <row r="1912" spans="1:7" x14ac:dyDescent="0.25">
      <c r="A1912" s="1" t="s">
        <v>1033</v>
      </c>
      <c r="B1912" s="1" t="s">
        <v>1252</v>
      </c>
      <c r="C1912" s="1" t="s">
        <v>5</v>
      </c>
      <c r="D1912" t="str">
        <f>IFERROR(VLOOKUP(A1912,depara!A:B,2,0),A1912)</f>
        <v>P0002132</v>
      </c>
      <c r="E1912">
        <f>VLOOKUP(B1912,'inumos depara'!$A:$B,2,0)</f>
        <v>16298656</v>
      </c>
      <c r="F1912" s="1" t="str">
        <f t="shared" si="58"/>
        <v>0.002</v>
      </c>
      <c r="G1912" t="str">
        <f t="shared" si="59"/>
        <v>P0002132,16298656,0.002</v>
      </c>
    </row>
    <row r="1913" spans="1:7" x14ac:dyDescent="0.25">
      <c r="A1913" s="1" t="s">
        <v>1033</v>
      </c>
      <c r="B1913" s="1" t="s">
        <v>75</v>
      </c>
      <c r="C1913" s="1" t="s">
        <v>10</v>
      </c>
      <c r="D1913" t="str">
        <f>IFERROR(VLOOKUP(A1913,depara!A:B,2,0),A1913)</f>
        <v>P0002132</v>
      </c>
      <c r="E1913">
        <f>VLOOKUP(B1913,'inumos depara'!$A:$B,2,0)</f>
        <v>16298655</v>
      </c>
      <c r="F1913" s="1" t="str">
        <f t="shared" si="58"/>
        <v>0.001</v>
      </c>
      <c r="G1913" t="str">
        <f t="shared" si="59"/>
        <v>P0002132,16298655,0.001</v>
      </c>
    </row>
    <row r="1914" spans="1:7" x14ac:dyDescent="0.25">
      <c r="A1914" s="1" t="s">
        <v>1033</v>
      </c>
      <c r="B1914" s="1" t="s">
        <v>1176</v>
      </c>
      <c r="C1914" s="1" t="s">
        <v>10</v>
      </c>
      <c r="D1914" t="str">
        <f>IFERROR(VLOOKUP(A1914,depara!A:B,2,0),A1914)</f>
        <v>P0002132</v>
      </c>
      <c r="E1914">
        <f>VLOOKUP(B1914,'inumos depara'!$A:$B,2,0)</f>
        <v>16298585</v>
      </c>
      <c r="F1914" s="1" t="str">
        <f t="shared" si="58"/>
        <v>0.001</v>
      </c>
      <c r="G1914" t="str">
        <f t="shared" si="59"/>
        <v>P0002132,16298585,0.001</v>
      </c>
    </row>
    <row r="1915" spans="1:7" x14ac:dyDescent="0.25">
      <c r="A1915" s="1" t="s">
        <v>1033</v>
      </c>
      <c r="B1915" s="1" t="s">
        <v>77</v>
      </c>
      <c r="C1915" s="1" t="s">
        <v>0</v>
      </c>
      <c r="D1915" t="str">
        <f>IFERROR(VLOOKUP(A1915,depara!A:B,2,0),A1915)</f>
        <v>P0002132</v>
      </c>
      <c r="E1915">
        <f>VLOOKUP(B1915,'inumos depara'!$A:$B,2,0)</f>
        <v>16298658</v>
      </c>
      <c r="F1915" s="1" t="str">
        <f t="shared" si="58"/>
        <v>0.05</v>
      </c>
      <c r="G1915" t="str">
        <f t="shared" si="59"/>
        <v>P0002132,16298658,0.05</v>
      </c>
    </row>
    <row r="1916" spans="1:7" x14ac:dyDescent="0.25">
      <c r="A1916" s="1" t="s">
        <v>1033</v>
      </c>
      <c r="B1916" s="1" t="s">
        <v>1253</v>
      </c>
      <c r="C1916" s="1" t="s">
        <v>76</v>
      </c>
      <c r="D1916" t="str">
        <f>IFERROR(VLOOKUP(A1916,depara!A:B,2,0),A1916)</f>
        <v>P0002132</v>
      </c>
      <c r="E1916">
        <f>VLOOKUP(B1916,'inumos depara'!$A:$B,2,0)</f>
        <v>16298657</v>
      </c>
      <c r="F1916" s="1" t="str">
        <f t="shared" si="58"/>
        <v>0.03</v>
      </c>
      <c r="G1916" t="str">
        <f t="shared" si="59"/>
        <v>P0002132,16298657,0.03</v>
      </c>
    </row>
    <row r="1917" spans="1:7" x14ac:dyDescent="0.25">
      <c r="A1917" s="1" t="s">
        <v>1033</v>
      </c>
      <c r="B1917" s="1" t="s">
        <v>1037</v>
      </c>
      <c r="C1917" s="1" t="s">
        <v>68</v>
      </c>
      <c r="D1917" t="str">
        <f>IFERROR(VLOOKUP(A1917,depara!A:B,2,0),A1917)</f>
        <v>P0002132</v>
      </c>
      <c r="E1917">
        <f>VLOOKUP(B1917,'inumos depara'!$A:$B,2,0)</f>
        <v>16299153</v>
      </c>
      <c r="F1917" s="1" t="str">
        <f t="shared" si="58"/>
        <v>0.004</v>
      </c>
      <c r="G1917" t="str">
        <f t="shared" si="59"/>
        <v>P0002132,16299153,0.004</v>
      </c>
    </row>
    <row r="1918" spans="1:7" x14ac:dyDescent="0.25">
      <c r="A1918" s="1" t="s">
        <v>1033</v>
      </c>
      <c r="B1918" s="1" t="s">
        <v>1038</v>
      </c>
      <c r="C1918" s="1" t="s">
        <v>0</v>
      </c>
      <c r="D1918" t="str">
        <f>IFERROR(VLOOKUP(A1918,depara!A:B,2,0),A1918)</f>
        <v>P0002132</v>
      </c>
      <c r="E1918">
        <f>VLOOKUP(B1918,'inumos depara'!$A:$B,2,0)</f>
        <v>16299154</v>
      </c>
      <c r="F1918" s="1" t="str">
        <f t="shared" si="58"/>
        <v>0.05</v>
      </c>
      <c r="G1918" t="str">
        <f t="shared" si="59"/>
        <v>P0002132,16299154,0.05</v>
      </c>
    </row>
    <row r="1919" spans="1:7" x14ac:dyDescent="0.25">
      <c r="A1919" s="1" t="s">
        <v>1040</v>
      </c>
      <c r="B1919" s="1" t="s">
        <v>1556</v>
      </c>
      <c r="C1919" s="1" t="s">
        <v>5</v>
      </c>
      <c r="D1919" t="str">
        <f>IFERROR(VLOOKUP(A1919,depara!A:B,2,0),A1919)</f>
        <v>P0002133</v>
      </c>
      <c r="E1919">
        <f>VLOOKUP(B1919,'inumos depara'!$A:$B,2,0)</f>
        <v>16298919</v>
      </c>
      <c r="F1919" s="1" t="str">
        <f t="shared" si="58"/>
        <v>0.002</v>
      </c>
      <c r="G1919" t="str">
        <f t="shared" si="59"/>
        <v>P0002133,16298919,0.002</v>
      </c>
    </row>
    <row r="1920" spans="1:7" x14ac:dyDescent="0.25">
      <c r="A1920" s="1" t="s">
        <v>1040</v>
      </c>
      <c r="B1920" s="1" t="s">
        <v>1041</v>
      </c>
      <c r="C1920" s="1" t="s">
        <v>10</v>
      </c>
      <c r="D1920" t="str">
        <f>IFERROR(VLOOKUP(A1920,depara!A:B,2,0),A1920)</f>
        <v>P0002133</v>
      </c>
      <c r="E1920">
        <f>VLOOKUP(B1920,'inumos depara'!$A:$B,2,0)</f>
        <v>16299156</v>
      </c>
      <c r="F1920" s="1" t="str">
        <f t="shared" si="58"/>
        <v>0.001</v>
      </c>
      <c r="G1920" t="str">
        <f t="shared" si="59"/>
        <v>P0002133,16299156,0.001</v>
      </c>
    </row>
    <row r="1921" spans="1:7" x14ac:dyDescent="0.25">
      <c r="A1921" s="1" t="s">
        <v>1040</v>
      </c>
      <c r="B1921" s="1" t="s">
        <v>1242</v>
      </c>
      <c r="C1921" s="1" t="s">
        <v>71</v>
      </c>
      <c r="D1921" t="str">
        <f>IFERROR(VLOOKUP(A1921,depara!A:B,2,0),A1921)</f>
        <v>P0002133</v>
      </c>
      <c r="E1921">
        <f>VLOOKUP(B1921,'inumos depara'!$A:$B,2,0)</f>
        <v>16298643</v>
      </c>
      <c r="F1921" s="1" t="str">
        <f t="shared" si="58"/>
        <v>0.04</v>
      </c>
      <c r="G1921" t="str">
        <f t="shared" si="59"/>
        <v>P0002133,16298643,0.04</v>
      </c>
    </row>
    <row r="1922" spans="1:7" x14ac:dyDescent="0.25">
      <c r="A1922" s="1" t="s">
        <v>1040</v>
      </c>
      <c r="B1922" s="1" t="s">
        <v>72</v>
      </c>
      <c r="C1922" s="1" t="s">
        <v>64</v>
      </c>
      <c r="D1922" t="str">
        <f>IFERROR(VLOOKUP(A1922,depara!A:B,2,0),A1922)</f>
        <v>P0002133</v>
      </c>
      <c r="E1922">
        <f>VLOOKUP(B1922,'inumos depara'!$A:$B,2,0)</f>
        <v>16298644</v>
      </c>
      <c r="F1922" s="1" t="str">
        <f t="shared" ref="F1922:F1985" si="60">C1922</f>
        <v>0.02</v>
      </c>
      <c r="G1922" t="str">
        <f t="shared" ref="G1922:G1985" si="61">D1922&amp;","&amp;E1922&amp;","&amp;F1922</f>
        <v>P0002133,16298644,0.02</v>
      </c>
    </row>
    <row r="1923" spans="1:7" x14ac:dyDescent="0.25">
      <c r="A1923" s="1" t="s">
        <v>1040</v>
      </c>
      <c r="B1923" s="1" t="s">
        <v>1254</v>
      </c>
      <c r="C1923" s="1" t="s">
        <v>71</v>
      </c>
      <c r="D1923" t="str">
        <f>IFERROR(VLOOKUP(A1923,depara!A:B,2,0),A1923)</f>
        <v>P0002133</v>
      </c>
      <c r="E1923">
        <f>VLOOKUP(B1923,'inumos depara'!$A:$B,2,0)</f>
        <v>16298659</v>
      </c>
      <c r="F1923" s="1" t="str">
        <f t="shared" si="60"/>
        <v>0.04</v>
      </c>
      <c r="G1923" t="str">
        <f t="shared" si="61"/>
        <v>P0002133,16298659,0.04</v>
      </c>
    </row>
    <row r="1924" spans="1:7" x14ac:dyDescent="0.25">
      <c r="A1924" s="1" t="s">
        <v>1040</v>
      </c>
      <c r="B1924" s="1" t="s">
        <v>1255</v>
      </c>
      <c r="C1924" s="1" t="s">
        <v>78</v>
      </c>
      <c r="D1924" t="str">
        <f>IFERROR(VLOOKUP(A1924,depara!A:B,2,0),A1924)</f>
        <v>P0002133</v>
      </c>
      <c r="E1924">
        <f>VLOOKUP(B1924,'inumos depara'!$A:$B,2,0)</f>
        <v>16298660</v>
      </c>
      <c r="F1924" s="1" t="str">
        <f t="shared" si="60"/>
        <v>0.14</v>
      </c>
      <c r="G1924" t="str">
        <f t="shared" si="61"/>
        <v>P0002133,16298660,0.14</v>
      </c>
    </row>
    <row r="1925" spans="1:7" x14ac:dyDescent="0.25">
      <c r="A1925" s="1" t="s">
        <v>1040</v>
      </c>
      <c r="B1925" s="1" t="s">
        <v>1243</v>
      </c>
      <c r="C1925" s="1" t="s">
        <v>4</v>
      </c>
      <c r="D1925" t="str">
        <f>IFERROR(VLOOKUP(A1925,depara!A:B,2,0),A1925)</f>
        <v>P0002133</v>
      </c>
      <c r="E1925">
        <f>VLOOKUP(B1925,'inumos depara'!$A:$B,2,0)</f>
        <v>16298645</v>
      </c>
      <c r="F1925" s="1" t="str">
        <f t="shared" si="60"/>
        <v>0.005</v>
      </c>
      <c r="G1925" t="str">
        <f t="shared" si="61"/>
        <v>P0002133,16298645,0.005</v>
      </c>
    </row>
    <row r="1926" spans="1:7" x14ac:dyDescent="0.25">
      <c r="A1926" s="1" t="s">
        <v>1040</v>
      </c>
      <c r="B1926" s="1" t="s">
        <v>1244</v>
      </c>
      <c r="C1926" s="1" t="s">
        <v>68</v>
      </c>
      <c r="D1926" t="str">
        <f>IFERROR(VLOOKUP(A1926,depara!A:B,2,0),A1926)</f>
        <v>P0002133</v>
      </c>
      <c r="E1926">
        <f>VLOOKUP(B1926,'inumos depara'!$A:$B,2,0)</f>
        <v>16298646</v>
      </c>
      <c r="F1926" s="1" t="str">
        <f t="shared" si="60"/>
        <v>0.004</v>
      </c>
      <c r="G1926" t="str">
        <f t="shared" si="61"/>
        <v>P0002133,16298646,0.004</v>
      </c>
    </row>
    <row r="1927" spans="1:7" x14ac:dyDescent="0.25">
      <c r="A1927" s="1" t="s">
        <v>1040</v>
      </c>
      <c r="B1927" s="1" t="s">
        <v>1245</v>
      </c>
      <c r="C1927" s="1" t="s">
        <v>64</v>
      </c>
      <c r="D1927" t="str">
        <f>IFERROR(VLOOKUP(A1927,depara!A:B,2,0),A1927)</f>
        <v>P0002133</v>
      </c>
      <c r="E1927">
        <f>VLOOKUP(B1927,'inumos depara'!$A:$B,2,0)</f>
        <v>16298647</v>
      </c>
      <c r="F1927" s="1" t="str">
        <f t="shared" si="60"/>
        <v>0.02</v>
      </c>
      <c r="G1927" t="str">
        <f t="shared" si="61"/>
        <v>P0002133,16298647,0.02</v>
      </c>
    </row>
    <row r="1928" spans="1:7" x14ac:dyDescent="0.25">
      <c r="A1928" s="1" t="s">
        <v>1040</v>
      </c>
      <c r="B1928" s="1" t="s">
        <v>1246</v>
      </c>
      <c r="C1928" s="1" t="s">
        <v>6</v>
      </c>
      <c r="D1928" t="str">
        <f>IFERROR(VLOOKUP(A1928,depara!A:B,2,0),A1928)</f>
        <v>P0002133</v>
      </c>
      <c r="E1928">
        <f>VLOOKUP(B1928,'inumos depara'!$A:$B,2,0)</f>
        <v>16298648</v>
      </c>
      <c r="F1928" s="1" t="str">
        <f t="shared" si="60"/>
        <v>0.01</v>
      </c>
      <c r="G1928" t="str">
        <f t="shared" si="61"/>
        <v>P0002133,16298648,0.01</v>
      </c>
    </row>
    <row r="1929" spans="1:7" x14ac:dyDescent="0.25">
      <c r="A1929" s="1" t="s">
        <v>1040</v>
      </c>
      <c r="B1929" s="1" t="s">
        <v>1247</v>
      </c>
      <c r="C1929" s="1" t="s">
        <v>73</v>
      </c>
      <c r="D1929" t="str">
        <f>IFERROR(VLOOKUP(A1929,depara!A:B,2,0),A1929)</f>
        <v>P0002133</v>
      </c>
      <c r="E1929">
        <f>VLOOKUP(B1929,'inumos depara'!$A:$B,2,0)</f>
        <v>16298649</v>
      </c>
      <c r="F1929" s="1" t="str">
        <f t="shared" si="60"/>
        <v>0.08</v>
      </c>
      <c r="G1929" t="str">
        <f t="shared" si="61"/>
        <v>P0002133,16298649,0.08</v>
      </c>
    </row>
    <row r="1930" spans="1:7" x14ac:dyDescent="0.25">
      <c r="A1930" s="1" t="s">
        <v>1040</v>
      </c>
      <c r="B1930" s="1" t="s">
        <v>1248</v>
      </c>
      <c r="C1930" s="1" t="s">
        <v>8</v>
      </c>
      <c r="D1930" t="str">
        <f>IFERROR(VLOOKUP(A1930,depara!A:B,2,0),A1930)</f>
        <v>P0002133</v>
      </c>
      <c r="E1930">
        <f>VLOOKUP(B1930,'inumos depara'!$A:$B,2,0)</f>
        <v>16298650</v>
      </c>
      <c r="F1930" s="1" t="str">
        <f t="shared" si="60"/>
        <v>0.06</v>
      </c>
      <c r="G1930" t="str">
        <f t="shared" si="61"/>
        <v>P0002133,16298650,0.06</v>
      </c>
    </row>
    <row r="1931" spans="1:7" x14ac:dyDescent="0.25">
      <c r="A1931" s="1" t="s">
        <v>1040</v>
      </c>
      <c r="B1931" s="1" t="s">
        <v>1249</v>
      </c>
      <c r="C1931" s="1" t="s">
        <v>9</v>
      </c>
      <c r="D1931" t="str">
        <f>IFERROR(VLOOKUP(A1931,depara!A:B,2,0),A1931)</f>
        <v>P0002133</v>
      </c>
      <c r="E1931">
        <f>VLOOKUP(B1931,'inumos depara'!$A:$B,2,0)</f>
        <v>16298651</v>
      </c>
      <c r="F1931" s="1" t="str">
        <f t="shared" si="60"/>
        <v>0.09</v>
      </c>
      <c r="G1931" t="str">
        <f t="shared" si="61"/>
        <v>P0002133,16298651,0.09</v>
      </c>
    </row>
    <row r="1932" spans="1:7" x14ac:dyDescent="0.25">
      <c r="A1932" s="1" t="s">
        <v>1040</v>
      </c>
      <c r="B1932" s="1" t="s">
        <v>1250</v>
      </c>
      <c r="C1932" s="1" t="s">
        <v>64</v>
      </c>
      <c r="D1932" t="str">
        <f>IFERROR(VLOOKUP(A1932,depara!A:B,2,0),A1932)</f>
        <v>P0002133</v>
      </c>
      <c r="E1932">
        <f>VLOOKUP(B1932,'inumos depara'!$A:$B,2,0)</f>
        <v>16298652</v>
      </c>
      <c r="F1932" s="1" t="str">
        <f t="shared" si="60"/>
        <v>0.02</v>
      </c>
      <c r="G1932" t="str">
        <f t="shared" si="61"/>
        <v>P0002133,16298652,0.02</v>
      </c>
    </row>
    <row r="1933" spans="1:7" x14ac:dyDescent="0.25">
      <c r="A1933" s="1" t="s">
        <v>1040</v>
      </c>
      <c r="B1933" s="1" t="s">
        <v>1251</v>
      </c>
      <c r="C1933" s="1" t="s">
        <v>323</v>
      </c>
      <c r="D1933" t="str">
        <f>IFERROR(VLOOKUP(A1933,depara!A:B,2,0),A1933)</f>
        <v>P0002133</v>
      </c>
      <c r="E1933">
        <f>VLOOKUP(B1933,'inumos depara'!$A:$B,2,0)</f>
        <v>16298653</v>
      </c>
      <c r="F1933" s="1" t="str">
        <f t="shared" si="60"/>
        <v>0.0018</v>
      </c>
      <c r="G1933" t="str">
        <f t="shared" si="61"/>
        <v>P0002133,16298653,0.0018</v>
      </c>
    </row>
    <row r="1934" spans="1:7" x14ac:dyDescent="0.25">
      <c r="A1934" s="1" t="s">
        <v>1040</v>
      </c>
      <c r="B1934" s="1" t="s">
        <v>74</v>
      </c>
      <c r="C1934" s="1" t="s">
        <v>1</v>
      </c>
      <c r="D1934" t="str">
        <f>IFERROR(VLOOKUP(A1934,depara!A:B,2,0),A1934)</f>
        <v>P0002133</v>
      </c>
      <c r="E1934">
        <f>VLOOKUP(B1934,'inumos depara'!$A:$B,2,0)</f>
        <v>16298654</v>
      </c>
      <c r="F1934" s="1" t="str">
        <f t="shared" si="60"/>
        <v>0.003</v>
      </c>
      <c r="G1934" t="str">
        <f t="shared" si="61"/>
        <v>P0002133,16298654,0.003</v>
      </c>
    </row>
    <row r="1935" spans="1:7" x14ac:dyDescent="0.25">
      <c r="A1935" s="1" t="s">
        <v>1040</v>
      </c>
      <c r="B1935" s="1" t="s">
        <v>75</v>
      </c>
      <c r="C1935" s="1" t="s">
        <v>10</v>
      </c>
      <c r="D1935" t="str">
        <f>IFERROR(VLOOKUP(A1935,depara!A:B,2,0),A1935)</f>
        <v>P0002133</v>
      </c>
      <c r="E1935">
        <f>VLOOKUP(B1935,'inumos depara'!$A:$B,2,0)</f>
        <v>16298655</v>
      </c>
      <c r="F1935" s="1" t="str">
        <f t="shared" si="60"/>
        <v>0.001</v>
      </c>
      <c r="G1935" t="str">
        <f t="shared" si="61"/>
        <v>P0002133,16298655,0.001</v>
      </c>
    </row>
    <row r="1936" spans="1:7" x14ac:dyDescent="0.25">
      <c r="A1936" s="1" t="s">
        <v>1040</v>
      </c>
      <c r="B1936" s="1" t="s">
        <v>1252</v>
      </c>
      <c r="C1936" s="1" t="s">
        <v>5</v>
      </c>
      <c r="D1936" t="str">
        <f>IFERROR(VLOOKUP(A1936,depara!A:B,2,0),A1936)</f>
        <v>P0002133</v>
      </c>
      <c r="E1936">
        <f>VLOOKUP(B1936,'inumos depara'!$A:$B,2,0)</f>
        <v>16298656</v>
      </c>
      <c r="F1936" s="1" t="str">
        <f t="shared" si="60"/>
        <v>0.002</v>
      </c>
      <c r="G1936" t="str">
        <f t="shared" si="61"/>
        <v>P0002133,16298656,0.002</v>
      </c>
    </row>
    <row r="1937" spans="1:7" x14ac:dyDescent="0.25">
      <c r="A1937" s="1" t="s">
        <v>1040</v>
      </c>
      <c r="B1937" s="1" t="s">
        <v>1176</v>
      </c>
      <c r="C1937" s="1" t="s">
        <v>10</v>
      </c>
      <c r="D1937" t="str">
        <f>IFERROR(VLOOKUP(A1937,depara!A:B,2,0),A1937)</f>
        <v>P0002133</v>
      </c>
      <c r="E1937">
        <f>VLOOKUP(B1937,'inumos depara'!$A:$B,2,0)</f>
        <v>16298585</v>
      </c>
      <c r="F1937" s="1" t="str">
        <f t="shared" si="60"/>
        <v>0.001</v>
      </c>
      <c r="G1937" t="str">
        <f t="shared" si="61"/>
        <v>P0002133,16298585,0.001</v>
      </c>
    </row>
    <row r="1938" spans="1:7" x14ac:dyDescent="0.25">
      <c r="A1938" s="1" t="s">
        <v>1040</v>
      </c>
      <c r="B1938" s="1" t="s">
        <v>77</v>
      </c>
      <c r="C1938" s="1" t="s">
        <v>0</v>
      </c>
      <c r="D1938" t="str">
        <f>IFERROR(VLOOKUP(A1938,depara!A:B,2,0),A1938)</f>
        <v>P0002133</v>
      </c>
      <c r="E1938">
        <f>VLOOKUP(B1938,'inumos depara'!$A:$B,2,0)</f>
        <v>16298658</v>
      </c>
      <c r="F1938" s="1" t="str">
        <f t="shared" si="60"/>
        <v>0.05</v>
      </c>
      <c r="G1938" t="str">
        <f t="shared" si="61"/>
        <v>P0002133,16298658,0.05</v>
      </c>
    </row>
    <row r="1939" spans="1:7" x14ac:dyDescent="0.25">
      <c r="A1939" s="1" t="s">
        <v>1040</v>
      </c>
      <c r="B1939" s="1" t="s">
        <v>1253</v>
      </c>
      <c r="C1939" s="1" t="s">
        <v>76</v>
      </c>
      <c r="D1939" t="str">
        <f>IFERROR(VLOOKUP(A1939,depara!A:B,2,0),A1939)</f>
        <v>P0002133</v>
      </c>
      <c r="E1939">
        <f>VLOOKUP(B1939,'inumos depara'!$A:$B,2,0)</f>
        <v>16298657</v>
      </c>
      <c r="F1939" s="1" t="str">
        <f t="shared" si="60"/>
        <v>0.03</v>
      </c>
      <c r="G1939" t="str">
        <f t="shared" si="61"/>
        <v>P0002133,16298657,0.03</v>
      </c>
    </row>
    <row r="1940" spans="1:7" x14ac:dyDescent="0.25">
      <c r="A1940" s="1" t="s">
        <v>1040</v>
      </c>
      <c r="B1940" s="1" t="s">
        <v>1146</v>
      </c>
      <c r="C1940" s="1" t="s">
        <v>82</v>
      </c>
      <c r="D1940" t="str">
        <f>IFERROR(VLOOKUP(A1940,depara!A:B,2,0),A1940)</f>
        <v>P0002133</v>
      </c>
      <c r="E1940">
        <f>VLOOKUP(B1940,'inumos depara'!$A:$B,2,0)</f>
        <v>16298558</v>
      </c>
      <c r="F1940" s="1" t="str">
        <f t="shared" si="60"/>
        <v>0.0005</v>
      </c>
      <c r="G1940" t="str">
        <f t="shared" si="61"/>
        <v>P0002133,16298558,0.0005</v>
      </c>
    </row>
    <row r="1941" spans="1:7" x14ac:dyDescent="0.25">
      <c r="A1941" s="1" t="s">
        <v>1040</v>
      </c>
      <c r="B1941" s="1" t="s">
        <v>1256</v>
      </c>
      <c r="C1941" s="1" t="s">
        <v>71</v>
      </c>
      <c r="D1941" t="str">
        <f>IFERROR(VLOOKUP(A1941,depara!A:B,2,0),A1941)</f>
        <v>P0002133</v>
      </c>
      <c r="E1941">
        <f>VLOOKUP(B1941,'inumos depara'!$A:$B,2,0)</f>
        <v>16298662</v>
      </c>
      <c r="F1941" s="1" t="str">
        <f t="shared" si="60"/>
        <v>0.04</v>
      </c>
      <c r="G1941" t="str">
        <f t="shared" si="61"/>
        <v>P0002133,16298662,0.04</v>
      </c>
    </row>
    <row r="1942" spans="1:7" x14ac:dyDescent="0.25">
      <c r="A1942" s="1" t="s">
        <v>1040</v>
      </c>
      <c r="B1942" s="1" t="s">
        <v>1038</v>
      </c>
      <c r="C1942" s="1" t="s">
        <v>0</v>
      </c>
      <c r="D1942" t="str">
        <f>IFERROR(VLOOKUP(A1942,depara!A:B,2,0),A1942)</f>
        <v>P0002133</v>
      </c>
      <c r="E1942">
        <f>VLOOKUP(B1942,'inumos depara'!$A:$B,2,0)</f>
        <v>16299154</v>
      </c>
      <c r="F1942" s="1" t="str">
        <f t="shared" si="60"/>
        <v>0.05</v>
      </c>
      <c r="G1942" t="str">
        <f t="shared" si="61"/>
        <v>P0002133,16299154,0.05</v>
      </c>
    </row>
    <row r="1943" spans="1:7" x14ac:dyDescent="0.25">
      <c r="A1943" s="1" t="s">
        <v>1040</v>
      </c>
      <c r="B1943" s="1" t="s">
        <v>1042</v>
      </c>
      <c r="C1943" s="1" t="s">
        <v>1150</v>
      </c>
      <c r="D1943" t="str">
        <f>IFERROR(VLOOKUP(A1943,depara!A:B,2,0),A1943)</f>
        <v>P0002133</v>
      </c>
      <c r="E1943">
        <f>VLOOKUP(B1943,'inumos depara'!$A:$B,2,0)</f>
        <v>16299157</v>
      </c>
      <c r="F1943" s="1" t="str">
        <f t="shared" si="60"/>
        <v>1</v>
      </c>
      <c r="G1943" t="str">
        <f t="shared" si="61"/>
        <v>P0002133,16299157,1</v>
      </c>
    </row>
    <row r="1944" spans="1:7" x14ac:dyDescent="0.25">
      <c r="A1944" s="1" t="s">
        <v>1040</v>
      </c>
      <c r="B1944" s="1" t="s">
        <v>1556</v>
      </c>
      <c r="C1944" s="1" t="s">
        <v>5</v>
      </c>
      <c r="D1944" t="str">
        <f>IFERROR(VLOOKUP(A1944,depara!A:B,2,0),A1944)</f>
        <v>P0002133</v>
      </c>
      <c r="E1944">
        <f>VLOOKUP(B1944,'inumos depara'!$A:$B,2,0)</f>
        <v>16298919</v>
      </c>
      <c r="F1944" s="1" t="str">
        <f t="shared" si="60"/>
        <v>0.002</v>
      </c>
      <c r="G1944" t="str">
        <f t="shared" si="61"/>
        <v>P0002133,16298919,0.002</v>
      </c>
    </row>
    <row r="1945" spans="1:7" x14ac:dyDescent="0.25">
      <c r="A1945" s="1" t="s">
        <v>1040</v>
      </c>
      <c r="B1945" s="1" t="s">
        <v>1041</v>
      </c>
      <c r="C1945" s="1" t="s">
        <v>10</v>
      </c>
      <c r="D1945" t="str">
        <f>IFERROR(VLOOKUP(A1945,depara!A:B,2,0),A1945)</f>
        <v>P0002133</v>
      </c>
      <c r="E1945">
        <f>VLOOKUP(B1945,'inumos depara'!$A:$B,2,0)</f>
        <v>16299156</v>
      </c>
      <c r="F1945" s="1" t="str">
        <f t="shared" si="60"/>
        <v>0.001</v>
      </c>
      <c r="G1945" t="str">
        <f t="shared" si="61"/>
        <v>P0002133,16299156,0.001</v>
      </c>
    </row>
    <row r="1946" spans="1:7" x14ac:dyDescent="0.25">
      <c r="A1946" s="1" t="s">
        <v>1040</v>
      </c>
      <c r="B1946" s="1" t="s">
        <v>1242</v>
      </c>
      <c r="C1946" s="1" t="s">
        <v>71</v>
      </c>
      <c r="D1946" t="str">
        <f>IFERROR(VLOOKUP(A1946,depara!A:B,2,0),A1946)</f>
        <v>P0002133</v>
      </c>
      <c r="E1946">
        <f>VLOOKUP(B1946,'inumos depara'!$A:$B,2,0)</f>
        <v>16298643</v>
      </c>
      <c r="F1946" s="1" t="str">
        <f t="shared" si="60"/>
        <v>0.04</v>
      </c>
      <c r="G1946" t="str">
        <f t="shared" si="61"/>
        <v>P0002133,16298643,0.04</v>
      </c>
    </row>
    <row r="1947" spans="1:7" x14ac:dyDescent="0.25">
      <c r="A1947" s="1" t="s">
        <v>1040</v>
      </c>
      <c r="B1947" s="1" t="s">
        <v>72</v>
      </c>
      <c r="C1947" s="1" t="s">
        <v>64</v>
      </c>
      <c r="D1947" t="str">
        <f>IFERROR(VLOOKUP(A1947,depara!A:B,2,0),A1947)</f>
        <v>P0002133</v>
      </c>
      <c r="E1947">
        <f>VLOOKUP(B1947,'inumos depara'!$A:$B,2,0)</f>
        <v>16298644</v>
      </c>
      <c r="F1947" s="1" t="str">
        <f t="shared" si="60"/>
        <v>0.02</v>
      </c>
      <c r="G1947" t="str">
        <f t="shared" si="61"/>
        <v>P0002133,16298644,0.02</v>
      </c>
    </row>
    <row r="1948" spans="1:7" x14ac:dyDescent="0.25">
      <c r="A1948" s="1" t="s">
        <v>1040</v>
      </c>
      <c r="B1948" s="1" t="s">
        <v>1254</v>
      </c>
      <c r="C1948" s="1" t="s">
        <v>71</v>
      </c>
      <c r="D1948" t="str">
        <f>IFERROR(VLOOKUP(A1948,depara!A:B,2,0),A1948)</f>
        <v>P0002133</v>
      </c>
      <c r="E1948">
        <f>VLOOKUP(B1948,'inumos depara'!$A:$B,2,0)</f>
        <v>16298659</v>
      </c>
      <c r="F1948" s="1" t="str">
        <f t="shared" si="60"/>
        <v>0.04</v>
      </c>
      <c r="G1948" t="str">
        <f t="shared" si="61"/>
        <v>P0002133,16298659,0.04</v>
      </c>
    </row>
    <row r="1949" spans="1:7" x14ac:dyDescent="0.25">
      <c r="A1949" s="1" t="s">
        <v>1040</v>
      </c>
      <c r="B1949" s="1" t="s">
        <v>1255</v>
      </c>
      <c r="C1949" s="1" t="s">
        <v>78</v>
      </c>
      <c r="D1949" t="str">
        <f>IFERROR(VLOOKUP(A1949,depara!A:B,2,0),A1949)</f>
        <v>P0002133</v>
      </c>
      <c r="E1949">
        <f>VLOOKUP(B1949,'inumos depara'!$A:$B,2,0)</f>
        <v>16298660</v>
      </c>
      <c r="F1949" s="1" t="str">
        <f t="shared" si="60"/>
        <v>0.14</v>
      </c>
      <c r="G1949" t="str">
        <f t="shared" si="61"/>
        <v>P0002133,16298660,0.14</v>
      </c>
    </row>
    <row r="1950" spans="1:7" x14ac:dyDescent="0.25">
      <c r="A1950" s="1" t="s">
        <v>1040</v>
      </c>
      <c r="B1950" s="1" t="s">
        <v>1243</v>
      </c>
      <c r="C1950" s="1" t="s">
        <v>4</v>
      </c>
      <c r="D1950" t="str">
        <f>IFERROR(VLOOKUP(A1950,depara!A:B,2,0),A1950)</f>
        <v>P0002133</v>
      </c>
      <c r="E1950">
        <f>VLOOKUP(B1950,'inumos depara'!$A:$B,2,0)</f>
        <v>16298645</v>
      </c>
      <c r="F1950" s="1" t="str">
        <f t="shared" si="60"/>
        <v>0.005</v>
      </c>
      <c r="G1950" t="str">
        <f t="shared" si="61"/>
        <v>P0002133,16298645,0.005</v>
      </c>
    </row>
    <row r="1951" spans="1:7" x14ac:dyDescent="0.25">
      <c r="A1951" s="1" t="s">
        <v>1040</v>
      </c>
      <c r="B1951" s="1" t="s">
        <v>1244</v>
      </c>
      <c r="C1951" s="1" t="s">
        <v>68</v>
      </c>
      <c r="D1951" t="str">
        <f>IFERROR(VLOOKUP(A1951,depara!A:B,2,0),A1951)</f>
        <v>P0002133</v>
      </c>
      <c r="E1951">
        <f>VLOOKUP(B1951,'inumos depara'!$A:$B,2,0)</f>
        <v>16298646</v>
      </c>
      <c r="F1951" s="1" t="str">
        <f t="shared" si="60"/>
        <v>0.004</v>
      </c>
      <c r="G1951" t="str">
        <f t="shared" si="61"/>
        <v>P0002133,16298646,0.004</v>
      </c>
    </row>
    <row r="1952" spans="1:7" x14ac:dyDescent="0.25">
      <c r="A1952" s="1" t="s">
        <v>1040</v>
      </c>
      <c r="B1952" s="1" t="s">
        <v>1245</v>
      </c>
      <c r="C1952" s="1" t="s">
        <v>64</v>
      </c>
      <c r="D1952" t="str">
        <f>IFERROR(VLOOKUP(A1952,depara!A:B,2,0),A1952)</f>
        <v>P0002133</v>
      </c>
      <c r="E1952">
        <f>VLOOKUP(B1952,'inumos depara'!$A:$B,2,0)</f>
        <v>16298647</v>
      </c>
      <c r="F1952" s="1" t="str">
        <f t="shared" si="60"/>
        <v>0.02</v>
      </c>
      <c r="G1952" t="str">
        <f t="shared" si="61"/>
        <v>P0002133,16298647,0.02</v>
      </c>
    </row>
    <row r="1953" spans="1:7" x14ac:dyDescent="0.25">
      <c r="A1953" s="1" t="s">
        <v>1040</v>
      </c>
      <c r="B1953" s="1" t="s">
        <v>1246</v>
      </c>
      <c r="C1953" s="1" t="s">
        <v>6</v>
      </c>
      <c r="D1953" t="str">
        <f>IFERROR(VLOOKUP(A1953,depara!A:B,2,0),A1953)</f>
        <v>P0002133</v>
      </c>
      <c r="E1953">
        <f>VLOOKUP(B1953,'inumos depara'!$A:$B,2,0)</f>
        <v>16298648</v>
      </c>
      <c r="F1953" s="1" t="str">
        <f t="shared" si="60"/>
        <v>0.01</v>
      </c>
      <c r="G1953" t="str">
        <f t="shared" si="61"/>
        <v>P0002133,16298648,0.01</v>
      </c>
    </row>
    <row r="1954" spans="1:7" x14ac:dyDescent="0.25">
      <c r="A1954" s="1" t="s">
        <v>1040</v>
      </c>
      <c r="B1954" s="1" t="s">
        <v>1247</v>
      </c>
      <c r="C1954" s="1" t="s">
        <v>73</v>
      </c>
      <c r="D1954" t="str">
        <f>IFERROR(VLOOKUP(A1954,depara!A:B,2,0),A1954)</f>
        <v>P0002133</v>
      </c>
      <c r="E1954">
        <f>VLOOKUP(B1954,'inumos depara'!$A:$B,2,0)</f>
        <v>16298649</v>
      </c>
      <c r="F1954" s="1" t="str">
        <f t="shared" si="60"/>
        <v>0.08</v>
      </c>
      <c r="G1954" t="str">
        <f t="shared" si="61"/>
        <v>P0002133,16298649,0.08</v>
      </c>
    </row>
    <row r="1955" spans="1:7" x14ac:dyDescent="0.25">
      <c r="A1955" s="1" t="s">
        <v>1040</v>
      </c>
      <c r="B1955" s="1" t="s">
        <v>1248</v>
      </c>
      <c r="C1955" s="1" t="s">
        <v>8</v>
      </c>
      <c r="D1955" t="str">
        <f>IFERROR(VLOOKUP(A1955,depara!A:B,2,0),A1955)</f>
        <v>P0002133</v>
      </c>
      <c r="E1955">
        <f>VLOOKUP(B1955,'inumos depara'!$A:$B,2,0)</f>
        <v>16298650</v>
      </c>
      <c r="F1955" s="1" t="str">
        <f t="shared" si="60"/>
        <v>0.06</v>
      </c>
      <c r="G1955" t="str">
        <f t="shared" si="61"/>
        <v>P0002133,16298650,0.06</v>
      </c>
    </row>
    <row r="1956" spans="1:7" x14ac:dyDescent="0.25">
      <c r="A1956" s="1" t="s">
        <v>1040</v>
      </c>
      <c r="B1956" s="1" t="s">
        <v>1249</v>
      </c>
      <c r="C1956" s="1" t="s">
        <v>9</v>
      </c>
      <c r="D1956" t="str">
        <f>IFERROR(VLOOKUP(A1956,depara!A:B,2,0),A1956)</f>
        <v>P0002133</v>
      </c>
      <c r="E1956">
        <f>VLOOKUP(B1956,'inumos depara'!$A:$B,2,0)</f>
        <v>16298651</v>
      </c>
      <c r="F1956" s="1" t="str">
        <f t="shared" si="60"/>
        <v>0.09</v>
      </c>
      <c r="G1956" t="str">
        <f t="shared" si="61"/>
        <v>P0002133,16298651,0.09</v>
      </c>
    </row>
    <row r="1957" spans="1:7" x14ac:dyDescent="0.25">
      <c r="A1957" s="1" t="s">
        <v>1040</v>
      </c>
      <c r="B1957" s="1" t="s">
        <v>1250</v>
      </c>
      <c r="C1957" s="1" t="s">
        <v>64</v>
      </c>
      <c r="D1957" t="str">
        <f>IFERROR(VLOOKUP(A1957,depara!A:B,2,0),A1957)</f>
        <v>P0002133</v>
      </c>
      <c r="E1957">
        <f>VLOOKUP(B1957,'inumos depara'!$A:$B,2,0)</f>
        <v>16298652</v>
      </c>
      <c r="F1957" s="1" t="str">
        <f t="shared" si="60"/>
        <v>0.02</v>
      </c>
      <c r="G1957" t="str">
        <f t="shared" si="61"/>
        <v>P0002133,16298652,0.02</v>
      </c>
    </row>
    <row r="1958" spans="1:7" x14ac:dyDescent="0.25">
      <c r="A1958" s="1" t="s">
        <v>1040</v>
      </c>
      <c r="B1958" s="1" t="s">
        <v>1251</v>
      </c>
      <c r="C1958" s="1" t="s">
        <v>323</v>
      </c>
      <c r="D1958" t="str">
        <f>IFERROR(VLOOKUP(A1958,depara!A:B,2,0),A1958)</f>
        <v>P0002133</v>
      </c>
      <c r="E1958">
        <f>VLOOKUP(B1958,'inumos depara'!$A:$B,2,0)</f>
        <v>16298653</v>
      </c>
      <c r="F1958" s="1" t="str">
        <f t="shared" si="60"/>
        <v>0.0018</v>
      </c>
      <c r="G1958" t="str">
        <f t="shared" si="61"/>
        <v>P0002133,16298653,0.0018</v>
      </c>
    </row>
    <row r="1959" spans="1:7" x14ac:dyDescent="0.25">
      <c r="A1959" s="1" t="s">
        <v>1040</v>
      </c>
      <c r="B1959" s="1" t="s">
        <v>74</v>
      </c>
      <c r="C1959" s="1" t="s">
        <v>1</v>
      </c>
      <c r="D1959" t="str">
        <f>IFERROR(VLOOKUP(A1959,depara!A:B,2,0),A1959)</f>
        <v>P0002133</v>
      </c>
      <c r="E1959">
        <f>VLOOKUP(B1959,'inumos depara'!$A:$B,2,0)</f>
        <v>16298654</v>
      </c>
      <c r="F1959" s="1" t="str">
        <f t="shared" si="60"/>
        <v>0.003</v>
      </c>
      <c r="G1959" t="str">
        <f t="shared" si="61"/>
        <v>P0002133,16298654,0.003</v>
      </c>
    </row>
    <row r="1960" spans="1:7" x14ac:dyDescent="0.25">
      <c r="A1960" s="1" t="s">
        <v>1040</v>
      </c>
      <c r="B1960" s="1" t="s">
        <v>75</v>
      </c>
      <c r="C1960" s="1" t="s">
        <v>10</v>
      </c>
      <c r="D1960" t="str">
        <f>IFERROR(VLOOKUP(A1960,depara!A:B,2,0),A1960)</f>
        <v>P0002133</v>
      </c>
      <c r="E1960">
        <f>VLOOKUP(B1960,'inumos depara'!$A:$B,2,0)</f>
        <v>16298655</v>
      </c>
      <c r="F1960" s="1" t="str">
        <f t="shared" si="60"/>
        <v>0.001</v>
      </c>
      <c r="G1960" t="str">
        <f t="shared" si="61"/>
        <v>P0002133,16298655,0.001</v>
      </c>
    </row>
    <row r="1961" spans="1:7" x14ac:dyDescent="0.25">
      <c r="A1961" s="1" t="s">
        <v>1040</v>
      </c>
      <c r="B1961" s="1" t="s">
        <v>1252</v>
      </c>
      <c r="C1961" s="1" t="s">
        <v>5</v>
      </c>
      <c r="D1961" t="str">
        <f>IFERROR(VLOOKUP(A1961,depara!A:B,2,0),A1961)</f>
        <v>P0002133</v>
      </c>
      <c r="E1961">
        <f>VLOOKUP(B1961,'inumos depara'!$A:$B,2,0)</f>
        <v>16298656</v>
      </c>
      <c r="F1961" s="1" t="str">
        <f t="shared" si="60"/>
        <v>0.002</v>
      </c>
      <c r="G1961" t="str">
        <f t="shared" si="61"/>
        <v>P0002133,16298656,0.002</v>
      </c>
    </row>
    <row r="1962" spans="1:7" x14ac:dyDescent="0.25">
      <c r="A1962" s="1" t="s">
        <v>1040</v>
      </c>
      <c r="B1962" s="1" t="s">
        <v>1176</v>
      </c>
      <c r="C1962" s="1" t="s">
        <v>10</v>
      </c>
      <c r="D1962" t="str">
        <f>IFERROR(VLOOKUP(A1962,depara!A:B,2,0),A1962)</f>
        <v>P0002133</v>
      </c>
      <c r="E1962">
        <f>VLOOKUP(B1962,'inumos depara'!$A:$B,2,0)</f>
        <v>16298585</v>
      </c>
      <c r="F1962" s="1" t="str">
        <f t="shared" si="60"/>
        <v>0.001</v>
      </c>
      <c r="G1962" t="str">
        <f t="shared" si="61"/>
        <v>P0002133,16298585,0.001</v>
      </c>
    </row>
    <row r="1963" spans="1:7" x14ac:dyDescent="0.25">
      <c r="A1963" s="1" t="s">
        <v>1040</v>
      </c>
      <c r="B1963" s="1" t="s">
        <v>77</v>
      </c>
      <c r="C1963" s="1" t="s">
        <v>0</v>
      </c>
      <c r="D1963" t="str">
        <f>IFERROR(VLOOKUP(A1963,depara!A:B,2,0),A1963)</f>
        <v>P0002133</v>
      </c>
      <c r="E1963">
        <f>VLOOKUP(B1963,'inumos depara'!$A:$B,2,0)</f>
        <v>16298658</v>
      </c>
      <c r="F1963" s="1" t="str">
        <f t="shared" si="60"/>
        <v>0.05</v>
      </c>
      <c r="G1963" t="str">
        <f t="shared" si="61"/>
        <v>P0002133,16298658,0.05</v>
      </c>
    </row>
    <row r="1964" spans="1:7" x14ac:dyDescent="0.25">
      <c r="A1964" s="1" t="s">
        <v>1040</v>
      </c>
      <c r="B1964" s="1" t="s">
        <v>1253</v>
      </c>
      <c r="C1964" s="1" t="s">
        <v>76</v>
      </c>
      <c r="D1964" t="str">
        <f>IFERROR(VLOOKUP(A1964,depara!A:B,2,0),A1964)</f>
        <v>P0002133</v>
      </c>
      <c r="E1964">
        <f>VLOOKUP(B1964,'inumos depara'!$A:$B,2,0)</f>
        <v>16298657</v>
      </c>
      <c r="F1964" s="1" t="str">
        <f t="shared" si="60"/>
        <v>0.03</v>
      </c>
      <c r="G1964" t="str">
        <f t="shared" si="61"/>
        <v>P0002133,16298657,0.03</v>
      </c>
    </row>
    <row r="1965" spans="1:7" x14ac:dyDescent="0.25">
      <c r="A1965" s="1" t="s">
        <v>1040</v>
      </c>
      <c r="B1965" s="1" t="s">
        <v>1146</v>
      </c>
      <c r="C1965" s="1" t="s">
        <v>82</v>
      </c>
      <c r="D1965" t="str">
        <f>IFERROR(VLOOKUP(A1965,depara!A:B,2,0),A1965)</f>
        <v>P0002133</v>
      </c>
      <c r="E1965">
        <f>VLOOKUP(B1965,'inumos depara'!$A:$B,2,0)</f>
        <v>16298558</v>
      </c>
      <c r="F1965" s="1" t="str">
        <f t="shared" si="60"/>
        <v>0.0005</v>
      </c>
      <c r="G1965" t="str">
        <f t="shared" si="61"/>
        <v>P0002133,16298558,0.0005</v>
      </c>
    </row>
    <row r="1966" spans="1:7" x14ac:dyDescent="0.25">
      <c r="A1966" s="1" t="s">
        <v>1040</v>
      </c>
      <c r="B1966" s="1" t="s">
        <v>1256</v>
      </c>
      <c r="C1966" s="1" t="s">
        <v>71</v>
      </c>
      <c r="D1966" t="str">
        <f>IFERROR(VLOOKUP(A1966,depara!A:B,2,0),A1966)</f>
        <v>P0002133</v>
      </c>
      <c r="E1966">
        <f>VLOOKUP(B1966,'inumos depara'!$A:$B,2,0)</f>
        <v>16298662</v>
      </c>
      <c r="F1966" s="1" t="str">
        <f t="shared" si="60"/>
        <v>0.04</v>
      </c>
      <c r="G1966" t="str">
        <f t="shared" si="61"/>
        <v>P0002133,16298662,0.04</v>
      </c>
    </row>
    <row r="1967" spans="1:7" x14ac:dyDescent="0.25">
      <c r="A1967" s="1" t="s">
        <v>1040</v>
      </c>
      <c r="B1967" s="1" t="s">
        <v>1038</v>
      </c>
      <c r="C1967" s="1" t="s">
        <v>0</v>
      </c>
      <c r="D1967" t="str">
        <f>IFERROR(VLOOKUP(A1967,depara!A:B,2,0),A1967)</f>
        <v>P0002133</v>
      </c>
      <c r="E1967">
        <f>VLOOKUP(B1967,'inumos depara'!$A:$B,2,0)</f>
        <v>16299154</v>
      </c>
      <c r="F1967" s="1" t="str">
        <f t="shared" si="60"/>
        <v>0.05</v>
      </c>
      <c r="G1967" t="str">
        <f t="shared" si="61"/>
        <v>P0002133,16299154,0.05</v>
      </c>
    </row>
    <row r="1968" spans="1:7" x14ac:dyDescent="0.25">
      <c r="A1968" s="1" t="s">
        <v>1043</v>
      </c>
      <c r="B1968" s="1" t="s">
        <v>1574</v>
      </c>
      <c r="C1968" s="1" t="s">
        <v>1044</v>
      </c>
      <c r="D1968" t="str">
        <f>IFERROR(VLOOKUP(A1968,depara!A:B,2,0),A1968)</f>
        <v>P0002202</v>
      </c>
      <c r="E1968">
        <f>VLOOKUP(B1968,'inumos depara'!$A:$B,2,0)</f>
        <v>16298952</v>
      </c>
      <c r="F1968" s="1" t="str">
        <f t="shared" si="60"/>
        <v>0.0189182768451061</v>
      </c>
      <c r="G1968" t="str">
        <f t="shared" si="61"/>
        <v>P0002202,16298952,0.0189182768451061</v>
      </c>
    </row>
    <row r="1969" spans="1:7" x14ac:dyDescent="0.25">
      <c r="A1969" s="1" t="s">
        <v>1043</v>
      </c>
      <c r="B1969" s="1" t="s">
        <v>1575</v>
      </c>
      <c r="C1969" s="1" t="s">
        <v>1684</v>
      </c>
      <c r="D1969" t="str">
        <f>IFERROR(VLOOKUP(A1969,depara!A:B,2,0),A1969)</f>
        <v>P0002202</v>
      </c>
      <c r="E1969">
        <f>VLOOKUP(B1969,'inumos depara'!$A:$B,2,0)</f>
        <v>16298953</v>
      </c>
      <c r="F1969" s="1" t="str">
        <f t="shared" si="60"/>
        <v>3.95945517896737E-05</v>
      </c>
      <c r="G1969" t="str">
        <f t="shared" si="61"/>
        <v>P0002202,16298953,3.95945517896737E-05</v>
      </c>
    </row>
    <row r="1970" spans="1:7" x14ac:dyDescent="0.25">
      <c r="A1970" s="1" t="s">
        <v>1043</v>
      </c>
      <c r="B1970" s="1" t="s">
        <v>1576</v>
      </c>
      <c r="C1970" s="1" t="s">
        <v>1685</v>
      </c>
      <c r="D1970" t="str">
        <f>IFERROR(VLOOKUP(A1970,depara!A:B,2,0),A1970)</f>
        <v>P0002202</v>
      </c>
      <c r="E1970">
        <f>VLOOKUP(B1970,'inumos depara'!$A:$B,2,0)</f>
        <v>16298954</v>
      </c>
      <c r="F1970" s="1" t="str">
        <f t="shared" si="60"/>
        <v>3.95945517896737E-06</v>
      </c>
      <c r="G1970" t="str">
        <f t="shared" si="61"/>
        <v>P0002202,16298954,3.95945517896737E-06</v>
      </c>
    </row>
    <row r="1971" spans="1:7" x14ac:dyDescent="0.25">
      <c r="A1971" s="1" t="s">
        <v>1043</v>
      </c>
      <c r="B1971" s="1" t="s">
        <v>1228</v>
      </c>
      <c r="C1971" s="1" t="s">
        <v>1686</v>
      </c>
      <c r="D1971" t="str">
        <f>IFERROR(VLOOKUP(A1971,depara!A:B,2,0),A1971)</f>
        <v>P0002202</v>
      </c>
      <c r="E1971">
        <f>VLOOKUP(B1971,'inumos depara'!$A:$B,2,0)</f>
        <v>16298631</v>
      </c>
      <c r="F1971" s="1" t="str">
        <f t="shared" si="60"/>
        <v>7.91891035793475E-06</v>
      </c>
      <c r="G1971" t="str">
        <f t="shared" si="61"/>
        <v>P0002202,16298631,7.91891035793475E-06</v>
      </c>
    </row>
    <row r="1972" spans="1:7" x14ac:dyDescent="0.25">
      <c r="A1972" s="1" t="s">
        <v>1043</v>
      </c>
      <c r="B1972" s="1" t="s">
        <v>1148</v>
      </c>
      <c r="C1972" s="1" t="s">
        <v>1045</v>
      </c>
      <c r="D1972" t="str">
        <f>IFERROR(VLOOKUP(A1972,depara!A:B,2,0),A1972)</f>
        <v>P0002202</v>
      </c>
      <c r="E1972">
        <f>VLOOKUP(B1972,'inumos depara'!$A:$B,2,0)</f>
        <v>16298560</v>
      </c>
      <c r="F1972" s="1" t="str">
        <f t="shared" si="60"/>
        <v>0.000194013303769401</v>
      </c>
      <c r="G1972" t="str">
        <f t="shared" si="61"/>
        <v>P0002202,16298560,0.000194013303769401</v>
      </c>
    </row>
    <row r="1973" spans="1:7" x14ac:dyDescent="0.25">
      <c r="A1973" s="1" t="s">
        <v>1043</v>
      </c>
      <c r="B1973" s="1" t="s">
        <v>475</v>
      </c>
      <c r="C1973" s="1" t="s">
        <v>1046</v>
      </c>
      <c r="D1973" t="str">
        <f>IFERROR(VLOOKUP(A1973,depara!A:B,2,0),A1973)</f>
        <v>P0002202</v>
      </c>
      <c r="E1973">
        <f>VLOOKUP(B1973,'inumos depara'!$A:$B,2,0)</f>
        <v>16298955</v>
      </c>
      <c r="F1973" s="1" t="str">
        <f t="shared" si="60"/>
        <v>0.000197972758948369</v>
      </c>
      <c r="G1973" t="str">
        <f t="shared" si="61"/>
        <v>P0002202,16298955,0.000197972758948369</v>
      </c>
    </row>
    <row r="1974" spans="1:7" x14ac:dyDescent="0.25">
      <c r="A1974" s="1" t="s">
        <v>1043</v>
      </c>
      <c r="B1974" s="1" t="s">
        <v>1156</v>
      </c>
      <c r="C1974" s="1" t="s">
        <v>1687</v>
      </c>
      <c r="D1974" t="str">
        <f>IFERROR(VLOOKUP(A1974,depara!A:B,2,0),A1974)</f>
        <v>P0002202</v>
      </c>
      <c r="E1974">
        <f>VLOOKUP(B1974,'inumos depara'!$A:$B,2,0)</f>
        <v>16298567</v>
      </c>
      <c r="F1974" s="1" t="str">
        <f t="shared" si="60"/>
        <v>1.97972758948369E-05</v>
      </c>
      <c r="G1974" t="str">
        <f t="shared" si="61"/>
        <v>P0002202,16298567,1.97972758948369E-05</v>
      </c>
    </row>
    <row r="1975" spans="1:7" x14ac:dyDescent="0.25">
      <c r="A1975" s="1" t="s">
        <v>1043</v>
      </c>
      <c r="B1975" s="1" t="s">
        <v>382</v>
      </c>
      <c r="C1975" s="1" t="s">
        <v>1046</v>
      </c>
      <c r="D1975" t="str">
        <f>IFERROR(VLOOKUP(A1975,depara!A:B,2,0),A1975)</f>
        <v>P0002202</v>
      </c>
      <c r="E1975">
        <f>VLOOKUP(B1975,'inumos depara'!$A:$B,2,0)</f>
        <v>16298881</v>
      </c>
      <c r="F1975" s="1" t="str">
        <f t="shared" si="60"/>
        <v>0.000197972758948369</v>
      </c>
      <c r="G1975" t="str">
        <f t="shared" si="61"/>
        <v>P0002202,16298881,0.000197972758948369</v>
      </c>
    </row>
    <row r="1976" spans="1:7" x14ac:dyDescent="0.25">
      <c r="A1976" s="1" t="s">
        <v>1043</v>
      </c>
      <c r="B1976" s="1" t="s">
        <v>1379</v>
      </c>
      <c r="C1976" s="1" t="s">
        <v>1687</v>
      </c>
      <c r="D1976" t="str">
        <f>IFERROR(VLOOKUP(A1976,depara!A:B,2,0),A1976)</f>
        <v>P0002202</v>
      </c>
      <c r="E1976">
        <f>VLOOKUP(B1976,'inumos depara'!$A:$B,2,0)</f>
        <v>16298763</v>
      </c>
      <c r="F1976" s="1" t="str">
        <f t="shared" si="60"/>
        <v>1.97972758948369E-05</v>
      </c>
      <c r="G1976" t="str">
        <f t="shared" si="61"/>
        <v>P0002202,16298763,1.97972758948369E-05</v>
      </c>
    </row>
    <row r="1977" spans="1:7" x14ac:dyDescent="0.25">
      <c r="A1977" s="1" t="s">
        <v>1043</v>
      </c>
      <c r="B1977" s="1" t="s">
        <v>478</v>
      </c>
      <c r="C1977" s="1" t="s">
        <v>1046</v>
      </c>
      <c r="D1977" t="str">
        <f>IFERROR(VLOOKUP(A1977,depara!A:B,2,0),A1977)</f>
        <v>P0002202</v>
      </c>
      <c r="E1977">
        <f>VLOOKUP(B1977,'inumos depara'!$A:$B,2,0)</f>
        <v>16298956</v>
      </c>
      <c r="F1977" s="1" t="str">
        <f t="shared" si="60"/>
        <v>0.000197972758948369</v>
      </c>
      <c r="G1977" t="str">
        <f t="shared" si="61"/>
        <v>P0002202,16298956,0.000197972758948369</v>
      </c>
    </row>
    <row r="1978" spans="1:7" x14ac:dyDescent="0.25">
      <c r="A1978" s="1" t="s">
        <v>1043</v>
      </c>
      <c r="B1978" s="1" t="s">
        <v>1047</v>
      </c>
      <c r="C1978" s="1" t="s">
        <v>1048</v>
      </c>
      <c r="D1978" t="str">
        <f>IFERROR(VLOOKUP(A1978,depara!A:B,2,0),A1978)</f>
        <v>P0002202</v>
      </c>
      <c r="E1978">
        <f>VLOOKUP(B1978,'inumos depara'!$A:$B,2,0)</f>
        <v>16299158</v>
      </c>
      <c r="F1978" s="1" t="str">
        <f t="shared" si="60"/>
        <v>0.00052792735719565</v>
      </c>
      <c r="G1978" t="str">
        <f t="shared" si="61"/>
        <v>P0002202,16299158,0.00052792735719565</v>
      </c>
    </row>
    <row r="1979" spans="1:7" x14ac:dyDescent="0.25">
      <c r="A1979" s="1" t="s">
        <v>1043</v>
      </c>
      <c r="B1979" s="1" t="s">
        <v>236</v>
      </c>
      <c r="C1979" s="1" t="s">
        <v>1049</v>
      </c>
      <c r="D1979" t="str">
        <f>IFERROR(VLOOKUP(A1979,depara!A:B,2,0),A1979)</f>
        <v>P0002202</v>
      </c>
      <c r="E1979">
        <f>VLOOKUP(B1979,'inumos depara'!$A:$B,2,0)</f>
        <v>16298815</v>
      </c>
      <c r="F1979" s="1" t="str">
        <f t="shared" si="60"/>
        <v>0.00997782705099778</v>
      </c>
      <c r="G1979" t="str">
        <f t="shared" si="61"/>
        <v>P0002202,16298815,0.00997782705099778</v>
      </c>
    </row>
    <row r="1980" spans="1:7" x14ac:dyDescent="0.25">
      <c r="A1980" s="1" t="s">
        <v>1050</v>
      </c>
      <c r="B1980" s="1" t="s">
        <v>1247</v>
      </c>
      <c r="C1980" s="1" t="s">
        <v>73</v>
      </c>
      <c r="D1980" t="str">
        <f>IFERROR(VLOOKUP(A1980,depara!A:B,2,0),A1980)</f>
        <v>P0002383</v>
      </c>
      <c r="E1980">
        <f>VLOOKUP(B1980,'inumos depara'!$A:$B,2,0)</f>
        <v>16298649</v>
      </c>
      <c r="F1980" s="1" t="str">
        <f t="shared" si="60"/>
        <v>0.08</v>
      </c>
      <c r="G1980" t="str">
        <f t="shared" si="61"/>
        <v>P0002383,16298649,0.08</v>
      </c>
    </row>
    <row r="1981" spans="1:7" x14ac:dyDescent="0.25">
      <c r="A1981" s="1" t="s">
        <v>1050</v>
      </c>
      <c r="B1981" s="1" t="s">
        <v>1248</v>
      </c>
      <c r="C1981" s="1" t="s">
        <v>8</v>
      </c>
      <c r="D1981" t="str">
        <f>IFERROR(VLOOKUP(A1981,depara!A:B,2,0),A1981)</f>
        <v>P0002383</v>
      </c>
      <c r="E1981">
        <f>VLOOKUP(B1981,'inumos depara'!$A:$B,2,0)</f>
        <v>16298650</v>
      </c>
      <c r="F1981" s="1" t="str">
        <f t="shared" si="60"/>
        <v>0.06</v>
      </c>
      <c r="G1981" t="str">
        <f t="shared" si="61"/>
        <v>P0002383,16298650,0.06</v>
      </c>
    </row>
    <row r="1982" spans="1:7" x14ac:dyDescent="0.25">
      <c r="A1982" s="1" t="s">
        <v>1050</v>
      </c>
      <c r="B1982" s="1" t="s">
        <v>1249</v>
      </c>
      <c r="C1982" s="1" t="s">
        <v>9</v>
      </c>
      <c r="D1982" t="str">
        <f>IFERROR(VLOOKUP(A1982,depara!A:B,2,0),A1982)</f>
        <v>P0002383</v>
      </c>
      <c r="E1982">
        <f>VLOOKUP(B1982,'inumos depara'!$A:$B,2,0)</f>
        <v>16298651</v>
      </c>
      <c r="F1982" s="1" t="str">
        <f t="shared" si="60"/>
        <v>0.09</v>
      </c>
      <c r="G1982" t="str">
        <f t="shared" si="61"/>
        <v>P0002383,16298651,0.09</v>
      </c>
    </row>
    <row r="1983" spans="1:7" x14ac:dyDescent="0.25">
      <c r="A1983" s="1" t="s">
        <v>1050</v>
      </c>
      <c r="B1983" s="1" t="s">
        <v>1254</v>
      </c>
      <c r="C1983" s="1" t="s">
        <v>76</v>
      </c>
      <c r="D1983" t="str">
        <f>IFERROR(VLOOKUP(A1983,depara!A:B,2,0),A1983)</f>
        <v>P0002383</v>
      </c>
      <c r="E1983">
        <f>VLOOKUP(B1983,'inumos depara'!$A:$B,2,0)</f>
        <v>16298659</v>
      </c>
      <c r="F1983" s="1" t="str">
        <f t="shared" si="60"/>
        <v>0.03</v>
      </c>
      <c r="G1983" t="str">
        <f t="shared" si="61"/>
        <v>P0002383,16298659,0.03</v>
      </c>
    </row>
    <row r="1984" spans="1:7" x14ac:dyDescent="0.25">
      <c r="A1984" s="1" t="s">
        <v>1050</v>
      </c>
      <c r="B1984" s="1" t="s">
        <v>1242</v>
      </c>
      <c r="C1984" s="1" t="s">
        <v>76</v>
      </c>
      <c r="D1984" t="str">
        <f>IFERROR(VLOOKUP(A1984,depara!A:B,2,0),A1984)</f>
        <v>P0002383</v>
      </c>
      <c r="E1984">
        <f>VLOOKUP(B1984,'inumos depara'!$A:$B,2,0)</f>
        <v>16298643</v>
      </c>
      <c r="F1984" s="1" t="str">
        <f t="shared" si="60"/>
        <v>0.03</v>
      </c>
      <c r="G1984" t="str">
        <f t="shared" si="61"/>
        <v>P0002383,16298643,0.03</v>
      </c>
    </row>
    <row r="1985" spans="1:7" x14ac:dyDescent="0.25">
      <c r="A1985" s="1" t="s">
        <v>1050</v>
      </c>
      <c r="B1985" s="1" t="s">
        <v>72</v>
      </c>
      <c r="C1985" s="1" t="s">
        <v>64</v>
      </c>
      <c r="D1985" t="str">
        <f>IFERROR(VLOOKUP(A1985,depara!A:B,2,0),A1985)</f>
        <v>P0002383</v>
      </c>
      <c r="E1985">
        <f>VLOOKUP(B1985,'inumos depara'!$A:$B,2,0)</f>
        <v>16298644</v>
      </c>
      <c r="F1985" s="1" t="str">
        <f t="shared" si="60"/>
        <v>0.02</v>
      </c>
      <c r="G1985" t="str">
        <f t="shared" si="61"/>
        <v>P0002383,16298644,0.02</v>
      </c>
    </row>
    <row r="1986" spans="1:7" x14ac:dyDescent="0.25">
      <c r="A1986" s="1" t="s">
        <v>1050</v>
      </c>
      <c r="B1986" s="1" t="s">
        <v>1245</v>
      </c>
      <c r="C1986" s="1" t="s">
        <v>64</v>
      </c>
      <c r="D1986" t="str">
        <f>IFERROR(VLOOKUP(A1986,depara!A:B,2,0),A1986)</f>
        <v>P0002383</v>
      </c>
      <c r="E1986">
        <f>VLOOKUP(B1986,'inumos depara'!$A:$B,2,0)</f>
        <v>16298647</v>
      </c>
      <c r="F1986" s="1" t="str">
        <f t="shared" ref="F1986:F2049" si="62">C1986</f>
        <v>0.02</v>
      </c>
      <c r="G1986" t="str">
        <f t="shared" ref="G1986:G2049" si="63">D1986&amp;","&amp;E1986&amp;","&amp;F1986</f>
        <v>P0002383,16298647,0.02</v>
      </c>
    </row>
    <row r="1987" spans="1:7" x14ac:dyDescent="0.25">
      <c r="A1987" s="1" t="s">
        <v>1050</v>
      </c>
      <c r="B1987" s="1" t="s">
        <v>1246</v>
      </c>
      <c r="C1987" s="1" t="s">
        <v>6</v>
      </c>
      <c r="D1987" t="str">
        <f>IFERROR(VLOOKUP(A1987,depara!A:B,2,0),A1987)</f>
        <v>P0002383</v>
      </c>
      <c r="E1987">
        <f>VLOOKUP(B1987,'inumos depara'!$A:$B,2,0)</f>
        <v>16298648</v>
      </c>
      <c r="F1987" s="1" t="str">
        <f t="shared" si="62"/>
        <v>0.01</v>
      </c>
      <c r="G1987" t="str">
        <f t="shared" si="63"/>
        <v>P0002383,16298648,0.01</v>
      </c>
    </row>
    <row r="1988" spans="1:7" x14ac:dyDescent="0.25">
      <c r="A1988" s="1" t="s">
        <v>1050</v>
      </c>
      <c r="B1988" s="1" t="s">
        <v>1171</v>
      </c>
      <c r="C1988" s="1" t="s">
        <v>4</v>
      </c>
      <c r="D1988" t="str">
        <f>IFERROR(VLOOKUP(A1988,depara!A:B,2,0),A1988)</f>
        <v>P0002383</v>
      </c>
      <c r="E1988">
        <f>VLOOKUP(B1988,'inumos depara'!$A:$B,2,0)</f>
        <v>16298580</v>
      </c>
      <c r="F1988" s="1" t="str">
        <f t="shared" si="62"/>
        <v>0.005</v>
      </c>
      <c r="G1988" t="str">
        <f t="shared" si="63"/>
        <v>P0002383,16298580,0.005</v>
      </c>
    </row>
    <row r="1989" spans="1:7" x14ac:dyDescent="0.25">
      <c r="A1989" s="1" t="s">
        <v>1050</v>
      </c>
      <c r="B1989" s="1" t="s">
        <v>1244</v>
      </c>
      <c r="C1989" s="1" t="s">
        <v>68</v>
      </c>
      <c r="D1989" t="str">
        <f>IFERROR(VLOOKUP(A1989,depara!A:B,2,0),A1989)</f>
        <v>P0002383</v>
      </c>
      <c r="E1989">
        <f>VLOOKUP(B1989,'inumos depara'!$A:$B,2,0)</f>
        <v>16298646</v>
      </c>
      <c r="F1989" s="1" t="str">
        <f t="shared" si="62"/>
        <v>0.004</v>
      </c>
      <c r="G1989" t="str">
        <f t="shared" si="63"/>
        <v>P0002383,16298646,0.004</v>
      </c>
    </row>
    <row r="1990" spans="1:7" x14ac:dyDescent="0.25">
      <c r="A1990" s="1" t="s">
        <v>1050</v>
      </c>
      <c r="B1990" s="1" t="s">
        <v>1251</v>
      </c>
      <c r="C1990" s="1" t="s">
        <v>5</v>
      </c>
      <c r="D1990" t="str">
        <f>IFERROR(VLOOKUP(A1990,depara!A:B,2,0),A1990)</f>
        <v>P0002383</v>
      </c>
      <c r="E1990">
        <f>VLOOKUP(B1990,'inumos depara'!$A:$B,2,0)</f>
        <v>16298653</v>
      </c>
      <c r="F1990" s="1" t="str">
        <f t="shared" si="62"/>
        <v>0.002</v>
      </c>
      <c r="G1990" t="str">
        <f t="shared" si="63"/>
        <v>P0002383,16298653,0.002</v>
      </c>
    </row>
    <row r="1991" spans="1:7" x14ac:dyDescent="0.25">
      <c r="A1991" s="1" t="s">
        <v>1050</v>
      </c>
      <c r="B1991" s="1" t="s">
        <v>1243</v>
      </c>
      <c r="C1991" s="1" t="s">
        <v>4</v>
      </c>
      <c r="D1991" t="str">
        <f>IFERROR(VLOOKUP(A1991,depara!A:B,2,0),A1991)</f>
        <v>P0002383</v>
      </c>
      <c r="E1991">
        <f>VLOOKUP(B1991,'inumos depara'!$A:$B,2,0)</f>
        <v>16298645</v>
      </c>
      <c r="F1991" s="1" t="str">
        <f t="shared" si="62"/>
        <v>0.005</v>
      </c>
      <c r="G1991" t="str">
        <f t="shared" si="63"/>
        <v>P0002383,16298645,0.005</v>
      </c>
    </row>
    <row r="1992" spans="1:7" x14ac:dyDescent="0.25">
      <c r="A1992" s="1" t="s">
        <v>1050</v>
      </c>
      <c r="B1992" s="1" t="s">
        <v>1250</v>
      </c>
      <c r="C1992" s="1" t="s">
        <v>64</v>
      </c>
      <c r="D1992" t="str">
        <f>IFERROR(VLOOKUP(A1992,depara!A:B,2,0),A1992)</f>
        <v>P0002383</v>
      </c>
      <c r="E1992">
        <f>VLOOKUP(B1992,'inumos depara'!$A:$B,2,0)</f>
        <v>16298652</v>
      </c>
      <c r="F1992" s="1" t="str">
        <f t="shared" si="62"/>
        <v>0.02</v>
      </c>
      <c r="G1992" t="str">
        <f t="shared" si="63"/>
        <v>P0002383,16298652,0.02</v>
      </c>
    </row>
    <row r="1993" spans="1:7" x14ac:dyDescent="0.25">
      <c r="A1993" s="1" t="s">
        <v>1050</v>
      </c>
      <c r="B1993" s="1" t="s">
        <v>1156</v>
      </c>
      <c r="C1993" s="1" t="s">
        <v>4</v>
      </c>
      <c r="D1993" t="str">
        <f>IFERROR(VLOOKUP(A1993,depara!A:B,2,0),A1993)</f>
        <v>P0002383</v>
      </c>
      <c r="E1993">
        <f>VLOOKUP(B1993,'inumos depara'!$A:$B,2,0)</f>
        <v>16298567</v>
      </c>
      <c r="F1993" s="1" t="str">
        <f t="shared" si="62"/>
        <v>0.005</v>
      </c>
      <c r="G1993" t="str">
        <f t="shared" si="63"/>
        <v>P0002383,16298567,0.005</v>
      </c>
    </row>
    <row r="1994" spans="1:7" x14ac:dyDescent="0.25">
      <c r="A1994" s="1" t="s">
        <v>1050</v>
      </c>
      <c r="B1994" s="1" t="s">
        <v>75</v>
      </c>
      <c r="C1994" s="1" t="s">
        <v>10</v>
      </c>
      <c r="D1994" t="str">
        <f>IFERROR(VLOOKUP(A1994,depara!A:B,2,0),A1994)</f>
        <v>P0002383</v>
      </c>
      <c r="E1994">
        <f>VLOOKUP(B1994,'inumos depara'!$A:$B,2,0)</f>
        <v>16298655</v>
      </c>
      <c r="F1994" s="1" t="str">
        <f t="shared" si="62"/>
        <v>0.001</v>
      </c>
      <c r="G1994" t="str">
        <f t="shared" si="63"/>
        <v>P0002383,16298655,0.001</v>
      </c>
    </row>
    <row r="1995" spans="1:7" x14ac:dyDescent="0.25">
      <c r="A1995" s="1" t="s">
        <v>1050</v>
      </c>
      <c r="B1995" s="1" t="s">
        <v>1176</v>
      </c>
      <c r="C1995" s="1" t="s">
        <v>10</v>
      </c>
      <c r="D1995" t="str">
        <f>IFERROR(VLOOKUP(A1995,depara!A:B,2,0),A1995)</f>
        <v>P0002383</v>
      </c>
      <c r="E1995">
        <f>VLOOKUP(B1995,'inumos depara'!$A:$B,2,0)</f>
        <v>16298585</v>
      </c>
      <c r="F1995" s="1" t="str">
        <f t="shared" si="62"/>
        <v>0.001</v>
      </c>
      <c r="G1995" t="str">
        <f t="shared" si="63"/>
        <v>P0002383,16298585,0.001</v>
      </c>
    </row>
    <row r="1996" spans="1:7" x14ac:dyDescent="0.25">
      <c r="A1996" s="1" t="s">
        <v>1050</v>
      </c>
      <c r="B1996" s="1" t="s">
        <v>1265</v>
      </c>
      <c r="C1996" s="1" t="s">
        <v>6</v>
      </c>
      <c r="D1996" t="str">
        <f>IFERROR(VLOOKUP(A1996,depara!A:B,2,0),A1996)</f>
        <v>P0002383</v>
      </c>
      <c r="E1996">
        <f>VLOOKUP(B1996,'inumos depara'!$A:$B,2,0)</f>
        <v>16298667</v>
      </c>
      <c r="F1996" s="1" t="str">
        <f t="shared" si="62"/>
        <v>0.01</v>
      </c>
      <c r="G1996" t="str">
        <f t="shared" si="63"/>
        <v>P0002383,16298667,0.01</v>
      </c>
    </row>
    <row r="1997" spans="1:7" x14ac:dyDescent="0.25">
      <c r="A1997" s="1" t="s">
        <v>1050</v>
      </c>
      <c r="B1997" s="1" t="s">
        <v>1252</v>
      </c>
      <c r="C1997" s="1" t="s">
        <v>5</v>
      </c>
      <c r="D1997" t="str">
        <f>IFERROR(VLOOKUP(A1997,depara!A:B,2,0),A1997)</f>
        <v>P0002383</v>
      </c>
      <c r="E1997">
        <f>VLOOKUP(B1997,'inumos depara'!$A:$B,2,0)</f>
        <v>16298656</v>
      </c>
      <c r="F1997" s="1" t="str">
        <f t="shared" si="62"/>
        <v>0.002</v>
      </c>
      <c r="G1997" t="str">
        <f t="shared" si="63"/>
        <v>P0002383,16298656,0.002</v>
      </c>
    </row>
    <row r="1998" spans="1:7" x14ac:dyDescent="0.25">
      <c r="A1998" s="1" t="s">
        <v>1050</v>
      </c>
      <c r="B1998" s="1" t="s">
        <v>74</v>
      </c>
      <c r="C1998" s="1" t="s">
        <v>1</v>
      </c>
      <c r="D1998" t="str">
        <f>IFERROR(VLOOKUP(A1998,depara!A:B,2,0),A1998)</f>
        <v>P0002383</v>
      </c>
      <c r="E1998">
        <f>VLOOKUP(B1998,'inumos depara'!$A:$B,2,0)</f>
        <v>16298654</v>
      </c>
      <c r="F1998" s="1" t="str">
        <f t="shared" si="62"/>
        <v>0.003</v>
      </c>
      <c r="G1998" t="str">
        <f t="shared" si="63"/>
        <v>P0002383,16298654,0.003</v>
      </c>
    </row>
    <row r="1999" spans="1:7" x14ac:dyDescent="0.25">
      <c r="A1999" s="1" t="s">
        <v>1050</v>
      </c>
      <c r="B1999" s="1" t="s">
        <v>1256</v>
      </c>
      <c r="C1999" s="1" t="s">
        <v>71</v>
      </c>
      <c r="D1999" t="str">
        <f>IFERROR(VLOOKUP(A1999,depara!A:B,2,0),A1999)</f>
        <v>P0002383</v>
      </c>
      <c r="E1999">
        <f>VLOOKUP(B1999,'inumos depara'!$A:$B,2,0)</f>
        <v>16298662</v>
      </c>
      <c r="F1999" s="1" t="str">
        <f t="shared" si="62"/>
        <v>0.04</v>
      </c>
      <c r="G1999" t="str">
        <f t="shared" si="63"/>
        <v>P0002383,16298662,0.04</v>
      </c>
    </row>
    <row r="2000" spans="1:7" x14ac:dyDescent="0.25">
      <c r="A2000" s="1" t="s">
        <v>1050</v>
      </c>
      <c r="B2000" s="1" t="s">
        <v>1146</v>
      </c>
      <c r="C2000" s="1" t="s">
        <v>10</v>
      </c>
      <c r="D2000" t="str">
        <f>IFERROR(VLOOKUP(A2000,depara!A:B,2,0),A2000)</f>
        <v>P0002383</v>
      </c>
      <c r="E2000">
        <f>VLOOKUP(B2000,'inumos depara'!$A:$B,2,0)</f>
        <v>16298558</v>
      </c>
      <c r="F2000" s="1" t="str">
        <f t="shared" si="62"/>
        <v>0.001</v>
      </c>
      <c r="G2000" t="str">
        <f t="shared" si="63"/>
        <v>P0002383,16298558,0.001</v>
      </c>
    </row>
    <row r="2001" spans="1:7" x14ac:dyDescent="0.25">
      <c r="A2001" s="1" t="s">
        <v>1050</v>
      </c>
      <c r="B2001" s="1" t="s">
        <v>1219</v>
      </c>
      <c r="C2001" s="1" t="s">
        <v>4</v>
      </c>
      <c r="D2001" t="str">
        <f>IFERROR(VLOOKUP(A2001,depara!A:B,2,0),A2001)</f>
        <v>P0002383</v>
      </c>
      <c r="E2001">
        <f>VLOOKUP(B2001,'inumos depara'!$A:$B,2,0)</f>
        <v>16298624</v>
      </c>
      <c r="F2001" s="1" t="str">
        <f t="shared" si="62"/>
        <v>0.005</v>
      </c>
      <c r="G2001" t="str">
        <f t="shared" si="63"/>
        <v>P0002383,16298624,0.005</v>
      </c>
    </row>
    <row r="2002" spans="1:7" x14ac:dyDescent="0.25">
      <c r="A2002" s="1" t="s">
        <v>1050</v>
      </c>
      <c r="B2002" s="1" t="s">
        <v>1253</v>
      </c>
      <c r="C2002" s="1" t="s">
        <v>76</v>
      </c>
      <c r="D2002" t="str">
        <f>IFERROR(VLOOKUP(A2002,depara!A:B,2,0),A2002)</f>
        <v>P0002383</v>
      </c>
      <c r="E2002">
        <f>VLOOKUP(B2002,'inumos depara'!$A:$B,2,0)</f>
        <v>16298657</v>
      </c>
      <c r="F2002" s="1" t="str">
        <f t="shared" si="62"/>
        <v>0.03</v>
      </c>
      <c r="G2002" t="str">
        <f t="shared" si="63"/>
        <v>P0002383,16298657,0.03</v>
      </c>
    </row>
    <row r="2003" spans="1:7" x14ac:dyDescent="0.25">
      <c r="A2003" s="1" t="s">
        <v>1050</v>
      </c>
      <c r="B2003" s="1" t="s">
        <v>77</v>
      </c>
      <c r="C2003" s="1" t="s">
        <v>0</v>
      </c>
      <c r="D2003" t="str">
        <f>IFERROR(VLOOKUP(A2003,depara!A:B,2,0),A2003)</f>
        <v>P0002383</v>
      </c>
      <c r="E2003">
        <f>VLOOKUP(B2003,'inumos depara'!$A:$B,2,0)</f>
        <v>16298658</v>
      </c>
      <c r="F2003" s="1" t="str">
        <f t="shared" si="62"/>
        <v>0.05</v>
      </c>
      <c r="G2003" t="str">
        <f t="shared" si="63"/>
        <v>P0002383,16298658,0.05</v>
      </c>
    </row>
    <row r="2004" spans="1:7" x14ac:dyDescent="0.25">
      <c r="A2004" s="1" t="s">
        <v>1050</v>
      </c>
      <c r="B2004" s="1" t="s">
        <v>1255</v>
      </c>
      <c r="C2004" s="1" t="s">
        <v>73</v>
      </c>
      <c r="D2004" t="str">
        <f>IFERROR(VLOOKUP(A2004,depara!A:B,2,0),A2004)</f>
        <v>P0002383</v>
      </c>
      <c r="E2004">
        <f>VLOOKUP(B2004,'inumos depara'!$A:$B,2,0)</f>
        <v>16298660</v>
      </c>
      <c r="F2004" s="1" t="str">
        <f t="shared" si="62"/>
        <v>0.08</v>
      </c>
      <c r="G2004" t="str">
        <f t="shared" si="63"/>
        <v>P0002383,16298660,0.08</v>
      </c>
    </row>
    <row r="2005" spans="1:7" x14ac:dyDescent="0.25">
      <c r="A2005" s="1" t="s">
        <v>1050</v>
      </c>
      <c r="B2005" s="1" t="s">
        <v>1051</v>
      </c>
      <c r="C2005" s="1" t="s">
        <v>1150</v>
      </c>
      <c r="D2005" t="str">
        <f>IFERROR(VLOOKUP(A2005,depara!A:B,2,0),A2005)</f>
        <v>P0002383</v>
      </c>
      <c r="E2005">
        <f>VLOOKUP(B2005,'inumos depara'!$A:$B,2,0)</f>
        <v>16299159</v>
      </c>
      <c r="F2005" s="1" t="str">
        <f t="shared" si="62"/>
        <v>1</v>
      </c>
      <c r="G2005" t="str">
        <f t="shared" si="63"/>
        <v>P0002383,16299159,1</v>
      </c>
    </row>
    <row r="2006" spans="1:7" x14ac:dyDescent="0.25">
      <c r="A2006" s="1" t="s">
        <v>1050</v>
      </c>
      <c r="B2006" s="1" t="s">
        <v>1247</v>
      </c>
      <c r="C2006" s="1" t="s">
        <v>73</v>
      </c>
      <c r="D2006" t="str">
        <f>IFERROR(VLOOKUP(A2006,depara!A:B,2,0),A2006)</f>
        <v>P0002383</v>
      </c>
      <c r="E2006">
        <f>VLOOKUP(B2006,'inumos depara'!$A:$B,2,0)</f>
        <v>16298649</v>
      </c>
      <c r="F2006" s="1" t="str">
        <f t="shared" si="62"/>
        <v>0.08</v>
      </c>
      <c r="G2006" t="str">
        <f t="shared" si="63"/>
        <v>P0002383,16298649,0.08</v>
      </c>
    </row>
    <row r="2007" spans="1:7" x14ac:dyDescent="0.25">
      <c r="A2007" s="1" t="s">
        <v>1050</v>
      </c>
      <c r="B2007" s="1" t="s">
        <v>1248</v>
      </c>
      <c r="C2007" s="1" t="s">
        <v>8</v>
      </c>
      <c r="D2007" t="str">
        <f>IFERROR(VLOOKUP(A2007,depara!A:B,2,0),A2007)</f>
        <v>P0002383</v>
      </c>
      <c r="E2007">
        <f>VLOOKUP(B2007,'inumos depara'!$A:$B,2,0)</f>
        <v>16298650</v>
      </c>
      <c r="F2007" s="1" t="str">
        <f t="shared" si="62"/>
        <v>0.06</v>
      </c>
      <c r="G2007" t="str">
        <f t="shared" si="63"/>
        <v>P0002383,16298650,0.06</v>
      </c>
    </row>
    <row r="2008" spans="1:7" x14ac:dyDescent="0.25">
      <c r="A2008" s="1" t="s">
        <v>1050</v>
      </c>
      <c r="B2008" s="1" t="s">
        <v>1249</v>
      </c>
      <c r="C2008" s="1" t="s">
        <v>9</v>
      </c>
      <c r="D2008" t="str">
        <f>IFERROR(VLOOKUP(A2008,depara!A:B,2,0),A2008)</f>
        <v>P0002383</v>
      </c>
      <c r="E2008">
        <f>VLOOKUP(B2008,'inumos depara'!$A:$B,2,0)</f>
        <v>16298651</v>
      </c>
      <c r="F2008" s="1" t="str">
        <f t="shared" si="62"/>
        <v>0.09</v>
      </c>
      <c r="G2008" t="str">
        <f t="shared" si="63"/>
        <v>P0002383,16298651,0.09</v>
      </c>
    </row>
    <row r="2009" spans="1:7" x14ac:dyDescent="0.25">
      <c r="A2009" s="1" t="s">
        <v>1050</v>
      </c>
      <c r="B2009" s="1" t="s">
        <v>1254</v>
      </c>
      <c r="C2009" s="1" t="s">
        <v>76</v>
      </c>
      <c r="D2009" t="str">
        <f>IFERROR(VLOOKUP(A2009,depara!A:B,2,0),A2009)</f>
        <v>P0002383</v>
      </c>
      <c r="E2009">
        <f>VLOOKUP(B2009,'inumos depara'!$A:$B,2,0)</f>
        <v>16298659</v>
      </c>
      <c r="F2009" s="1" t="str">
        <f t="shared" si="62"/>
        <v>0.03</v>
      </c>
      <c r="G2009" t="str">
        <f t="shared" si="63"/>
        <v>P0002383,16298659,0.03</v>
      </c>
    </row>
    <row r="2010" spans="1:7" x14ac:dyDescent="0.25">
      <c r="A2010" s="1" t="s">
        <v>1050</v>
      </c>
      <c r="B2010" s="1" t="s">
        <v>1242</v>
      </c>
      <c r="C2010" s="1" t="s">
        <v>76</v>
      </c>
      <c r="D2010" t="str">
        <f>IFERROR(VLOOKUP(A2010,depara!A:B,2,0),A2010)</f>
        <v>P0002383</v>
      </c>
      <c r="E2010">
        <f>VLOOKUP(B2010,'inumos depara'!$A:$B,2,0)</f>
        <v>16298643</v>
      </c>
      <c r="F2010" s="1" t="str">
        <f t="shared" si="62"/>
        <v>0.03</v>
      </c>
      <c r="G2010" t="str">
        <f t="shared" si="63"/>
        <v>P0002383,16298643,0.03</v>
      </c>
    </row>
    <row r="2011" spans="1:7" x14ac:dyDescent="0.25">
      <c r="A2011" s="1" t="s">
        <v>1050</v>
      </c>
      <c r="B2011" s="1" t="s">
        <v>72</v>
      </c>
      <c r="C2011" s="1" t="s">
        <v>64</v>
      </c>
      <c r="D2011" t="str">
        <f>IFERROR(VLOOKUP(A2011,depara!A:B,2,0),A2011)</f>
        <v>P0002383</v>
      </c>
      <c r="E2011">
        <f>VLOOKUP(B2011,'inumos depara'!$A:$B,2,0)</f>
        <v>16298644</v>
      </c>
      <c r="F2011" s="1" t="str">
        <f t="shared" si="62"/>
        <v>0.02</v>
      </c>
      <c r="G2011" t="str">
        <f t="shared" si="63"/>
        <v>P0002383,16298644,0.02</v>
      </c>
    </row>
    <row r="2012" spans="1:7" x14ac:dyDescent="0.25">
      <c r="A2012" s="1" t="s">
        <v>1050</v>
      </c>
      <c r="B2012" s="1" t="s">
        <v>1245</v>
      </c>
      <c r="C2012" s="1" t="s">
        <v>64</v>
      </c>
      <c r="D2012" t="str">
        <f>IFERROR(VLOOKUP(A2012,depara!A:B,2,0),A2012)</f>
        <v>P0002383</v>
      </c>
      <c r="E2012">
        <f>VLOOKUP(B2012,'inumos depara'!$A:$B,2,0)</f>
        <v>16298647</v>
      </c>
      <c r="F2012" s="1" t="str">
        <f t="shared" si="62"/>
        <v>0.02</v>
      </c>
      <c r="G2012" t="str">
        <f t="shared" si="63"/>
        <v>P0002383,16298647,0.02</v>
      </c>
    </row>
    <row r="2013" spans="1:7" x14ac:dyDescent="0.25">
      <c r="A2013" s="1" t="s">
        <v>1050</v>
      </c>
      <c r="B2013" s="1" t="s">
        <v>1246</v>
      </c>
      <c r="C2013" s="1" t="s">
        <v>6</v>
      </c>
      <c r="D2013" t="str">
        <f>IFERROR(VLOOKUP(A2013,depara!A:B,2,0),A2013)</f>
        <v>P0002383</v>
      </c>
      <c r="E2013">
        <f>VLOOKUP(B2013,'inumos depara'!$A:$B,2,0)</f>
        <v>16298648</v>
      </c>
      <c r="F2013" s="1" t="str">
        <f t="shared" si="62"/>
        <v>0.01</v>
      </c>
      <c r="G2013" t="str">
        <f t="shared" si="63"/>
        <v>P0002383,16298648,0.01</v>
      </c>
    </row>
    <row r="2014" spans="1:7" x14ac:dyDescent="0.25">
      <c r="A2014" s="1" t="s">
        <v>1050</v>
      </c>
      <c r="B2014" s="1" t="s">
        <v>1171</v>
      </c>
      <c r="C2014" s="1" t="s">
        <v>4</v>
      </c>
      <c r="D2014" t="str">
        <f>IFERROR(VLOOKUP(A2014,depara!A:B,2,0),A2014)</f>
        <v>P0002383</v>
      </c>
      <c r="E2014">
        <f>VLOOKUP(B2014,'inumos depara'!$A:$B,2,0)</f>
        <v>16298580</v>
      </c>
      <c r="F2014" s="1" t="str">
        <f t="shared" si="62"/>
        <v>0.005</v>
      </c>
      <c r="G2014" t="str">
        <f t="shared" si="63"/>
        <v>P0002383,16298580,0.005</v>
      </c>
    </row>
    <row r="2015" spans="1:7" x14ac:dyDescent="0.25">
      <c r="A2015" s="1" t="s">
        <v>1050</v>
      </c>
      <c r="B2015" s="1" t="s">
        <v>1244</v>
      </c>
      <c r="C2015" s="1" t="s">
        <v>68</v>
      </c>
      <c r="D2015" t="str">
        <f>IFERROR(VLOOKUP(A2015,depara!A:B,2,0),A2015)</f>
        <v>P0002383</v>
      </c>
      <c r="E2015">
        <f>VLOOKUP(B2015,'inumos depara'!$A:$B,2,0)</f>
        <v>16298646</v>
      </c>
      <c r="F2015" s="1" t="str">
        <f t="shared" si="62"/>
        <v>0.004</v>
      </c>
      <c r="G2015" t="str">
        <f t="shared" si="63"/>
        <v>P0002383,16298646,0.004</v>
      </c>
    </row>
    <row r="2016" spans="1:7" x14ac:dyDescent="0.25">
      <c r="A2016" s="1" t="s">
        <v>1050</v>
      </c>
      <c r="B2016" s="1" t="s">
        <v>1251</v>
      </c>
      <c r="C2016" s="1" t="s">
        <v>5</v>
      </c>
      <c r="D2016" t="str">
        <f>IFERROR(VLOOKUP(A2016,depara!A:B,2,0),A2016)</f>
        <v>P0002383</v>
      </c>
      <c r="E2016">
        <f>VLOOKUP(B2016,'inumos depara'!$A:$B,2,0)</f>
        <v>16298653</v>
      </c>
      <c r="F2016" s="1" t="str">
        <f t="shared" si="62"/>
        <v>0.002</v>
      </c>
      <c r="G2016" t="str">
        <f t="shared" si="63"/>
        <v>P0002383,16298653,0.002</v>
      </c>
    </row>
    <row r="2017" spans="1:7" x14ac:dyDescent="0.25">
      <c r="A2017" s="1" t="s">
        <v>1050</v>
      </c>
      <c r="B2017" s="1" t="s">
        <v>1243</v>
      </c>
      <c r="C2017" s="1" t="s">
        <v>4</v>
      </c>
      <c r="D2017" t="str">
        <f>IFERROR(VLOOKUP(A2017,depara!A:B,2,0),A2017)</f>
        <v>P0002383</v>
      </c>
      <c r="E2017">
        <f>VLOOKUP(B2017,'inumos depara'!$A:$B,2,0)</f>
        <v>16298645</v>
      </c>
      <c r="F2017" s="1" t="str">
        <f t="shared" si="62"/>
        <v>0.005</v>
      </c>
      <c r="G2017" t="str">
        <f t="shared" si="63"/>
        <v>P0002383,16298645,0.005</v>
      </c>
    </row>
    <row r="2018" spans="1:7" x14ac:dyDescent="0.25">
      <c r="A2018" s="1" t="s">
        <v>1050</v>
      </c>
      <c r="B2018" s="1" t="s">
        <v>1250</v>
      </c>
      <c r="C2018" s="1" t="s">
        <v>64</v>
      </c>
      <c r="D2018" t="str">
        <f>IFERROR(VLOOKUP(A2018,depara!A:B,2,0),A2018)</f>
        <v>P0002383</v>
      </c>
      <c r="E2018">
        <f>VLOOKUP(B2018,'inumos depara'!$A:$B,2,0)</f>
        <v>16298652</v>
      </c>
      <c r="F2018" s="1" t="str">
        <f t="shared" si="62"/>
        <v>0.02</v>
      </c>
      <c r="G2018" t="str">
        <f t="shared" si="63"/>
        <v>P0002383,16298652,0.02</v>
      </c>
    </row>
    <row r="2019" spans="1:7" x14ac:dyDescent="0.25">
      <c r="A2019" s="1" t="s">
        <v>1050</v>
      </c>
      <c r="B2019" s="1" t="s">
        <v>1156</v>
      </c>
      <c r="C2019" s="1" t="s">
        <v>4</v>
      </c>
      <c r="D2019" t="str">
        <f>IFERROR(VLOOKUP(A2019,depara!A:B,2,0),A2019)</f>
        <v>P0002383</v>
      </c>
      <c r="E2019">
        <f>VLOOKUP(B2019,'inumos depara'!$A:$B,2,0)</f>
        <v>16298567</v>
      </c>
      <c r="F2019" s="1" t="str">
        <f t="shared" si="62"/>
        <v>0.005</v>
      </c>
      <c r="G2019" t="str">
        <f t="shared" si="63"/>
        <v>P0002383,16298567,0.005</v>
      </c>
    </row>
    <row r="2020" spans="1:7" x14ac:dyDescent="0.25">
      <c r="A2020" s="1" t="s">
        <v>1050</v>
      </c>
      <c r="B2020" s="1" t="s">
        <v>75</v>
      </c>
      <c r="C2020" s="1" t="s">
        <v>10</v>
      </c>
      <c r="D2020" t="str">
        <f>IFERROR(VLOOKUP(A2020,depara!A:B,2,0),A2020)</f>
        <v>P0002383</v>
      </c>
      <c r="E2020">
        <f>VLOOKUP(B2020,'inumos depara'!$A:$B,2,0)</f>
        <v>16298655</v>
      </c>
      <c r="F2020" s="1" t="str">
        <f t="shared" si="62"/>
        <v>0.001</v>
      </c>
      <c r="G2020" t="str">
        <f t="shared" si="63"/>
        <v>P0002383,16298655,0.001</v>
      </c>
    </row>
    <row r="2021" spans="1:7" x14ac:dyDescent="0.25">
      <c r="A2021" s="1" t="s">
        <v>1050</v>
      </c>
      <c r="B2021" s="1" t="s">
        <v>1176</v>
      </c>
      <c r="C2021" s="1" t="s">
        <v>10</v>
      </c>
      <c r="D2021" t="str">
        <f>IFERROR(VLOOKUP(A2021,depara!A:B,2,0),A2021)</f>
        <v>P0002383</v>
      </c>
      <c r="E2021">
        <f>VLOOKUP(B2021,'inumos depara'!$A:$B,2,0)</f>
        <v>16298585</v>
      </c>
      <c r="F2021" s="1" t="str">
        <f t="shared" si="62"/>
        <v>0.001</v>
      </c>
      <c r="G2021" t="str">
        <f t="shared" si="63"/>
        <v>P0002383,16298585,0.001</v>
      </c>
    </row>
    <row r="2022" spans="1:7" x14ac:dyDescent="0.25">
      <c r="A2022" s="1" t="s">
        <v>1050</v>
      </c>
      <c r="B2022" s="1" t="s">
        <v>1265</v>
      </c>
      <c r="C2022" s="1" t="s">
        <v>6</v>
      </c>
      <c r="D2022" t="str">
        <f>IFERROR(VLOOKUP(A2022,depara!A:B,2,0),A2022)</f>
        <v>P0002383</v>
      </c>
      <c r="E2022">
        <f>VLOOKUP(B2022,'inumos depara'!$A:$B,2,0)</f>
        <v>16298667</v>
      </c>
      <c r="F2022" s="1" t="str">
        <f t="shared" si="62"/>
        <v>0.01</v>
      </c>
      <c r="G2022" t="str">
        <f t="shared" si="63"/>
        <v>P0002383,16298667,0.01</v>
      </c>
    </row>
    <row r="2023" spans="1:7" x14ac:dyDescent="0.25">
      <c r="A2023" s="1" t="s">
        <v>1050</v>
      </c>
      <c r="B2023" s="1" t="s">
        <v>1252</v>
      </c>
      <c r="C2023" s="1" t="s">
        <v>5</v>
      </c>
      <c r="D2023" t="str">
        <f>IFERROR(VLOOKUP(A2023,depara!A:B,2,0),A2023)</f>
        <v>P0002383</v>
      </c>
      <c r="E2023">
        <f>VLOOKUP(B2023,'inumos depara'!$A:$B,2,0)</f>
        <v>16298656</v>
      </c>
      <c r="F2023" s="1" t="str">
        <f t="shared" si="62"/>
        <v>0.002</v>
      </c>
      <c r="G2023" t="str">
        <f t="shared" si="63"/>
        <v>P0002383,16298656,0.002</v>
      </c>
    </row>
    <row r="2024" spans="1:7" x14ac:dyDescent="0.25">
      <c r="A2024" s="1" t="s">
        <v>1050</v>
      </c>
      <c r="B2024" s="1" t="s">
        <v>74</v>
      </c>
      <c r="C2024" s="1" t="s">
        <v>1</v>
      </c>
      <c r="D2024" t="str">
        <f>IFERROR(VLOOKUP(A2024,depara!A:B,2,0),A2024)</f>
        <v>P0002383</v>
      </c>
      <c r="E2024">
        <f>VLOOKUP(B2024,'inumos depara'!$A:$B,2,0)</f>
        <v>16298654</v>
      </c>
      <c r="F2024" s="1" t="str">
        <f t="shared" si="62"/>
        <v>0.003</v>
      </c>
      <c r="G2024" t="str">
        <f t="shared" si="63"/>
        <v>P0002383,16298654,0.003</v>
      </c>
    </row>
    <row r="2025" spans="1:7" x14ac:dyDescent="0.25">
      <c r="A2025" s="1" t="s">
        <v>1050</v>
      </c>
      <c r="B2025" s="1" t="s">
        <v>1256</v>
      </c>
      <c r="C2025" s="1" t="s">
        <v>71</v>
      </c>
      <c r="D2025" t="str">
        <f>IFERROR(VLOOKUP(A2025,depara!A:B,2,0),A2025)</f>
        <v>P0002383</v>
      </c>
      <c r="E2025">
        <f>VLOOKUP(B2025,'inumos depara'!$A:$B,2,0)</f>
        <v>16298662</v>
      </c>
      <c r="F2025" s="1" t="str">
        <f t="shared" si="62"/>
        <v>0.04</v>
      </c>
      <c r="G2025" t="str">
        <f t="shared" si="63"/>
        <v>P0002383,16298662,0.04</v>
      </c>
    </row>
    <row r="2026" spans="1:7" x14ac:dyDescent="0.25">
      <c r="A2026" s="1" t="s">
        <v>1050</v>
      </c>
      <c r="B2026" s="1" t="s">
        <v>1146</v>
      </c>
      <c r="C2026" s="1" t="s">
        <v>10</v>
      </c>
      <c r="D2026" t="str">
        <f>IFERROR(VLOOKUP(A2026,depara!A:B,2,0),A2026)</f>
        <v>P0002383</v>
      </c>
      <c r="E2026">
        <f>VLOOKUP(B2026,'inumos depara'!$A:$B,2,0)</f>
        <v>16298558</v>
      </c>
      <c r="F2026" s="1" t="str">
        <f t="shared" si="62"/>
        <v>0.001</v>
      </c>
      <c r="G2026" t="str">
        <f t="shared" si="63"/>
        <v>P0002383,16298558,0.001</v>
      </c>
    </row>
    <row r="2027" spans="1:7" x14ac:dyDescent="0.25">
      <c r="A2027" s="1" t="s">
        <v>1050</v>
      </c>
      <c r="B2027" s="1" t="s">
        <v>1219</v>
      </c>
      <c r="C2027" s="1" t="s">
        <v>4</v>
      </c>
      <c r="D2027" t="str">
        <f>IFERROR(VLOOKUP(A2027,depara!A:B,2,0),A2027)</f>
        <v>P0002383</v>
      </c>
      <c r="E2027">
        <f>VLOOKUP(B2027,'inumos depara'!$A:$B,2,0)</f>
        <v>16298624</v>
      </c>
      <c r="F2027" s="1" t="str">
        <f t="shared" si="62"/>
        <v>0.005</v>
      </c>
      <c r="G2027" t="str">
        <f t="shared" si="63"/>
        <v>P0002383,16298624,0.005</v>
      </c>
    </row>
    <row r="2028" spans="1:7" x14ac:dyDescent="0.25">
      <c r="A2028" s="1" t="s">
        <v>1050</v>
      </c>
      <c r="B2028" s="1" t="s">
        <v>1253</v>
      </c>
      <c r="C2028" s="1" t="s">
        <v>76</v>
      </c>
      <c r="D2028" t="str">
        <f>IFERROR(VLOOKUP(A2028,depara!A:B,2,0),A2028)</f>
        <v>P0002383</v>
      </c>
      <c r="E2028">
        <f>VLOOKUP(B2028,'inumos depara'!$A:$B,2,0)</f>
        <v>16298657</v>
      </c>
      <c r="F2028" s="1" t="str">
        <f t="shared" si="62"/>
        <v>0.03</v>
      </c>
      <c r="G2028" t="str">
        <f t="shared" si="63"/>
        <v>P0002383,16298657,0.03</v>
      </c>
    </row>
    <row r="2029" spans="1:7" x14ac:dyDescent="0.25">
      <c r="A2029" s="1" t="s">
        <v>1050</v>
      </c>
      <c r="B2029" s="1" t="s">
        <v>77</v>
      </c>
      <c r="C2029" s="1" t="s">
        <v>0</v>
      </c>
      <c r="D2029" t="str">
        <f>IFERROR(VLOOKUP(A2029,depara!A:B,2,0),A2029)</f>
        <v>P0002383</v>
      </c>
      <c r="E2029">
        <f>VLOOKUP(B2029,'inumos depara'!$A:$B,2,0)</f>
        <v>16298658</v>
      </c>
      <c r="F2029" s="1" t="str">
        <f t="shared" si="62"/>
        <v>0.05</v>
      </c>
      <c r="G2029" t="str">
        <f t="shared" si="63"/>
        <v>P0002383,16298658,0.05</v>
      </c>
    </row>
    <row r="2030" spans="1:7" x14ac:dyDescent="0.25">
      <c r="A2030" s="1" t="s">
        <v>1050</v>
      </c>
      <c r="B2030" s="1" t="s">
        <v>1255</v>
      </c>
      <c r="C2030" s="1" t="s">
        <v>73</v>
      </c>
      <c r="D2030" t="str">
        <f>IFERROR(VLOOKUP(A2030,depara!A:B,2,0),A2030)</f>
        <v>P0002383</v>
      </c>
      <c r="E2030">
        <f>VLOOKUP(B2030,'inumos depara'!$A:$B,2,0)</f>
        <v>16298660</v>
      </c>
      <c r="F2030" s="1" t="str">
        <f t="shared" si="62"/>
        <v>0.08</v>
      </c>
      <c r="G2030" t="str">
        <f t="shared" si="63"/>
        <v>P0002383,16298660,0.08</v>
      </c>
    </row>
    <row r="2031" spans="1:7" x14ac:dyDescent="0.25">
      <c r="A2031" s="1" t="s">
        <v>1052</v>
      </c>
      <c r="B2031" s="1" t="s">
        <v>1247</v>
      </c>
      <c r="C2031" s="1" t="s">
        <v>73</v>
      </c>
      <c r="D2031" t="str">
        <f>IFERROR(VLOOKUP(A2031,depara!A:B,2,0),A2031)</f>
        <v>P0002384</v>
      </c>
      <c r="E2031">
        <f>VLOOKUP(B2031,'inumos depara'!$A:$B,2,0)</f>
        <v>16298649</v>
      </c>
      <c r="F2031" s="1" t="str">
        <f t="shared" si="62"/>
        <v>0.08</v>
      </c>
      <c r="G2031" t="str">
        <f t="shared" si="63"/>
        <v>P0002384,16298649,0.08</v>
      </c>
    </row>
    <row r="2032" spans="1:7" x14ac:dyDescent="0.25">
      <c r="A2032" s="1" t="s">
        <v>1052</v>
      </c>
      <c r="B2032" s="1" t="s">
        <v>1248</v>
      </c>
      <c r="C2032" s="1" t="s">
        <v>8</v>
      </c>
      <c r="D2032" t="str">
        <f>IFERROR(VLOOKUP(A2032,depara!A:B,2,0),A2032)</f>
        <v>P0002384</v>
      </c>
      <c r="E2032">
        <f>VLOOKUP(B2032,'inumos depara'!$A:$B,2,0)</f>
        <v>16298650</v>
      </c>
      <c r="F2032" s="1" t="str">
        <f t="shared" si="62"/>
        <v>0.06</v>
      </c>
      <c r="G2032" t="str">
        <f t="shared" si="63"/>
        <v>P0002384,16298650,0.06</v>
      </c>
    </row>
    <row r="2033" spans="1:7" x14ac:dyDescent="0.25">
      <c r="A2033" s="1" t="s">
        <v>1052</v>
      </c>
      <c r="B2033" s="1" t="s">
        <v>1249</v>
      </c>
      <c r="C2033" s="1" t="s">
        <v>9</v>
      </c>
      <c r="D2033" t="str">
        <f>IFERROR(VLOOKUP(A2033,depara!A:B,2,0),A2033)</f>
        <v>P0002384</v>
      </c>
      <c r="E2033">
        <f>VLOOKUP(B2033,'inumos depara'!$A:$B,2,0)</f>
        <v>16298651</v>
      </c>
      <c r="F2033" s="1" t="str">
        <f t="shared" si="62"/>
        <v>0.09</v>
      </c>
      <c r="G2033" t="str">
        <f t="shared" si="63"/>
        <v>P0002384,16298651,0.09</v>
      </c>
    </row>
    <row r="2034" spans="1:7" x14ac:dyDescent="0.25">
      <c r="A2034" s="1" t="s">
        <v>1052</v>
      </c>
      <c r="B2034" s="1" t="s">
        <v>1254</v>
      </c>
      <c r="C2034" s="1" t="s">
        <v>71</v>
      </c>
      <c r="D2034" t="str">
        <f>IFERROR(VLOOKUP(A2034,depara!A:B,2,0),A2034)</f>
        <v>P0002384</v>
      </c>
      <c r="E2034">
        <f>VLOOKUP(B2034,'inumos depara'!$A:$B,2,0)</f>
        <v>16298659</v>
      </c>
      <c r="F2034" s="1" t="str">
        <f t="shared" si="62"/>
        <v>0.04</v>
      </c>
      <c r="G2034" t="str">
        <f t="shared" si="63"/>
        <v>P0002384,16298659,0.04</v>
      </c>
    </row>
    <row r="2035" spans="1:7" x14ac:dyDescent="0.25">
      <c r="A2035" s="1" t="s">
        <v>1052</v>
      </c>
      <c r="B2035" s="1" t="s">
        <v>1242</v>
      </c>
      <c r="C2035" s="1" t="s">
        <v>71</v>
      </c>
      <c r="D2035" t="str">
        <f>IFERROR(VLOOKUP(A2035,depara!A:B,2,0),A2035)</f>
        <v>P0002384</v>
      </c>
      <c r="E2035">
        <f>VLOOKUP(B2035,'inumos depara'!$A:$B,2,0)</f>
        <v>16298643</v>
      </c>
      <c r="F2035" s="1" t="str">
        <f t="shared" si="62"/>
        <v>0.04</v>
      </c>
      <c r="G2035" t="str">
        <f t="shared" si="63"/>
        <v>P0002384,16298643,0.04</v>
      </c>
    </row>
    <row r="2036" spans="1:7" x14ac:dyDescent="0.25">
      <c r="A2036" s="1" t="s">
        <v>1052</v>
      </c>
      <c r="B2036" s="1" t="s">
        <v>72</v>
      </c>
      <c r="C2036" s="1" t="s">
        <v>64</v>
      </c>
      <c r="D2036" t="str">
        <f>IFERROR(VLOOKUP(A2036,depara!A:B,2,0),A2036)</f>
        <v>P0002384</v>
      </c>
      <c r="E2036">
        <f>VLOOKUP(B2036,'inumos depara'!$A:$B,2,0)</f>
        <v>16298644</v>
      </c>
      <c r="F2036" s="1" t="str">
        <f t="shared" si="62"/>
        <v>0.02</v>
      </c>
      <c r="G2036" t="str">
        <f t="shared" si="63"/>
        <v>P0002384,16298644,0.02</v>
      </c>
    </row>
    <row r="2037" spans="1:7" x14ac:dyDescent="0.25">
      <c r="A2037" s="1" t="s">
        <v>1052</v>
      </c>
      <c r="B2037" s="1" t="s">
        <v>1245</v>
      </c>
      <c r="C2037" s="1" t="s">
        <v>64</v>
      </c>
      <c r="D2037" t="str">
        <f>IFERROR(VLOOKUP(A2037,depara!A:B,2,0),A2037)</f>
        <v>P0002384</v>
      </c>
      <c r="E2037">
        <f>VLOOKUP(B2037,'inumos depara'!$A:$B,2,0)</f>
        <v>16298647</v>
      </c>
      <c r="F2037" s="1" t="str">
        <f t="shared" si="62"/>
        <v>0.02</v>
      </c>
      <c r="G2037" t="str">
        <f t="shared" si="63"/>
        <v>P0002384,16298647,0.02</v>
      </c>
    </row>
    <row r="2038" spans="1:7" x14ac:dyDescent="0.25">
      <c r="A2038" s="1" t="s">
        <v>1052</v>
      </c>
      <c r="B2038" s="1" t="s">
        <v>1246</v>
      </c>
      <c r="C2038" s="1" t="s">
        <v>6</v>
      </c>
      <c r="D2038" t="str">
        <f>IFERROR(VLOOKUP(A2038,depara!A:B,2,0),A2038)</f>
        <v>P0002384</v>
      </c>
      <c r="E2038">
        <f>VLOOKUP(B2038,'inumos depara'!$A:$B,2,0)</f>
        <v>16298648</v>
      </c>
      <c r="F2038" s="1" t="str">
        <f t="shared" si="62"/>
        <v>0.01</v>
      </c>
      <c r="G2038" t="str">
        <f t="shared" si="63"/>
        <v>P0002384,16298648,0.01</v>
      </c>
    </row>
    <row r="2039" spans="1:7" x14ac:dyDescent="0.25">
      <c r="A2039" s="1" t="s">
        <v>1052</v>
      </c>
      <c r="B2039" s="1" t="s">
        <v>1171</v>
      </c>
      <c r="C2039" s="1" t="s">
        <v>4</v>
      </c>
      <c r="D2039" t="str">
        <f>IFERROR(VLOOKUP(A2039,depara!A:B,2,0),A2039)</f>
        <v>P0002384</v>
      </c>
      <c r="E2039">
        <f>VLOOKUP(B2039,'inumos depara'!$A:$B,2,0)</f>
        <v>16298580</v>
      </c>
      <c r="F2039" s="1" t="str">
        <f t="shared" si="62"/>
        <v>0.005</v>
      </c>
      <c r="G2039" t="str">
        <f t="shared" si="63"/>
        <v>P0002384,16298580,0.005</v>
      </c>
    </row>
    <row r="2040" spans="1:7" x14ac:dyDescent="0.25">
      <c r="A2040" s="1" t="s">
        <v>1052</v>
      </c>
      <c r="B2040" s="1" t="s">
        <v>1244</v>
      </c>
      <c r="C2040" s="1" t="s">
        <v>68</v>
      </c>
      <c r="D2040" t="str">
        <f>IFERROR(VLOOKUP(A2040,depara!A:B,2,0),A2040)</f>
        <v>P0002384</v>
      </c>
      <c r="E2040">
        <f>VLOOKUP(B2040,'inumos depara'!$A:$B,2,0)</f>
        <v>16298646</v>
      </c>
      <c r="F2040" s="1" t="str">
        <f t="shared" si="62"/>
        <v>0.004</v>
      </c>
      <c r="G2040" t="str">
        <f t="shared" si="63"/>
        <v>P0002384,16298646,0.004</v>
      </c>
    </row>
    <row r="2041" spans="1:7" x14ac:dyDescent="0.25">
      <c r="A2041" s="1" t="s">
        <v>1052</v>
      </c>
      <c r="B2041" s="1" t="s">
        <v>1251</v>
      </c>
      <c r="C2041" s="1" t="s">
        <v>5</v>
      </c>
      <c r="D2041" t="str">
        <f>IFERROR(VLOOKUP(A2041,depara!A:B,2,0),A2041)</f>
        <v>P0002384</v>
      </c>
      <c r="E2041">
        <f>VLOOKUP(B2041,'inumos depara'!$A:$B,2,0)</f>
        <v>16298653</v>
      </c>
      <c r="F2041" s="1" t="str">
        <f t="shared" si="62"/>
        <v>0.002</v>
      </c>
      <c r="G2041" t="str">
        <f t="shared" si="63"/>
        <v>P0002384,16298653,0.002</v>
      </c>
    </row>
    <row r="2042" spans="1:7" x14ac:dyDescent="0.25">
      <c r="A2042" s="1" t="s">
        <v>1052</v>
      </c>
      <c r="B2042" s="1" t="s">
        <v>1243</v>
      </c>
      <c r="C2042" s="1" t="s">
        <v>4</v>
      </c>
      <c r="D2042" t="str">
        <f>IFERROR(VLOOKUP(A2042,depara!A:B,2,0),A2042)</f>
        <v>P0002384</v>
      </c>
      <c r="E2042">
        <f>VLOOKUP(B2042,'inumos depara'!$A:$B,2,0)</f>
        <v>16298645</v>
      </c>
      <c r="F2042" s="1" t="str">
        <f t="shared" si="62"/>
        <v>0.005</v>
      </c>
      <c r="G2042" t="str">
        <f t="shared" si="63"/>
        <v>P0002384,16298645,0.005</v>
      </c>
    </row>
    <row r="2043" spans="1:7" x14ac:dyDescent="0.25">
      <c r="A2043" s="1" t="s">
        <v>1052</v>
      </c>
      <c r="B2043" s="1" t="s">
        <v>1250</v>
      </c>
      <c r="C2043" s="1" t="s">
        <v>64</v>
      </c>
      <c r="D2043" t="str">
        <f>IFERROR(VLOOKUP(A2043,depara!A:B,2,0),A2043)</f>
        <v>P0002384</v>
      </c>
      <c r="E2043">
        <f>VLOOKUP(B2043,'inumos depara'!$A:$B,2,0)</f>
        <v>16298652</v>
      </c>
      <c r="F2043" s="1" t="str">
        <f t="shared" si="62"/>
        <v>0.02</v>
      </c>
      <c r="G2043" t="str">
        <f t="shared" si="63"/>
        <v>P0002384,16298652,0.02</v>
      </c>
    </row>
    <row r="2044" spans="1:7" x14ac:dyDescent="0.25">
      <c r="A2044" s="1" t="s">
        <v>1052</v>
      </c>
      <c r="B2044" s="1" t="s">
        <v>1156</v>
      </c>
      <c r="C2044" s="1" t="s">
        <v>4</v>
      </c>
      <c r="D2044" t="str">
        <f>IFERROR(VLOOKUP(A2044,depara!A:B,2,0),A2044)</f>
        <v>P0002384</v>
      </c>
      <c r="E2044">
        <f>VLOOKUP(B2044,'inumos depara'!$A:$B,2,0)</f>
        <v>16298567</v>
      </c>
      <c r="F2044" s="1" t="str">
        <f t="shared" si="62"/>
        <v>0.005</v>
      </c>
      <c r="G2044" t="str">
        <f t="shared" si="63"/>
        <v>P0002384,16298567,0.005</v>
      </c>
    </row>
    <row r="2045" spans="1:7" x14ac:dyDescent="0.25">
      <c r="A2045" s="1" t="s">
        <v>1052</v>
      </c>
      <c r="B2045" s="1" t="s">
        <v>75</v>
      </c>
      <c r="C2045" s="1" t="s">
        <v>10</v>
      </c>
      <c r="D2045" t="str">
        <f>IFERROR(VLOOKUP(A2045,depara!A:B,2,0),A2045)</f>
        <v>P0002384</v>
      </c>
      <c r="E2045">
        <f>VLOOKUP(B2045,'inumos depara'!$A:$B,2,0)</f>
        <v>16298655</v>
      </c>
      <c r="F2045" s="1" t="str">
        <f t="shared" si="62"/>
        <v>0.001</v>
      </c>
      <c r="G2045" t="str">
        <f t="shared" si="63"/>
        <v>P0002384,16298655,0.001</v>
      </c>
    </row>
    <row r="2046" spans="1:7" x14ac:dyDescent="0.25">
      <c r="A2046" s="1" t="s">
        <v>1052</v>
      </c>
      <c r="B2046" s="1" t="s">
        <v>1176</v>
      </c>
      <c r="C2046" s="1" t="s">
        <v>10</v>
      </c>
      <c r="D2046" t="str">
        <f>IFERROR(VLOOKUP(A2046,depara!A:B,2,0),A2046)</f>
        <v>P0002384</v>
      </c>
      <c r="E2046">
        <f>VLOOKUP(B2046,'inumos depara'!$A:$B,2,0)</f>
        <v>16298585</v>
      </c>
      <c r="F2046" s="1" t="str">
        <f t="shared" si="62"/>
        <v>0.001</v>
      </c>
      <c r="G2046" t="str">
        <f t="shared" si="63"/>
        <v>P0002384,16298585,0.001</v>
      </c>
    </row>
    <row r="2047" spans="1:7" x14ac:dyDescent="0.25">
      <c r="A2047" s="1" t="s">
        <v>1052</v>
      </c>
      <c r="B2047" s="1" t="s">
        <v>1265</v>
      </c>
      <c r="C2047" s="1" t="s">
        <v>6</v>
      </c>
      <c r="D2047" t="str">
        <f>IFERROR(VLOOKUP(A2047,depara!A:B,2,0),A2047)</f>
        <v>P0002384</v>
      </c>
      <c r="E2047">
        <f>VLOOKUP(B2047,'inumos depara'!$A:$B,2,0)</f>
        <v>16298667</v>
      </c>
      <c r="F2047" s="1" t="str">
        <f t="shared" si="62"/>
        <v>0.01</v>
      </c>
      <c r="G2047" t="str">
        <f t="shared" si="63"/>
        <v>P0002384,16298667,0.01</v>
      </c>
    </row>
    <row r="2048" spans="1:7" x14ac:dyDescent="0.25">
      <c r="A2048" s="1" t="s">
        <v>1052</v>
      </c>
      <c r="B2048" s="1" t="s">
        <v>1252</v>
      </c>
      <c r="C2048" s="1" t="s">
        <v>5</v>
      </c>
      <c r="D2048" t="str">
        <f>IFERROR(VLOOKUP(A2048,depara!A:B,2,0),A2048)</f>
        <v>P0002384</v>
      </c>
      <c r="E2048">
        <f>VLOOKUP(B2048,'inumos depara'!$A:$B,2,0)</f>
        <v>16298656</v>
      </c>
      <c r="F2048" s="1" t="str">
        <f t="shared" si="62"/>
        <v>0.002</v>
      </c>
      <c r="G2048" t="str">
        <f t="shared" si="63"/>
        <v>P0002384,16298656,0.002</v>
      </c>
    </row>
    <row r="2049" spans="1:7" x14ac:dyDescent="0.25">
      <c r="A2049" s="1" t="s">
        <v>1052</v>
      </c>
      <c r="B2049" s="1" t="s">
        <v>74</v>
      </c>
      <c r="C2049" s="1" t="s">
        <v>1</v>
      </c>
      <c r="D2049" t="str">
        <f>IFERROR(VLOOKUP(A2049,depara!A:B,2,0),A2049)</f>
        <v>P0002384</v>
      </c>
      <c r="E2049">
        <f>VLOOKUP(B2049,'inumos depara'!$A:$B,2,0)</f>
        <v>16298654</v>
      </c>
      <c r="F2049" s="1" t="str">
        <f t="shared" si="62"/>
        <v>0.003</v>
      </c>
      <c r="G2049" t="str">
        <f t="shared" si="63"/>
        <v>P0002384,16298654,0.003</v>
      </c>
    </row>
    <row r="2050" spans="1:7" x14ac:dyDescent="0.25">
      <c r="A2050" s="1" t="s">
        <v>1052</v>
      </c>
      <c r="B2050" s="1" t="s">
        <v>1256</v>
      </c>
      <c r="C2050" s="1" t="s">
        <v>71</v>
      </c>
      <c r="D2050" t="str">
        <f>IFERROR(VLOOKUP(A2050,depara!A:B,2,0),A2050)</f>
        <v>P0002384</v>
      </c>
      <c r="E2050">
        <f>VLOOKUP(B2050,'inumos depara'!$A:$B,2,0)</f>
        <v>16298662</v>
      </c>
      <c r="F2050" s="1" t="str">
        <f t="shared" ref="F2050:F2113" si="64">C2050</f>
        <v>0.04</v>
      </c>
      <c r="G2050" t="str">
        <f t="shared" ref="G2050:G2113" si="65">D2050&amp;","&amp;E2050&amp;","&amp;F2050</f>
        <v>P0002384,16298662,0.04</v>
      </c>
    </row>
    <row r="2051" spans="1:7" x14ac:dyDescent="0.25">
      <c r="A2051" s="1" t="s">
        <v>1052</v>
      </c>
      <c r="B2051" s="1" t="s">
        <v>1146</v>
      </c>
      <c r="C2051" s="1" t="s">
        <v>10</v>
      </c>
      <c r="D2051" t="str">
        <f>IFERROR(VLOOKUP(A2051,depara!A:B,2,0),A2051)</f>
        <v>P0002384</v>
      </c>
      <c r="E2051">
        <f>VLOOKUP(B2051,'inumos depara'!$A:$B,2,0)</f>
        <v>16298558</v>
      </c>
      <c r="F2051" s="1" t="str">
        <f t="shared" si="64"/>
        <v>0.001</v>
      </c>
      <c r="G2051" t="str">
        <f t="shared" si="65"/>
        <v>P0002384,16298558,0.001</v>
      </c>
    </row>
    <row r="2052" spans="1:7" x14ac:dyDescent="0.25">
      <c r="A2052" s="1" t="s">
        <v>1052</v>
      </c>
      <c r="B2052" s="1" t="s">
        <v>1219</v>
      </c>
      <c r="C2052" s="1" t="s">
        <v>4</v>
      </c>
      <c r="D2052" t="str">
        <f>IFERROR(VLOOKUP(A2052,depara!A:B,2,0),A2052)</f>
        <v>P0002384</v>
      </c>
      <c r="E2052">
        <f>VLOOKUP(B2052,'inumos depara'!$A:$B,2,0)</f>
        <v>16298624</v>
      </c>
      <c r="F2052" s="1" t="str">
        <f t="shared" si="64"/>
        <v>0.005</v>
      </c>
      <c r="G2052" t="str">
        <f t="shared" si="65"/>
        <v>P0002384,16298624,0.005</v>
      </c>
    </row>
    <row r="2053" spans="1:7" x14ac:dyDescent="0.25">
      <c r="A2053" s="1" t="s">
        <v>1052</v>
      </c>
      <c r="B2053" s="1" t="s">
        <v>1253</v>
      </c>
      <c r="C2053" s="1" t="s">
        <v>76</v>
      </c>
      <c r="D2053" t="str">
        <f>IFERROR(VLOOKUP(A2053,depara!A:B,2,0),A2053)</f>
        <v>P0002384</v>
      </c>
      <c r="E2053">
        <f>VLOOKUP(B2053,'inumos depara'!$A:$B,2,0)</f>
        <v>16298657</v>
      </c>
      <c r="F2053" s="1" t="str">
        <f t="shared" si="64"/>
        <v>0.03</v>
      </c>
      <c r="G2053" t="str">
        <f t="shared" si="65"/>
        <v>P0002384,16298657,0.03</v>
      </c>
    </row>
    <row r="2054" spans="1:7" x14ac:dyDescent="0.25">
      <c r="A2054" s="1" t="s">
        <v>1052</v>
      </c>
      <c r="B2054" s="1" t="s">
        <v>77</v>
      </c>
      <c r="C2054" s="1" t="s">
        <v>0</v>
      </c>
      <c r="D2054" t="str">
        <f>IFERROR(VLOOKUP(A2054,depara!A:B,2,0),A2054)</f>
        <v>P0002384</v>
      </c>
      <c r="E2054">
        <f>VLOOKUP(B2054,'inumos depara'!$A:$B,2,0)</f>
        <v>16298658</v>
      </c>
      <c r="F2054" s="1" t="str">
        <f t="shared" si="64"/>
        <v>0.05</v>
      </c>
      <c r="G2054" t="str">
        <f t="shared" si="65"/>
        <v>P0002384,16298658,0.05</v>
      </c>
    </row>
    <row r="2055" spans="1:7" x14ac:dyDescent="0.25">
      <c r="A2055" s="1" t="s">
        <v>1052</v>
      </c>
      <c r="B2055" s="1" t="s">
        <v>1255</v>
      </c>
      <c r="C2055" s="1" t="s">
        <v>78</v>
      </c>
      <c r="D2055" t="str">
        <f>IFERROR(VLOOKUP(A2055,depara!A:B,2,0),A2055)</f>
        <v>P0002384</v>
      </c>
      <c r="E2055">
        <f>VLOOKUP(B2055,'inumos depara'!$A:$B,2,0)</f>
        <v>16298660</v>
      </c>
      <c r="F2055" s="1" t="str">
        <f t="shared" si="64"/>
        <v>0.14</v>
      </c>
      <c r="G2055" t="str">
        <f t="shared" si="65"/>
        <v>P0002384,16298660,0.14</v>
      </c>
    </row>
    <row r="2056" spans="1:7" x14ac:dyDescent="0.25">
      <c r="A2056" s="1" t="s">
        <v>1052</v>
      </c>
      <c r="B2056" s="1" t="s">
        <v>1053</v>
      </c>
      <c r="C2056" s="1" t="s">
        <v>1150</v>
      </c>
      <c r="D2056" t="str">
        <f>IFERROR(VLOOKUP(A2056,depara!A:B,2,0),A2056)</f>
        <v>P0002384</v>
      </c>
      <c r="E2056">
        <f>VLOOKUP(B2056,'inumos depara'!$A:$B,2,0)</f>
        <v>16299160</v>
      </c>
      <c r="F2056" s="1" t="str">
        <f t="shared" si="64"/>
        <v>1</v>
      </c>
      <c r="G2056" t="str">
        <f t="shared" si="65"/>
        <v>P0002384,16299160,1</v>
      </c>
    </row>
    <row r="2057" spans="1:7" x14ac:dyDescent="0.25">
      <c r="A2057" s="1" t="s">
        <v>1052</v>
      </c>
      <c r="B2057" s="1" t="s">
        <v>1247</v>
      </c>
      <c r="C2057" s="1" t="s">
        <v>73</v>
      </c>
      <c r="D2057" t="str">
        <f>IFERROR(VLOOKUP(A2057,depara!A:B,2,0),A2057)</f>
        <v>P0002384</v>
      </c>
      <c r="E2057">
        <f>VLOOKUP(B2057,'inumos depara'!$A:$B,2,0)</f>
        <v>16298649</v>
      </c>
      <c r="F2057" s="1" t="str">
        <f t="shared" si="64"/>
        <v>0.08</v>
      </c>
      <c r="G2057" t="str">
        <f t="shared" si="65"/>
        <v>P0002384,16298649,0.08</v>
      </c>
    </row>
    <row r="2058" spans="1:7" x14ac:dyDescent="0.25">
      <c r="A2058" s="1" t="s">
        <v>1052</v>
      </c>
      <c r="B2058" s="1" t="s">
        <v>1248</v>
      </c>
      <c r="C2058" s="1" t="s">
        <v>8</v>
      </c>
      <c r="D2058" t="str">
        <f>IFERROR(VLOOKUP(A2058,depara!A:B,2,0),A2058)</f>
        <v>P0002384</v>
      </c>
      <c r="E2058">
        <f>VLOOKUP(B2058,'inumos depara'!$A:$B,2,0)</f>
        <v>16298650</v>
      </c>
      <c r="F2058" s="1" t="str">
        <f t="shared" si="64"/>
        <v>0.06</v>
      </c>
      <c r="G2058" t="str">
        <f t="shared" si="65"/>
        <v>P0002384,16298650,0.06</v>
      </c>
    </row>
    <row r="2059" spans="1:7" x14ac:dyDescent="0.25">
      <c r="A2059" s="1" t="s">
        <v>1052</v>
      </c>
      <c r="B2059" s="1" t="s">
        <v>1249</v>
      </c>
      <c r="C2059" s="1" t="s">
        <v>9</v>
      </c>
      <c r="D2059" t="str">
        <f>IFERROR(VLOOKUP(A2059,depara!A:B,2,0),A2059)</f>
        <v>P0002384</v>
      </c>
      <c r="E2059">
        <f>VLOOKUP(B2059,'inumos depara'!$A:$B,2,0)</f>
        <v>16298651</v>
      </c>
      <c r="F2059" s="1" t="str">
        <f t="shared" si="64"/>
        <v>0.09</v>
      </c>
      <c r="G2059" t="str">
        <f t="shared" si="65"/>
        <v>P0002384,16298651,0.09</v>
      </c>
    </row>
    <row r="2060" spans="1:7" x14ac:dyDescent="0.25">
      <c r="A2060" s="1" t="s">
        <v>1052</v>
      </c>
      <c r="B2060" s="1" t="s">
        <v>1254</v>
      </c>
      <c r="C2060" s="1" t="s">
        <v>71</v>
      </c>
      <c r="D2060" t="str">
        <f>IFERROR(VLOOKUP(A2060,depara!A:B,2,0),A2060)</f>
        <v>P0002384</v>
      </c>
      <c r="E2060">
        <f>VLOOKUP(B2060,'inumos depara'!$A:$B,2,0)</f>
        <v>16298659</v>
      </c>
      <c r="F2060" s="1" t="str">
        <f t="shared" si="64"/>
        <v>0.04</v>
      </c>
      <c r="G2060" t="str">
        <f t="shared" si="65"/>
        <v>P0002384,16298659,0.04</v>
      </c>
    </row>
    <row r="2061" spans="1:7" x14ac:dyDescent="0.25">
      <c r="A2061" s="1" t="s">
        <v>1052</v>
      </c>
      <c r="B2061" s="1" t="s">
        <v>1242</v>
      </c>
      <c r="C2061" s="1" t="s">
        <v>71</v>
      </c>
      <c r="D2061" t="str">
        <f>IFERROR(VLOOKUP(A2061,depara!A:B,2,0),A2061)</f>
        <v>P0002384</v>
      </c>
      <c r="E2061">
        <f>VLOOKUP(B2061,'inumos depara'!$A:$B,2,0)</f>
        <v>16298643</v>
      </c>
      <c r="F2061" s="1" t="str">
        <f t="shared" si="64"/>
        <v>0.04</v>
      </c>
      <c r="G2061" t="str">
        <f t="shared" si="65"/>
        <v>P0002384,16298643,0.04</v>
      </c>
    </row>
    <row r="2062" spans="1:7" x14ac:dyDescent="0.25">
      <c r="A2062" s="1" t="s">
        <v>1052</v>
      </c>
      <c r="B2062" s="1" t="s">
        <v>72</v>
      </c>
      <c r="C2062" s="1" t="s">
        <v>64</v>
      </c>
      <c r="D2062" t="str">
        <f>IFERROR(VLOOKUP(A2062,depara!A:B,2,0),A2062)</f>
        <v>P0002384</v>
      </c>
      <c r="E2062">
        <f>VLOOKUP(B2062,'inumos depara'!$A:$B,2,0)</f>
        <v>16298644</v>
      </c>
      <c r="F2062" s="1" t="str">
        <f t="shared" si="64"/>
        <v>0.02</v>
      </c>
      <c r="G2062" t="str">
        <f t="shared" si="65"/>
        <v>P0002384,16298644,0.02</v>
      </c>
    </row>
    <row r="2063" spans="1:7" x14ac:dyDescent="0.25">
      <c r="A2063" s="1" t="s">
        <v>1052</v>
      </c>
      <c r="B2063" s="1" t="s">
        <v>1245</v>
      </c>
      <c r="C2063" s="1" t="s">
        <v>64</v>
      </c>
      <c r="D2063" t="str">
        <f>IFERROR(VLOOKUP(A2063,depara!A:B,2,0),A2063)</f>
        <v>P0002384</v>
      </c>
      <c r="E2063">
        <f>VLOOKUP(B2063,'inumos depara'!$A:$B,2,0)</f>
        <v>16298647</v>
      </c>
      <c r="F2063" s="1" t="str">
        <f t="shared" si="64"/>
        <v>0.02</v>
      </c>
      <c r="G2063" t="str">
        <f t="shared" si="65"/>
        <v>P0002384,16298647,0.02</v>
      </c>
    </row>
    <row r="2064" spans="1:7" x14ac:dyDescent="0.25">
      <c r="A2064" s="1" t="s">
        <v>1052</v>
      </c>
      <c r="B2064" s="1" t="s">
        <v>1246</v>
      </c>
      <c r="C2064" s="1" t="s">
        <v>6</v>
      </c>
      <c r="D2064" t="str">
        <f>IFERROR(VLOOKUP(A2064,depara!A:B,2,0),A2064)</f>
        <v>P0002384</v>
      </c>
      <c r="E2064">
        <f>VLOOKUP(B2064,'inumos depara'!$A:$B,2,0)</f>
        <v>16298648</v>
      </c>
      <c r="F2064" s="1" t="str">
        <f t="shared" si="64"/>
        <v>0.01</v>
      </c>
      <c r="G2064" t="str">
        <f t="shared" si="65"/>
        <v>P0002384,16298648,0.01</v>
      </c>
    </row>
    <row r="2065" spans="1:7" x14ac:dyDescent="0.25">
      <c r="A2065" s="1" t="s">
        <v>1052</v>
      </c>
      <c r="B2065" s="1" t="s">
        <v>1171</v>
      </c>
      <c r="C2065" s="1" t="s">
        <v>4</v>
      </c>
      <c r="D2065" t="str">
        <f>IFERROR(VLOOKUP(A2065,depara!A:B,2,0),A2065)</f>
        <v>P0002384</v>
      </c>
      <c r="E2065">
        <f>VLOOKUP(B2065,'inumos depara'!$A:$B,2,0)</f>
        <v>16298580</v>
      </c>
      <c r="F2065" s="1" t="str">
        <f t="shared" si="64"/>
        <v>0.005</v>
      </c>
      <c r="G2065" t="str">
        <f t="shared" si="65"/>
        <v>P0002384,16298580,0.005</v>
      </c>
    </row>
    <row r="2066" spans="1:7" x14ac:dyDescent="0.25">
      <c r="A2066" s="1" t="s">
        <v>1052</v>
      </c>
      <c r="B2066" s="1" t="s">
        <v>1244</v>
      </c>
      <c r="C2066" s="1" t="s">
        <v>68</v>
      </c>
      <c r="D2066" t="str">
        <f>IFERROR(VLOOKUP(A2066,depara!A:B,2,0),A2066)</f>
        <v>P0002384</v>
      </c>
      <c r="E2066">
        <f>VLOOKUP(B2066,'inumos depara'!$A:$B,2,0)</f>
        <v>16298646</v>
      </c>
      <c r="F2066" s="1" t="str">
        <f t="shared" si="64"/>
        <v>0.004</v>
      </c>
      <c r="G2066" t="str">
        <f t="shared" si="65"/>
        <v>P0002384,16298646,0.004</v>
      </c>
    </row>
    <row r="2067" spans="1:7" x14ac:dyDescent="0.25">
      <c r="A2067" s="1" t="s">
        <v>1052</v>
      </c>
      <c r="B2067" s="1" t="s">
        <v>1251</v>
      </c>
      <c r="C2067" s="1" t="s">
        <v>5</v>
      </c>
      <c r="D2067" t="str">
        <f>IFERROR(VLOOKUP(A2067,depara!A:B,2,0),A2067)</f>
        <v>P0002384</v>
      </c>
      <c r="E2067">
        <f>VLOOKUP(B2067,'inumos depara'!$A:$B,2,0)</f>
        <v>16298653</v>
      </c>
      <c r="F2067" s="1" t="str">
        <f t="shared" si="64"/>
        <v>0.002</v>
      </c>
      <c r="G2067" t="str">
        <f t="shared" si="65"/>
        <v>P0002384,16298653,0.002</v>
      </c>
    </row>
    <row r="2068" spans="1:7" x14ac:dyDescent="0.25">
      <c r="A2068" s="1" t="s">
        <v>1052</v>
      </c>
      <c r="B2068" s="1" t="s">
        <v>1243</v>
      </c>
      <c r="C2068" s="1" t="s">
        <v>4</v>
      </c>
      <c r="D2068" t="str">
        <f>IFERROR(VLOOKUP(A2068,depara!A:B,2,0),A2068)</f>
        <v>P0002384</v>
      </c>
      <c r="E2068">
        <f>VLOOKUP(B2068,'inumos depara'!$A:$B,2,0)</f>
        <v>16298645</v>
      </c>
      <c r="F2068" s="1" t="str">
        <f t="shared" si="64"/>
        <v>0.005</v>
      </c>
      <c r="G2068" t="str">
        <f t="shared" si="65"/>
        <v>P0002384,16298645,0.005</v>
      </c>
    </row>
    <row r="2069" spans="1:7" x14ac:dyDescent="0.25">
      <c r="A2069" s="1" t="s">
        <v>1052</v>
      </c>
      <c r="B2069" s="1" t="s">
        <v>1250</v>
      </c>
      <c r="C2069" s="1" t="s">
        <v>64</v>
      </c>
      <c r="D2069" t="str">
        <f>IFERROR(VLOOKUP(A2069,depara!A:B,2,0),A2069)</f>
        <v>P0002384</v>
      </c>
      <c r="E2069">
        <f>VLOOKUP(B2069,'inumos depara'!$A:$B,2,0)</f>
        <v>16298652</v>
      </c>
      <c r="F2069" s="1" t="str">
        <f t="shared" si="64"/>
        <v>0.02</v>
      </c>
      <c r="G2069" t="str">
        <f t="shared" si="65"/>
        <v>P0002384,16298652,0.02</v>
      </c>
    </row>
    <row r="2070" spans="1:7" x14ac:dyDescent="0.25">
      <c r="A2070" s="1" t="s">
        <v>1052</v>
      </c>
      <c r="B2070" s="1" t="s">
        <v>1156</v>
      </c>
      <c r="C2070" s="1" t="s">
        <v>4</v>
      </c>
      <c r="D2070" t="str">
        <f>IFERROR(VLOOKUP(A2070,depara!A:B,2,0),A2070)</f>
        <v>P0002384</v>
      </c>
      <c r="E2070">
        <f>VLOOKUP(B2070,'inumos depara'!$A:$B,2,0)</f>
        <v>16298567</v>
      </c>
      <c r="F2070" s="1" t="str">
        <f t="shared" si="64"/>
        <v>0.005</v>
      </c>
      <c r="G2070" t="str">
        <f t="shared" si="65"/>
        <v>P0002384,16298567,0.005</v>
      </c>
    </row>
    <row r="2071" spans="1:7" x14ac:dyDescent="0.25">
      <c r="A2071" s="1" t="s">
        <v>1052</v>
      </c>
      <c r="B2071" s="1" t="s">
        <v>75</v>
      </c>
      <c r="C2071" s="1" t="s">
        <v>10</v>
      </c>
      <c r="D2071" t="str">
        <f>IFERROR(VLOOKUP(A2071,depara!A:B,2,0),A2071)</f>
        <v>P0002384</v>
      </c>
      <c r="E2071">
        <f>VLOOKUP(B2071,'inumos depara'!$A:$B,2,0)</f>
        <v>16298655</v>
      </c>
      <c r="F2071" s="1" t="str">
        <f t="shared" si="64"/>
        <v>0.001</v>
      </c>
      <c r="G2071" t="str">
        <f t="shared" si="65"/>
        <v>P0002384,16298655,0.001</v>
      </c>
    </row>
    <row r="2072" spans="1:7" x14ac:dyDescent="0.25">
      <c r="A2072" s="1" t="s">
        <v>1052</v>
      </c>
      <c r="B2072" s="1" t="s">
        <v>1176</v>
      </c>
      <c r="C2072" s="1" t="s">
        <v>10</v>
      </c>
      <c r="D2072" t="str">
        <f>IFERROR(VLOOKUP(A2072,depara!A:B,2,0),A2072)</f>
        <v>P0002384</v>
      </c>
      <c r="E2072">
        <f>VLOOKUP(B2072,'inumos depara'!$A:$B,2,0)</f>
        <v>16298585</v>
      </c>
      <c r="F2072" s="1" t="str">
        <f t="shared" si="64"/>
        <v>0.001</v>
      </c>
      <c r="G2072" t="str">
        <f t="shared" si="65"/>
        <v>P0002384,16298585,0.001</v>
      </c>
    </row>
    <row r="2073" spans="1:7" x14ac:dyDescent="0.25">
      <c r="A2073" s="1" t="s">
        <v>1052</v>
      </c>
      <c r="B2073" s="1" t="s">
        <v>1265</v>
      </c>
      <c r="C2073" s="1" t="s">
        <v>6</v>
      </c>
      <c r="D2073" t="str">
        <f>IFERROR(VLOOKUP(A2073,depara!A:B,2,0),A2073)</f>
        <v>P0002384</v>
      </c>
      <c r="E2073">
        <f>VLOOKUP(B2073,'inumos depara'!$A:$B,2,0)</f>
        <v>16298667</v>
      </c>
      <c r="F2073" s="1" t="str">
        <f t="shared" si="64"/>
        <v>0.01</v>
      </c>
      <c r="G2073" t="str">
        <f t="shared" si="65"/>
        <v>P0002384,16298667,0.01</v>
      </c>
    </row>
    <row r="2074" spans="1:7" x14ac:dyDescent="0.25">
      <c r="A2074" s="1" t="s">
        <v>1052</v>
      </c>
      <c r="B2074" s="1" t="s">
        <v>1252</v>
      </c>
      <c r="C2074" s="1" t="s">
        <v>5</v>
      </c>
      <c r="D2074" t="str">
        <f>IFERROR(VLOOKUP(A2074,depara!A:B,2,0),A2074)</f>
        <v>P0002384</v>
      </c>
      <c r="E2074">
        <f>VLOOKUP(B2074,'inumos depara'!$A:$B,2,0)</f>
        <v>16298656</v>
      </c>
      <c r="F2074" s="1" t="str">
        <f t="shared" si="64"/>
        <v>0.002</v>
      </c>
      <c r="G2074" t="str">
        <f t="shared" si="65"/>
        <v>P0002384,16298656,0.002</v>
      </c>
    </row>
    <row r="2075" spans="1:7" x14ac:dyDescent="0.25">
      <c r="A2075" s="1" t="s">
        <v>1052</v>
      </c>
      <c r="B2075" s="1" t="s">
        <v>74</v>
      </c>
      <c r="C2075" s="1" t="s">
        <v>1</v>
      </c>
      <c r="D2075" t="str">
        <f>IFERROR(VLOOKUP(A2075,depara!A:B,2,0),A2075)</f>
        <v>P0002384</v>
      </c>
      <c r="E2075">
        <f>VLOOKUP(B2075,'inumos depara'!$A:$B,2,0)</f>
        <v>16298654</v>
      </c>
      <c r="F2075" s="1" t="str">
        <f t="shared" si="64"/>
        <v>0.003</v>
      </c>
      <c r="G2075" t="str">
        <f t="shared" si="65"/>
        <v>P0002384,16298654,0.003</v>
      </c>
    </row>
    <row r="2076" spans="1:7" x14ac:dyDescent="0.25">
      <c r="A2076" s="1" t="s">
        <v>1052</v>
      </c>
      <c r="B2076" s="1" t="s">
        <v>1256</v>
      </c>
      <c r="C2076" s="1" t="s">
        <v>71</v>
      </c>
      <c r="D2076" t="str">
        <f>IFERROR(VLOOKUP(A2076,depara!A:B,2,0),A2076)</f>
        <v>P0002384</v>
      </c>
      <c r="E2076">
        <f>VLOOKUP(B2076,'inumos depara'!$A:$B,2,0)</f>
        <v>16298662</v>
      </c>
      <c r="F2076" s="1" t="str">
        <f t="shared" si="64"/>
        <v>0.04</v>
      </c>
      <c r="G2076" t="str">
        <f t="shared" si="65"/>
        <v>P0002384,16298662,0.04</v>
      </c>
    </row>
    <row r="2077" spans="1:7" x14ac:dyDescent="0.25">
      <c r="A2077" s="1" t="s">
        <v>1052</v>
      </c>
      <c r="B2077" s="1" t="s">
        <v>1146</v>
      </c>
      <c r="C2077" s="1" t="s">
        <v>10</v>
      </c>
      <c r="D2077" t="str">
        <f>IFERROR(VLOOKUP(A2077,depara!A:B,2,0),A2077)</f>
        <v>P0002384</v>
      </c>
      <c r="E2077">
        <f>VLOOKUP(B2077,'inumos depara'!$A:$B,2,0)</f>
        <v>16298558</v>
      </c>
      <c r="F2077" s="1" t="str">
        <f t="shared" si="64"/>
        <v>0.001</v>
      </c>
      <c r="G2077" t="str">
        <f t="shared" si="65"/>
        <v>P0002384,16298558,0.001</v>
      </c>
    </row>
    <row r="2078" spans="1:7" x14ac:dyDescent="0.25">
      <c r="A2078" s="1" t="s">
        <v>1052</v>
      </c>
      <c r="B2078" s="1" t="s">
        <v>1219</v>
      </c>
      <c r="C2078" s="1" t="s">
        <v>4</v>
      </c>
      <c r="D2078" t="str">
        <f>IFERROR(VLOOKUP(A2078,depara!A:B,2,0),A2078)</f>
        <v>P0002384</v>
      </c>
      <c r="E2078">
        <f>VLOOKUP(B2078,'inumos depara'!$A:$B,2,0)</f>
        <v>16298624</v>
      </c>
      <c r="F2078" s="1" t="str">
        <f t="shared" si="64"/>
        <v>0.005</v>
      </c>
      <c r="G2078" t="str">
        <f t="shared" si="65"/>
        <v>P0002384,16298624,0.005</v>
      </c>
    </row>
    <row r="2079" spans="1:7" x14ac:dyDescent="0.25">
      <c r="A2079" s="1" t="s">
        <v>1052</v>
      </c>
      <c r="B2079" s="1" t="s">
        <v>1253</v>
      </c>
      <c r="C2079" s="1" t="s">
        <v>76</v>
      </c>
      <c r="D2079" t="str">
        <f>IFERROR(VLOOKUP(A2079,depara!A:B,2,0),A2079)</f>
        <v>P0002384</v>
      </c>
      <c r="E2079">
        <f>VLOOKUP(B2079,'inumos depara'!$A:$B,2,0)</f>
        <v>16298657</v>
      </c>
      <c r="F2079" s="1" t="str">
        <f t="shared" si="64"/>
        <v>0.03</v>
      </c>
      <c r="G2079" t="str">
        <f t="shared" si="65"/>
        <v>P0002384,16298657,0.03</v>
      </c>
    </row>
    <row r="2080" spans="1:7" x14ac:dyDescent="0.25">
      <c r="A2080" s="1" t="s">
        <v>1052</v>
      </c>
      <c r="B2080" s="1" t="s">
        <v>77</v>
      </c>
      <c r="C2080" s="1" t="s">
        <v>0</v>
      </c>
      <c r="D2080" t="str">
        <f>IFERROR(VLOOKUP(A2080,depara!A:B,2,0),A2080)</f>
        <v>P0002384</v>
      </c>
      <c r="E2080">
        <f>VLOOKUP(B2080,'inumos depara'!$A:$B,2,0)</f>
        <v>16298658</v>
      </c>
      <c r="F2080" s="1" t="str">
        <f t="shared" si="64"/>
        <v>0.05</v>
      </c>
      <c r="G2080" t="str">
        <f t="shared" si="65"/>
        <v>P0002384,16298658,0.05</v>
      </c>
    </row>
    <row r="2081" spans="1:7" x14ac:dyDescent="0.25">
      <c r="A2081" s="1" t="s">
        <v>1052</v>
      </c>
      <c r="B2081" s="1" t="s">
        <v>1255</v>
      </c>
      <c r="C2081" s="1" t="s">
        <v>78</v>
      </c>
      <c r="D2081" t="str">
        <f>IFERROR(VLOOKUP(A2081,depara!A:B,2,0),A2081)</f>
        <v>P0002384</v>
      </c>
      <c r="E2081">
        <f>VLOOKUP(B2081,'inumos depara'!$A:$B,2,0)</f>
        <v>16298660</v>
      </c>
      <c r="F2081" s="1" t="str">
        <f t="shared" si="64"/>
        <v>0.14</v>
      </c>
      <c r="G2081" t="str">
        <f t="shared" si="65"/>
        <v>P0002384,16298660,0.14</v>
      </c>
    </row>
    <row r="2082" spans="1:7" x14ac:dyDescent="0.25">
      <c r="A2082" s="1" t="s">
        <v>1054</v>
      </c>
      <c r="B2082" s="1" t="s">
        <v>773</v>
      </c>
      <c r="C2082" s="1" t="s">
        <v>1649</v>
      </c>
      <c r="D2082" t="str">
        <f>IFERROR(VLOOKUP(A2082,depara!A:B,2,0),A2082)</f>
        <v>P0002388</v>
      </c>
      <c r="E2082">
        <f>VLOOKUP(B2082,'inumos depara'!$A:$B,2,0)</f>
        <v>16299079</v>
      </c>
      <c r="F2082" s="1" t="str">
        <f t="shared" si="64"/>
        <v>1.01999491654664</v>
      </c>
      <c r="G2082" t="str">
        <f t="shared" si="65"/>
        <v>P0002388,16299079,1.01999491654664</v>
      </c>
    </row>
    <row r="2083" spans="1:7" x14ac:dyDescent="0.25">
      <c r="A2083" s="1" t="s">
        <v>1054</v>
      </c>
      <c r="B2083" s="1" t="s">
        <v>1295</v>
      </c>
      <c r="C2083" s="1" t="s">
        <v>913</v>
      </c>
      <c r="D2083" t="str">
        <f>IFERROR(VLOOKUP(A2083,depara!A:B,2,0),A2083)</f>
        <v>P0002388</v>
      </c>
      <c r="E2083">
        <f>VLOOKUP(B2083,'inumos depara'!$A:$B,2,0)</f>
        <v>16298697</v>
      </c>
      <c r="F2083" s="1" t="str">
        <f t="shared" si="64"/>
        <v>0.0625264763195798</v>
      </c>
      <c r="G2083" t="str">
        <f t="shared" si="65"/>
        <v>P0002388,16298697,0.0625264763195798</v>
      </c>
    </row>
    <row r="2084" spans="1:7" x14ac:dyDescent="0.25">
      <c r="A2084" s="1" t="s">
        <v>1054</v>
      </c>
      <c r="B2084" s="1" t="s">
        <v>1291</v>
      </c>
      <c r="C2084" s="1" t="s">
        <v>1650</v>
      </c>
      <c r="D2084" t="str">
        <f>IFERROR(VLOOKUP(A2084,depara!A:B,2,0),A2084)</f>
        <v>P0002388</v>
      </c>
      <c r="E2084">
        <f>VLOOKUP(B2084,'inumos depara'!$A:$B,2,0)</f>
        <v>16298694</v>
      </c>
      <c r="F2084" s="1" t="str">
        <f t="shared" si="64"/>
        <v>1.00499872913666</v>
      </c>
      <c r="G2084" t="str">
        <f t="shared" si="65"/>
        <v>P0002388,16298694,1.00499872913666</v>
      </c>
    </row>
    <row r="2085" spans="1:7" x14ac:dyDescent="0.25">
      <c r="A2085" s="1" t="s">
        <v>1054</v>
      </c>
      <c r="B2085" s="1" t="s">
        <v>101</v>
      </c>
      <c r="C2085" s="1" t="s">
        <v>1650</v>
      </c>
      <c r="D2085" t="str">
        <f>IFERROR(VLOOKUP(A2085,depara!A:B,2,0),A2085)</f>
        <v>P0002388</v>
      </c>
      <c r="E2085">
        <f>VLOOKUP(B2085,'inumos depara'!$A:$B,2,0)</f>
        <v>16298693</v>
      </c>
      <c r="F2085" s="1" t="str">
        <f t="shared" si="64"/>
        <v>1.00499872913666</v>
      </c>
      <c r="G2085" t="str">
        <f t="shared" si="65"/>
        <v>P0002388,16298693,1.00499872913666</v>
      </c>
    </row>
    <row r="2086" spans="1:7" x14ac:dyDescent="0.25">
      <c r="A2086" s="1" t="s">
        <v>1054</v>
      </c>
      <c r="B2086" s="1" t="s">
        <v>95</v>
      </c>
      <c r="C2086" s="1" t="s">
        <v>914</v>
      </c>
      <c r="D2086" t="str">
        <f>IFERROR(VLOOKUP(A2086,depara!A:B,2,0),A2086)</f>
        <v>P0002388</v>
      </c>
      <c r="E2086">
        <f>VLOOKUP(B2086,'inumos depara'!$A:$B,2,0)</f>
        <v>16298686</v>
      </c>
      <c r="F2086" s="1" t="str">
        <f t="shared" si="64"/>
        <v>0.264212488350419</v>
      </c>
      <c r="G2086" t="str">
        <f t="shared" si="65"/>
        <v>P0002388,16298686,0.264212488350419</v>
      </c>
    </row>
    <row r="2087" spans="1:7" x14ac:dyDescent="0.25">
      <c r="A2087" s="1" t="s">
        <v>1054</v>
      </c>
      <c r="B2087" s="1" t="s">
        <v>1055</v>
      </c>
      <c r="C2087" s="1" t="s">
        <v>1652</v>
      </c>
      <c r="D2087" t="str">
        <f>IFERROR(VLOOKUP(A2087,depara!A:B,2,0),A2087)</f>
        <v>P0002388</v>
      </c>
      <c r="E2087">
        <f>VLOOKUP(B2087,'inumos depara'!$A:$B,2,0)</f>
        <v>16299161</v>
      </c>
      <c r="F2087" s="1" t="str">
        <f t="shared" si="64"/>
        <v>1.03499110395662</v>
      </c>
      <c r="G2087" t="str">
        <f t="shared" si="65"/>
        <v>P0002388,16299161,1.03499110395662</v>
      </c>
    </row>
    <row r="2088" spans="1:7" x14ac:dyDescent="0.25">
      <c r="A2088" s="1" t="s">
        <v>1054</v>
      </c>
      <c r="B2088" s="1" t="s">
        <v>1056</v>
      </c>
      <c r="C2088" s="1" t="s">
        <v>1651</v>
      </c>
      <c r="D2088" t="str">
        <f>IFERROR(VLOOKUP(A2088,depara!A:B,2,0),A2088)</f>
        <v>P0002388</v>
      </c>
      <c r="E2088">
        <f>VLOOKUP(B2088,'inumos depara'!$A:$B,2,0)</f>
        <v>16299162</v>
      </c>
      <c r="F2088" s="1" t="str">
        <f t="shared" si="64"/>
        <v>1.02999237481996</v>
      </c>
      <c r="G2088" t="str">
        <f t="shared" si="65"/>
        <v>P0002388,16299162,1.02999237481996</v>
      </c>
    </row>
    <row r="2089" spans="1:7" x14ac:dyDescent="0.25">
      <c r="A2089" s="1" t="s">
        <v>1057</v>
      </c>
      <c r="B2089" s="1" t="s">
        <v>1151</v>
      </c>
      <c r="C2089" s="1" t="s">
        <v>4</v>
      </c>
      <c r="D2089" t="str">
        <f>IFERROR(VLOOKUP(A2089,depara!A:B,2,0),A2089)</f>
        <v>P0002405</v>
      </c>
      <c r="E2089">
        <f>VLOOKUP(B2089,'inumos depara'!$A:$B,2,0)</f>
        <v>16298562</v>
      </c>
      <c r="F2089" s="1" t="str">
        <f t="shared" si="64"/>
        <v>0.005</v>
      </c>
      <c r="G2089" t="str">
        <f t="shared" si="65"/>
        <v>P0002405,16298562,0.005</v>
      </c>
    </row>
    <row r="2090" spans="1:7" x14ac:dyDescent="0.25">
      <c r="A2090" s="1" t="s">
        <v>1057</v>
      </c>
      <c r="B2090" s="1" t="s">
        <v>1147</v>
      </c>
      <c r="C2090" s="1" t="s">
        <v>0</v>
      </c>
      <c r="D2090" t="str">
        <f>IFERROR(VLOOKUP(A2090,depara!A:B,2,0),A2090)</f>
        <v>P0002405</v>
      </c>
      <c r="E2090">
        <f>VLOOKUP(B2090,'inumos depara'!$A:$B,2,0)</f>
        <v>16298559</v>
      </c>
      <c r="F2090" s="1" t="str">
        <f t="shared" si="64"/>
        <v>0.05</v>
      </c>
      <c r="G2090" t="str">
        <f t="shared" si="65"/>
        <v>P0002405,16298559,0.05</v>
      </c>
    </row>
    <row r="2091" spans="1:7" x14ac:dyDescent="0.25">
      <c r="A2091" s="1" t="s">
        <v>1057</v>
      </c>
      <c r="B2091" s="1" t="s">
        <v>1158</v>
      </c>
      <c r="C2091" s="1" t="s">
        <v>7</v>
      </c>
      <c r="D2091" t="str">
        <f>IFERROR(VLOOKUP(A2091,depara!A:B,2,0),A2091)</f>
        <v>P0002405</v>
      </c>
      <c r="E2091">
        <f>VLOOKUP(B2091,'inumos depara'!$A:$B,2,0)</f>
        <v>16298569</v>
      </c>
      <c r="F2091" s="1" t="str">
        <f t="shared" si="64"/>
        <v>0.025</v>
      </c>
      <c r="G2091" t="str">
        <f t="shared" si="65"/>
        <v>P0002405,16298569,0.025</v>
      </c>
    </row>
    <row r="2092" spans="1:7" x14ac:dyDescent="0.25">
      <c r="A2092" s="1" t="s">
        <v>1057</v>
      </c>
      <c r="B2092" s="1" t="s">
        <v>1156</v>
      </c>
      <c r="C2092" s="1" t="s">
        <v>4</v>
      </c>
      <c r="D2092" t="str">
        <f>IFERROR(VLOOKUP(A2092,depara!A:B,2,0),A2092)</f>
        <v>P0002405</v>
      </c>
      <c r="E2092">
        <f>VLOOKUP(B2092,'inumos depara'!$A:$B,2,0)</f>
        <v>16298567</v>
      </c>
      <c r="F2092" s="1" t="str">
        <f t="shared" si="64"/>
        <v>0.005</v>
      </c>
      <c r="G2092" t="str">
        <f t="shared" si="65"/>
        <v>P0002405,16298567,0.005</v>
      </c>
    </row>
    <row r="2093" spans="1:7" x14ac:dyDescent="0.25">
      <c r="A2093" s="1" t="s">
        <v>1057</v>
      </c>
      <c r="B2093" s="1" t="s">
        <v>1251</v>
      </c>
      <c r="C2093" s="1" t="s">
        <v>5</v>
      </c>
      <c r="D2093" t="str">
        <f>IFERROR(VLOOKUP(A2093,depara!A:B,2,0),A2093)</f>
        <v>P0002405</v>
      </c>
      <c r="E2093">
        <f>VLOOKUP(B2093,'inumos depara'!$A:$B,2,0)</f>
        <v>16298653</v>
      </c>
      <c r="F2093" s="1" t="str">
        <f t="shared" si="64"/>
        <v>0.002</v>
      </c>
      <c r="G2093" t="str">
        <f t="shared" si="65"/>
        <v>P0002405,16298653,0.002</v>
      </c>
    </row>
    <row r="2094" spans="1:7" x14ac:dyDescent="0.25">
      <c r="A2094" s="1" t="s">
        <v>1057</v>
      </c>
      <c r="B2094" s="1" t="s">
        <v>1157</v>
      </c>
      <c r="C2094" s="1" t="s">
        <v>6</v>
      </c>
      <c r="D2094" t="str">
        <f>IFERROR(VLOOKUP(A2094,depara!A:B,2,0),A2094)</f>
        <v>P0002405</v>
      </c>
      <c r="E2094">
        <f>VLOOKUP(B2094,'inumos depara'!$A:$B,2,0)</f>
        <v>16298568</v>
      </c>
      <c r="F2094" s="1" t="str">
        <f t="shared" si="64"/>
        <v>0.01</v>
      </c>
      <c r="G2094" t="str">
        <f t="shared" si="65"/>
        <v>P0002405,16298568,0.01</v>
      </c>
    </row>
    <row r="2095" spans="1:7" x14ac:dyDescent="0.25">
      <c r="A2095" s="1" t="s">
        <v>1057</v>
      </c>
      <c r="B2095" s="1" t="s">
        <v>1159</v>
      </c>
      <c r="C2095" s="1" t="s">
        <v>4</v>
      </c>
      <c r="D2095" t="str">
        <f>IFERROR(VLOOKUP(A2095,depara!A:B,2,0),A2095)</f>
        <v>P0002405</v>
      </c>
      <c r="E2095">
        <f>VLOOKUP(B2095,'inumos depara'!$A:$B,2,0)</f>
        <v>16298570</v>
      </c>
      <c r="F2095" s="1" t="str">
        <f t="shared" si="64"/>
        <v>0.005</v>
      </c>
      <c r="G2095" t="str">
        <f t="shared" si="65"/>
        <v>P0002405,16298570,0.005</v>
      </c>
    </row>
    <row r="2096" spans="1:7" x14ac:dyDescent="0.25">
      <c r="A2096" s="1" t="s">
        <v>1057</v>
      </c>
      <c r="B2096" s="1" t="s">
        <v>1148</v>
      </c>
      <c r="C2096" s="1" t="s">
        <v>3</v>
      </c>
      <c r="D2096" t="str">
        <f>IFERROR(VLOOKUP(A2096,depara!A:B,2,0),A2096)</f>
        <v>P0002405</v>
      </c>
      <c r="E2096">
        <f>VLOOKUP(B2096,'inumos depara'!$A:$B,2,0)</f>
        <v>16298560</v>
      </c>
      <c r="F2096" s="1" t="str">
        <f t="shared" si="64"/>
        <v>0.055</v>
      </c>
      <c r="G2096" t="str">
        <f t="shared" si="65"/>
        <v>P0002405,16298560,0.055</v>
      </c>
    </row>
    <row r="2097" spans="1:7" x14ac:dyDescent="0.25">
      <c r="A2097" s="1" t="s">
        <v>1057</v>
      </c>
      <c r="B2097" s="1" t="s">
        <v>1160</v>
      </c>
      <c r="C2097" s="1" t="s">
        <v>8</v>
      </c>
      <c r="D2097" t="str">
        <f>IFERROR(VLOOKUP(A2097,depara!A:B,2,0),A2097)</f>
        <v>P0002405</v>
      </c>
      <c r="E2097">
        <f>VLOOKUP(B2097,'inumos depara'!$A:$B,2,0)</f>
        <v>16298571</v>
      </c>
      <c r="F2097" s="1" t="str">
        <f t="shared" si="64"/>
        <v>0.06</v>
      </c>
      <c r="G2097" t="str">
        <f t="shared" si="65"/>
        <v>P0002405,16298571,0.06</v>
      </c>
    </row>
    <row r="2098" spans="1:7" x14ac:dyDescent="0.25">
      <c r="A2098" s="1" t="s">
        <v>1057</v>
      </c>
      <c r="B2098" s="1" t="s">
        <v>1161</v>
      </c>
      <c r="C2098" s="1" t="s">
        <v>8</v>
      </c>
      <c r="D2098" t="str">
        <f>IFERROR(VLOOKUP(A2098,depara!A:B,2,0),A2098)</f>
        <v>P0002405</v>
      </c>
      <c r="E2098">
        <f>VLOOKUP(B2098,'inumos depara'!$A:$B,2,0)</f>
        <v>16298572</v>
      </c>
      <c r="F2098" s="1" t="str">
        <f t="shared" si="64"/>
        <v>0.06</v>
      </c>
      <c r="G2098" t="str">
        <f t="shared" si="65"/>
        <v>P0002405,16298572,0.06</v>
      </c>
    </row>
    <row r="2099" spans="1:7" x14ac:dyDescent="0.25">
      <c r="A2099" s="1" t="s">
        <v>1057</v>
      </c>
      <c r="B2099" s="1" t="s">
        <v>1144</v>
      </c>
      <c r="C2099" s="1" t="s">
        <v>0</v>
      </c>
      <c r="D2099" t="str">
        <f>IFERROR(VLOOKUP(A2099,depara!A:B,2,0),A2099)</f>
        <v>P0002405</v>
      </c>
      <c r="E2099">
        <f>VLOOKUP(B2099,'inumos depara'!$A:$B,2,0)</f>
        <v>16298556</v>
      </c>
      <c r="F2099" s="1" t="str">
        <f t="shared" si="64"/>
        <v>0.05</v>
      </c>
      <c r="G2099" t="str">
        <f t="shared" si="65"/>
        <v>P0002405,16298556,0.05</v>
      </c>
    </row>
    <row r="2100" spans="1:7" x14ac:dyDescent="0.25">
      <c r="A2100" s="1" t="s">
        <v>1057</v>
      </c>
      <c r="B2100" s="1" t="s">
        <v>1145</v>
      </c>
      <c r="C2100" s="1" t="s">
        <v>1</v>
      </c>
      <c r="D2100" t="str">
        <f>IFERROR(VLOOKUP(A2100,depara!A:B,2,0),A2100)</f>
        <v>P0002405</v>
      </c>
      <c r="E2100">
        <f>VLOOKUP(B2100,'inumos depara'!$A:$B,2,0)</f>
        <v>16298557</v>
      </c>
      <c r="F2100" s="1" t="str">
        <f t="shared" si="64"/>
        <v>0.003</v>
      </c>
      <c r="G2100" t="str">
        <f t="shared" si="65"/>
        <v>P0002405,16298557,0.003</v>
      </c>
    </row>
    <row r="2101" spans="1:7" x14ac:dyDescent="0.25">
      <c r="A2101" s="1" t="s">
        <v>1057</v>
      </c>
      <c r="B2101" s="1" t="s">
        <v>1146</v>
      </c>
      <c r="C2101" s="1" t="s">
        <v>714</v>
      </c>
      <c r="D2101" t="str">
        <f>IFERROR(VLOOKUP(A2101,depara!A:B,2,0),A2101)</f>
        <v>P0002405</v>
      </c>
      <c r="E2101">
        <f>VLOOKUP(B2101,'inumos depara'!$A:$B,2,0)</f>
        <v>16298558</v>
      </c>
      <c r="F2101" s="1" t="str">
        <f t="shared" si="64"/>
        <v>0.00132</v>
      </c>
      <c r="G2101" t="str">
        <f t="shared" si="65"/>
        <v>P0002405,16298558,0.00132</v>
      </c>
    </row>
    <row r="2102" spans="1:7" x14ac:dyDescent="0.25">
      <c r="A2102" s="1" t="s">
        <v>1057</v>
      </c>
      <c r="B2102" s="1" t="s">
        <v>1154</v>
      </c>
      <c r="C2102" s="1" t="s">
        <v>5</v>
      </c>
      <c r="D2102" t="str">
        <f>IFERROR(VLOOKUP(A2102,depara!A:B,2,0),A2102)</f>
        <v>P0002405</v>
      </c>
      <c r="E2102">
        <f>VLOOKUP(B2102,'inumos depara'!$A:$B,2,0)</f>
        <v>16298565</v>
      </c>
      <c r="F2102" s="1" t="str">
        <f t="shared" si="64"/>
        <v>0.002</v>
      </c>
      <c r="G2102" t="str">
        <f t="shared" si="65"/>
        <v>P0002405,16298565,0.002</v>
      </c>
    </row>
    <row r="2103" spans="1:7" x14ac:dyDescent="0.25">
      <c r="A2103" s="1" t="s">
        <v>1057</v>
      </c>
      <c r="B2103" s="1" t="s">
        <v>1155</v>
      </c>
      <c r="C2103" s="1" t="s">
        <v>4</v>
      </c>
      <c r="D2103" t="str">
        <f>IFERROR(VLOOKUP(A2103,depara!A:B,2,0),A2103)</f>
        <v>P0002405</v>
      </c>
      <c r="E2103">
        <f>VLOOKUP(B2103,'inumos depara'!$A:$B,2,0)</f>
        <v>16298566</v>
      </c>
      <c r="F2103" s="1" t="str">
        <f t="shared" si="64"/>
        <v>0.005</v>
      </c>
      <c r="G2103" t="str">
        <f t="shared" si="65"/>
        <v>P0002405,16298566,0.005</v>
      </c>
    </row>
    <row r="2104" spans="1:7" x14ac:dyDescent="0.25">
      <c r="A2104" s="1" t="s">
        <v>1058</v>
      </c>
      <c r="B2104" s="1" t="s">
        <v>1151</v>
      </c>
      <c r="C2104" s="1" t="s">
        <v>4</v>
      </c>
      <c r="D2104" t="str">
        <f>IFERROR(VLOOKUP(A2104,depara!A:B,2,0),A2104)</f>
        <v>P0002406</v>
      </c>
      <c r="E2104">
        <f>VLOOKUP(B2104,'inumos depara'!$A:$B,2,0)</f>
        <v>16298562</v>
      </c>
      <c r="F2104" s="1" t="str">
        <f t="shared" si="64"/>
        <v>0.005</v>
      </c>
      <c r="G2104" t="str">
        <f t="shared" si="65"/>
        <v>P0002406,16298562,0.005</v>
      </c>
    </row>
    <row r="2105" spans="1:7" x14ac:dyDescent="0.25">
      <c r="A2105" s="1" t="s">
        <v>1058</v>
      </c>
      <c r="B2105" s="1" t="s">
        <v>1147</v>
      </c>
      <c r="C2105" s="1" t="s">
        <v>0</v>
      </c>
      <c r="D2105" t="str">
        <f>IFERROR(VLOOKUP(A2105,depara!A:B,2,0),A2105)</f>
        <v>P0002406</v>
      </c>
      <c r="E2105">
        <f>VLOOKUP(B2105,'inumos depara'!$A:$B,2,0)</f>
        <v>16298559</v>
      </c>
      <c r="F2105" s="1" t="str">
        <f t="shared" si="64"/>
        <v>0.05</v>
      </c>
      <c r="G2105" t="str">
        <f t="shared" si="65"/>
        <v>P0002406,16298559,0.05</v>
      </c>
    </row>
    <row r="2106" spans="1:7" x14ac:dyDescent="0.25">
      <c r="A2106" s="1" t="s">
        <v>1058</v>
      </c>
      <c r="B2106" s="1" t="s">
        <v>1158</v>
      </c>
      <c r="C2106" s="1" t="s">
        <v>7</v>
      </c>
      <c r="D2106" t="str">
        <f>IFERROR(VLOOKUP(A2106,depara!A:B,2,0),A2106)</f>
        <v>P0002406</v>
      </c>
      <c r="E2106">
        <f>VLOOKUP(B2106,'inumos depara'!$A:$B,2,0)</f>
        <v>16298569</v>
      </c>
      <c r="F2106" s="1" t="str">
        <f t="shared" si="64"/>
        <v>0.025</v>
      </c>
      <c r="G2106" t="str">
        <f t="shared" si="65"/>
        <v>P0002406,16298569,0.025</v>
      </c>
    </row>
    <row r="2107" spans="1:7" x14ac:dyDescent="0.25">
      <c r="A2107" s="1" t="s">
        <v>1058</v>
      </c>
      <c r="B2107" s="1" t="s">
        <v>1156</v>
      </c>
      <c r="C2107" s="1" t="s">
        <v>4</v>
      </c>
      <c r="D2107" t="str">
        <f>IFERROR(VLOOKUP(A2107,depara!A:B,2,0),A2107)</f>
        <v>P0002406</v>
      </c>
      <c r="E2107">
        <f>VLOOKUP(B2107,'inumos depara'!$A:$B,2,0)</f>
        <v>16298567</v>
      </c>
      <c r="F2107" s="1" t="str">
        <f t="shared" si="64"/>
        <v>0.005</v>
      </c>
      <c r="G2107" t="str">
        <f t="shared" si="65"/>
        <v>P0002406,16298567,0.005</v>
      </c>
    </row>
    <row r="2108" spans="1:7" x14ac:dyDescent="0.25">
      <c r="A2108" s="1" t="s">
        <v>1058</v>
      </c>
      <c r="B2108" s="1" t="s">
        <v>1251</v>
      </c>
      <c r="C2108" s="1" t="s">
        <v>5</v>
      </c>
      <c r="D2108" t="str">
        <f>IFERROR(VLOOKUP(A2108,depara!A:B,2,0),A2108)</f>
        <v>P0002406</v>
      </c>
      <c r="E2108">
        <f>VLOOKUP(B2108,'inumos depara'!$A:$B,2,0)</f>
        <v>16298653</v>
      </c>
      <c r="F2108" s="1" t="str">
        <f t="shared" si="64"/>
        <v>0.002</v>
      </c>
      <c r="G2108" t="str">
        <f t="shared" si="65"/>
        <v>P0002406,16298653,0.002</v>
      </c>
    </row>
    <row r="2109" spans="1:7" x14ac:dyDescent="0.25">
      <c r="A2109" s="1" t="s">
        <v>1058</v>
      </c>
      <c r="B2109" s="1" t="s">
        <v>1157</v>
      </c>
      <c r="C2109" s="1" t="s">
        <v>6</v>
      </c>
      <c r="D2109" t="str">
        <f>IFERROR(VLOOKUP(A2109,depara!A:B,2,0),A2109)</f>
        <v>P0002406</v>
      </c>
      <c r="E2109">
        <f>VLOOKUP(B2109,'inumos depara'!$A:$B,2,0)</f>
        <v>16298568</v>
      </c>
      <c r="F2109" s="1" t="str">
        <f t="shared" si="64"/>
        <v>0.01</v>
      </c>
      <c r="G2109" t="str">
        <f t="shared" si="65"/>
        <v>P0002406,16298568,0.01</v>
      </c>
    </row>
    <row r="2110" spans="1:7" x14ac:dyDescent="0.25">
      <c r="A2110" s="1" t="s">
        <v>1058</v>
      </c>
      <c r="B2110" s="1" t="s">
        <v>1159</v>
      </c>
      <c r="C2110" s="1" t="s">
        <v>4</v>
      </c>
      <c r="D2110" t="str">
        <f>IFERROR(VLOOKUP(A2110,depara!A:B,2,0),A2110)</f>
        <v>P0002406</v>
      </c>
      <c r="E2110">
        <f>VLOOKUP(B2110,'inumos depara'!$A:$B,2,0)</f>
        <v>16298570</v>
      </c>
      <c r="F2110" s="1" t="str">
        <f t="shared" si="64"/>
        <v>0.005</v>
      </c>
      <c r="G2110" t="str">
        <f t="shared" si="65"/>
        <v>P0002406,16298570,0.005</v>
      </c>
    </row>
    <row r="2111" spans="1:7" x14ac:dyDescent="0.25">
      <c r="A2111" s="1" t="s">
        <v>1058</v>
      </c>
      <c r="B2111" s="1" t="s">
        <v>1148</v>
      </c>
      <c r="C2111" s="1" t="s">
        <v>3</v>
      </c>
      <c r="D2111" t="str">
        <f>IFERROR(VLOOKUP(A2111,depara!A:B,2,0),A2111)</f>
        <v>P0002406</v>
      </c>
      <c r="E2111">
        <f>VLOOKUP(B2111,'inumos depara'!$A:$B,2,0)</f>
        <v>16298560</v>
      </c>
      <c r="F2111" s="1" t="str">
        <f t="shared" si="64"/>
        <v>0.055</v>
      </c>
      <c r="G2111" t="str">
        <f t="shared" si="65"/>
        <v>P0002406,16298560,0.055</v>
      </c>
    </row>
    <row r="2112" spans="1:7" x14ac:dyDescent="0.25">
      <c r="A2112" s="1" t="s">
        <v>1058</v>
      </c>
      <c r="B2112" s="1" t="s">
        <v>1160</v>
      </c>
      <c r="C2112" s="1" t="s">
        <v>8</v>
      </c>
      <c r="D2112" t="str">
        <f>IFERROR(VLOOKUP(A2112,depara!A:B,2,0),A2112)</f>
        <v>P0002406</v>
      </c>
      <c r="E2112">
        <f>VLOOKUP(B2112,'inumos depara'!$A:$B,2,0)</f>
        <v>16298571</v>
      </c>
      <c r="F2112" s="1" t="str">
        <f t="shared" si="64"/>
        <v>0.06</v>
      </c>
      <c r="G2112" t="str">
        <f t="shared" si="65"/>
        <v>P0002406,16298571,0.06</v>
      </c>
    </row>
    <row r="2113" spans="1:7" x14ac:dyDescent="0.25">
      <c r="A2113" s="1" t="s">
        <v>1058</v>
      </c>
      <c r="B2113" s="1" t="s">
        <v>1161</v>
      </c>
      <c r="C2113" s="1" t="s">
        <v>8</v>
      </c>
      <c r="D2113" t="str">
        <f>IFERROR(VLOOKUP(A2113,depara!A:B,2,0),A2113)</f>
        <v>P0002406</v>
      </c>
      <c r="E2113">
        <f>VLOOKUP(B2113,'inumos depara'!$A:$B,2,0)</f>
        <v>16298572</v>
      </c>
      <c r="F2113" s="1" t="str">
        <f t="shared" si="64"/>
        <v>0.06</v>
      </c>
      <c r="G2113" t="str">
        <f t="shared" si="65"/>
        <v>P0002406,16298572,0.06</v>
      </c>
    </row>
    <row r="2114" spans="1:7" x14ac:dyDescent="0.25">
      <c r="A2114" s="1" t="s">
        <v>1058</v>
      </c>
      <c r="B2114" s="1" t="s">
        <v>1144</v>
      </c>
      <c r="C2114" s="1" t="s">
        <v>0</v>
      </c>
      <c r="D2114" t="str">
        <f>IFERROR(VLOOKUP(A2114,depara!A:B,2,0),A2114)</f>
        <v>P0002406</v>
      </c>
      <c r="E2114">
        <f>VLOOKUP(B2114,'inumos depara'!$A:$B,2,0)</f>
        <v>16298556</v>
      </c>
      <c r="F2114" s="1" t="str">
        <f t="shared" ref="F2114:F2177" si="66">C2114</f>
        <v>0.05</v>
      </c>
      <c r="G2114" t="str">
        <f t="shared" ref="G2114:G2177" si="67">D2114&amp;","&amp;E2114&amp;","&amp;F2114</f>
        <v>P0002406,16298556,0.05</v>
      </c>
    </row>
    <row r="2115" spans="1:7" x14ac:dyDescent="0.25">
      <c r="A2115" s="1" t="s">
        <v>1058</v>
      </c>
      <c r="B2115" s="1" t="s">
        <v>1145</v>
      </c>
      <c r="C2115" s="1" t="s">
        <v>1</v>
      </c>
      <c r="D2115" t="str">
        <f>IFERROR(VLOOKUP(A2115,depara!A:B,2,0),A2115)</f>
        <v>P0002406</v>
      </c>
      <c r="E2115">
        <f>VLOOKUP(B2115,'inumos depara'!$A:$B,2,0)</f>
        <v>16298557</v>
      </c>
      <c r="F2115" s="1" t="str">
        <f t="shared" si="66"/>
        <v>0.003</v>
      </c>
      <c r="G2115" t="str">
        <f t="shared" si="67"/>
        <v>P0002406,16298557,0.003</v>
      </c>
    </row>
    <row r="2116" spans="1:7" x14ac:dyDescent="0.25">
      <c r="A2116" s="1" t="s">
        <v>1058</v>
      </c>
      <c r="B2116" s="1" t="s">
        <v>1146</v>
      </c>
      <c r="C2116" s="1" t="s">
        <v>714</v>
      </c>
      <c r="D2116" t="str">
        <f>IFERROR(VLOOKUP(A2116,depara!A:B,2,0),A2116)</f>
        <v>P0002406</v>
      </c>
      <c r="E2116">
        <f>VLOOKUP(B2116,'inumos depara'!$A:$B,2,0)</f>
        <v>16298558</v>
      </c>
      <c r="F2116" s="1" t="str">
        <f t="shared" si="66"/>
        <v>0.00132</v>
      </c>
      <c r="G2116" t="str">
        <f t="shared" si="67"/>
        <v>P0002406,16298558,0.00132</v>
      </c>
    </row>
    <row r="2117" spans="1:7" x14ac:dyDescent="0.25">
      <c r="A2117" s="1" t="s">
        <v>1058</v>
      </c>
      <c r="B2117" s="1" t="s">
        <v>1155</v>
      </c>
      <c r="C2117" s="1" t="s">
        <v>4</v>
      </c>
      <c r="D2117" t="str">
        <f>IFERROR(VLOOKUP(A2117,depara!A:B,2,0),A2117)</f>
        <v>P0002406</v>
      </c>
      <c r="E2117">
        <f>VLOOKUP(B2117,'inumos depara'!$A:$B,2,0)</f>
        <v>16298566</v>
      </c>
      <c r="F2117" s="1" t="str">
        <f t="shared" si="66"/>
        <v>0.005</v>
      </c>
      <c r="G2117" t="str">
        <f t="shared" si="67"/>
        <v>P0002406,16298566,0.005</v>
      </c>
    </row>
    <row r="2118" spans="1:7" x14ac:dyDescent="0.25">
      <c r="A2118" s="1" t="s">
        <v>1059</v>
      </c>
      <c r="B2118" s="1" t="s">
        <v>1060</v>
      </c>
      <c r="C2118" s="1" t="s">
        <v>1061</v>
      </c>
      <c r="D2118" t="str">
        <f>IFERROR(VLOOKUP(A2118,depara!A:B,2,0),A2118)</f>
        <v>P0002407</v>
      </c>
      <c r="E2118">
        <f>VLOOKUP(B2118,'inumos depara'!$A:$B,2,0)</f>
        <v>16299163</v>
      </c>
      <c r="F2118" s="1" t="str">
        <f t="shared" si="66"/>
        <v>0.00272999331430209</v>
      </c>
      <c r="G2118" t="str">
        <f t="shared" si="67"/>
        <v>P0002407,16299163,0.00272999331430209</v>
      </c>
    </row>
    <row r="2119" spans="1:7" x14ac:dyDescent="0.25">
      <c r="A2119" s="1" t="s">
        <v>1059</v>
      </c>
      <c r="B2119" s="1" t="s">
        <v>1062</v>
      </c>
      <c r="C2119" s="1" t="s">
        <v>1063</v>
      </c>
      <c r="D2119" t="str">
        <f>IFERROR(VLOOKUP(A2119,depara!A:B,2,0),A2119)</f>
        <v>P0002407</v>
      </c>
      <c r="E2119">
        <f>VLOOKUP(B2119,'inumos depara'!$A:$B,2,0)</f>
        <v>16299164</v>
      </c>
      <c r="F2119" s="1" t="str">
        <f t="shared" si="66"/>
        <v>0.00198448493595526</v>
      </c>
      <c r="G2119" t="str">
        <f t="shared" si="67"/>
        <v>P0002407,16299164,0.00198448493595526</v>
      </c>
    </row>
    <row r="2120" spans="1:7" x14ac:dyDescent="0.25">
      <c r="A2120" s="1" t="s">
        <v>1059</v>
      </c>
      <c r="B2120" s="1" t="s">
        <v>1443</v>
      </c>
      <c r="C2120" s="1" t="s">
        <v>1064</v>
      </c>
      <c r="D2120" t="str">
        <f>IFERROR(VLOOKUP(A2120,depara!A:B,2,0),A2120)</f>
        <v>P0002407</v>
      </c>
      <c r="E2120">
        <f>VLOOKUP(B2120,'inumos depara'!$A:$B,2,0)</f>
        <v>16298809</v>
      </c>
      <c r="F2120" s="1" t="str">
        <f t="shared" si="66"/>
        <v>0.0100020163215927</v>
      </c>
      <c r="G2120" t="str">
        <f t="shared" si="67"/>
        <v>P0002407,16298809,0.0100020163215927</v>
      </c>
    </row>
    <row r="2121" spans="1:7" x14ac:dyDescent="0.25">
      <c r="A2121" s="1" t="s">
        <v>1065</v>
      </c>
      <c r="B2121" s="1" t="s">
        <v>1066</v>
      </c>
      <c r="C2121" s="1" t="s">
        <v>1061</v>
      </c>
      <c r="D2121" t="str">
        <f>IFERROR(VLOOKUP(A2121,depara!A:B,2,0),A2121)</f>
        <v>P0002408</v>
      </c>
      <c r="E2121">
        <f>VLOOKUP(B2121,'inumos depara'!$A:$B,2,0)</f>
        <v>16299165</v>
      </c>
      <c r="F2121" s="1" t="str">
        <f t="shared" si="66"/>
        <v>0.00272999331430209</v>
      </c>
      <c r="G2121" t="str">
        <f t="shared" si="67"/>
        <v>P0002408,16299165,0.00272999331430209</v>
      </c>
    </row>
    <row r="2122" spans="1:7" x14ac:dyDescent="0.25">
      <c r="A2122" s="1" t="s">
        <v>1065</v>
      </c>
      <c r="B2122" s="1" t="s">
        <v>1067</v>
      </c>
      <c r="C2122" s="1" t="s">
        <v>1068</v>
      </c>
      <c r="D2122" t="str">
        <f>IFERROR(VLOOKUP(A2122,depara!A:B,2,0),A2122)</f>
        <v>P0002408</v>
      </c>
      <c r="E2122">
        <f>VLOOKUP(B2122,'inumos depara'!$A:$B,2,0)</f>
        <v>16299166</v>
      </c>
      <c r="F2122" s="1" t="str">
        <f t="shared" si="66"/>
        <v>0.00198713799068247</v>
      </c>
      <c r="G2122" t="str">
        <f t="shared" si="67"/>
        <v>P0002408,16299166,0.00198713799068247</v>
      </c>
    </row>
    <row r="2123" spans="1:7" x14ac:dyDescent="0.25">
      <c r="A2123" s="1" t="s">
        <v>1065</v>
      </c>
      <c r="B2123" s="1" t="s">
        <v>1443</v>
      </c>
      <c r="C2123" s="1" t="s">
        <v>1064</v>
      </c>
      <c r="D2123" t="str">
        <f>IFERROR(VLOOKUP(A2123,depara!A:B,2,0),A2123)</f>
        <v>P0002408</v>
      </c>
      <c r="E2123">
        <f>VLOOKUP(B2123,'inumos depara'!$A:$B,2,0)</f>
        <v>16298809</v>
      </c>
      <c r="F2123" s="1" t="str">
        <f t="shared" si="66"/>
        <v>0.0100020163215927</v>
      </c>
      <c r="G2123" t="str">
        <f t="shared" si="67"/>
        <v>P0002408,16298809,0.0100020163215927</v>
      </c>
    </row>
    <row r="2124" spans="1:7" x14ac:dyDescent="0.25">
      <c r="A2124" s="1" t="s">
        <v>1069</v>
      </c>
      <c r="B2124" s="1" t="s">
        <v>1070</v>
      </c>
      <c r="C2124" s="1" t="s">
        <v>577</v>
      </c>
      <c r="D2124" t="str">
        <f>IFERROR(VLOOKUP(A2124,depara!A:B,2,0),A2124)</f>
        <v>P0002415</v>
      </c>
      <c r="E2124">
        <f>VLOOKUP(B2124,'inumos depara'!$A:$B,2,0)</f>
        <v>16299167</v>
      </c>
      <c r="F2124" s="1" t="str">
        <f t="shared" si="66"/>
        <v>0.00135816473248328</v>
      </c>
      <c r="G2124" t="str">
        <f t="shared" si="67"/>
        <v>P0002415,16299167,0.00135816473248328</v>
      </c>
    </row>
    <row r="2125" spans="1:7" x14ac:dyDescent="0.25">
      <c r="A2125" s="1" t="s">
        <v>1069</v>
      </c>
      <c r="B2125" s="1" t="s">
        <v>1443</v>
      </c>
      <c r="C2125" s="1" t="s">
        <v>578</v>
      </c>
      <c r="D2125" t="str">
        <f>IFERROR(VLOOKUP(A2125,depara!A:B,2,0),A2125)</f>
        <v>P0002415</v>
      </c>
      <c r="E2125">
        <f>VLOOKUP(B2125,'inumos depara'!$A:$B,2,0)</f>
        <v>16298809</v>
      </c>
      <c r="F2125" s="1" t="str">
        <f t="shared" si="66"/>
        <v>0.0100003414380612</v>
      </c>
      <c r="G2125" t="str">
        <f t="shared" si="67"/>
        <v>P0002415,16298809,0.0100003414380612</v>
      </c>
    </row>
    <row r="2126" spans="1:7" x14ac:dyDescent="0.25">
      <c r="A2126" s="1" t="s">
        <v>1069</v>
      </c>
      <c r="B2126" s="1" t="s">
        <v>1033</v>
      </c>
      <c r="C2126" s="1" t="s">
        <v>575</v>
      </c>
      <c r="D2126" t="str">
        <f>IFERROR(VLOOKUP(A2126,depara!A:B,2,0),A2126)</f>
        <v>P0002415</v>
      </c>
      <c r="E2126">
        <f>VLOOKUP(B2126,'inumos depara'!$A:$B,2,0)</f>
        <v>16299168</v>
      </c>
      <c r="F2126" s="1" t="str">
        <f t="shared" si="66"/>
        <v>0.00382410628587471</v>
      </c>
      <c r="G2126" t="str">
        <f t="shared" si="67"/>
        <v>P0002415,16299168,0.00382410628587471</v>
      </c>
    </row>
    <row r="2127" spans="1:7" x14ac:dyDescent="0.25">
      <c r="A2127" s="1" t="s">
        <v>1071</v>
      </c>
      <c r="B2127" s="1" t="s">
        <v>1072</v>
      </c>
      <c r="C2127" s="1" t="s">
        <v>1591</v>
      </c>
      <c r="D2127" t="str">
        <f>IFERROR(VLOOKUP(A2127,depara!A:B,2,0),A2127)</f>
        <v>P0002416</v>
      </c>
      <c r="E2127">
        <f>VLOOKUP(B2127,'inumos depara'!$A:$B,2,0)</f>
        <v>16299169</v>
      </c>
      <c r="F2127" s="1" t="str">
        <f t="shared" si="66"/>
        <v>1.05002498473155</v>
      </c>
      <c r="G2127" t="str">
        <f t="shared" si="67"/>
        <v>P0002416,16299169,1.05002498473155</v>
      </c>
    </row>
    <row r="2128" spans="1:7" x14ac:dyDescent="0.25">
      <c r="A2128" s="1" t="s">
        <v>1071</v>
      </c>
      <c r="B2128" s="1" t="s">
        <v>1073</v>
      </c>
      <c r="C2128" s="1" t="s">
        <v>1592</v>
      </c>
      <c r="D2128" t="str">
        <f>IFERROR(VLOOKUP(A2128,depara!A:B,2,0),A2128)</f>
        <v>P0002416</v>
      </c>
      <c r="E2128">
        <f>VLOOKUP(B2128,'inumos depara'!$A:$B,2,0)</f>
        <v>16299170</v>
      </c>
      <c r="F2128" s="1" t="str">
        <f t="shared" si="66"/>
        <v>1.00499694631059</v>
      </c>
      <c r="G2128" t="str">
        <f t="shared" si="67"/>
        <v>P0002416,16299170,1.00499694631059</v>
      </c>
    </row>
    <row r="2129" spans="1:7" x14ac:dyDescent="0.25">
      <c r="A2129" s="1" t="s">
        <v>1071</v>
      </c>
      <c r="B2129" s="1" t="s">
        <v>1436</v>
      </c>
      <c r="C2129" s="1" t="s">
        <v>1150</v>
      </c>
      <c r="D2129" t="str">
        <f>IFERROR(VLOOKUP(A2129,depara!A:B,2,0),A2129)</f>
        <v>P0002416</v>
      </c>
      <c r="E2129">
        <f>VLOOKUP(B2129,'inumos depara'!$A:$B,2,0)</f>
        <v>16298804</v>
      </c>
      <c r="F2129" s="1" t="str">
        <f t="shared" si="66"/>
        <v>1</v>
      </c>
      <c r="G2129" t="str">
        <f t="shared" si="67"/>
        <v>P0002416,16298804,1</v>
      </c>
    </row>
    <row r="2130" spans="1:7" x14ac:dyDescent="0.25">
      <c r="A2130" s="1" t="s">
        <v>1071</v>
      </c>
      <c r="B2130" s="1" t="s">
        <v>206</v>
      </c>
      <c r="C2130" s="1" t="s">
        <v>582</v>
      </c>
      <c r="D2130" t="str">
        <f>IFERROR(VLOOKUP(A2130,depara!A:B,2,0),A2130)</f>
        <v>P0002416</v>
      </c>
      <c r="E2130">
        <f>VLOOKUP(B2130,'inumos depara'!$A:$B,2,0)</f>
        <v>16298803</v>
      </c>
      <c r="F2130" s="1" t="str">
        <f t="shared" si="66"/>
        <v>0.0833379601354728</v>
      </c>
      <c r="G2130" t="str">
        <f t="shared" si="67"/>
        <v>P0002416,16298803,0.0833379601354728</v>
      </c>
    </row>
    <row r="2131" spans="1:7" x14ac:dyDescent="0.25">
      <c r="A2131" s="1" t="s">
        <v>1071</v>
      </c>
      <c r="B2131" s="1" t="s">
        <v>1033</v>
      </c>
      <c r="C2131" s="1" t="s">
        <v>583</v>
      </c>
      <c r="D2131" t="str">
        <f>IFERROR(VLOOKUP(A2131,depara!A:B,2,0),A2131)</f>
        <v>P0002416</v>
      </c>
      <c r="E2131">
        <f>VLOOKUP(B2131,'inumos depara'!$A:$B,2,0)</f>
        <v>16299168</v>
      </c>
      <c r="F2131" s="1" t="str">
        <f t="shared" si="66"/>
        <v>0.0559657986785853</v>
      </c>
      <c r="G2131" t="str">
        <f t="shared" si="67"/>
        <v>P0002416,16299168,0.0559657986785853</v>
      </c>
    </row>
    <row r="2132" spans="1:7" x14ac:dyDescent="0.25">
      <c r="A2132" s="1" t="s">
        <v>1074</v>
      </c>
      <c r="B2132" s="1" t="s">
        <v>1156</v>
      </c>
      <c r="C2132" s="1" t="s">
        <v>388</v>
      </c>
      <c r="D2132" t="str">
        <f>IFERROR(VLOOKUP(A2132,depara!A:B,2,0),A2132)</f>
        <v>P0002417</v>
      </c>
      <c r="E2132">
        <f>VLOOKUP(B2132,'inumos depara'!$A:$B,2,0)</f>
        <v>16298567</v>
      </c>
      <c r="F2132" s="1" t="str">
        <f t="shared" si="66"/>
        <v>0.009</v>
      </c>
      <c r="G2132" t="str">
        <f t="shared" si="67"/>
        <v>P0002417,16298567,0.009</v>
      </c>
    </row>
    <row r="2133" spans="1:7" x14ac:dyDescent="0.25">
      <c r="A2133" s="1" t="s">
        <v>1074</v>
      </c>
      <c r="B2133" s="1" t="s">
        <v>1554</v>
      </c>
      <c r="C2133" s="1" t="s">
        <v>1075</v>
      </c>
      <c r="D2133" t="str">
        <f>IFERROR(VLOOKUP(A2133,depara!A:B,2,0),A2133)</f>
        <v>P0002417</v>
      </c>
      <c r="E2133">
        <f>VLOOKUP(B2133,'inumos depara'!$A:$B,2,0)</f>
        <v>16298917</v>
      </c>
      <c r="F2133" s="1" t="str">
        <f t="shared" si="66"/>
        <v>0.643</v>
      </c>
      <c r="G2133" t="str">
        <f t="shared" si="67"/>
        <v>P0002417,16298917,0.643</v>
      </c>
    </row>
    <row r="2134" spans="1:7" x14ac:dyDescent="0.25">
      <c r="A2134" s="1" t="s">
        <v>1074</v>
      </c>
      <c r="B2134" s="1" t="s">
        <v>1076</v>
      </c>
      <c r="C2134" s="1" t="s">
        <v>63</v>
      </c>
      <c r="D2134" t="str">
        <f>IFERROR(VLOOKUP(A2134,depara!A:B,2,0),A2134)</f>
        <v>P0002417</v>
      </c>
      <c r="E2134">
        <f>VLOOKUP(B2134,'inumos depara'!$A:$B,2,0)</f>
        <v>16299171</v>
      </c>
      <c r="F2134" s="1" t="str">
        <f t="shared" si="66"/>
        <v>0.15</v>
      </c>
      <c r="G2134" t="str">
        <f t="shared" si="67"/>
        <v>P0002417,16299171,0.15</v>
      </c>
    </row>
    <row r="2135" spans="1:7" x14ac:dyDescent="0.25">
      <c r="A2135" s="1" t="s">
        <v>1074</v>
      </c>
      <c r="B2135" s="1" t="s">
        <v>1077</v>
      </c>
      <c r="C2135" s="1" t="s">
        <v>63</v>
      </c>
      <c r="D2135" t="str">
        <f>IFERROR(VLOOKUP(A2135,depara!A:B,2,0),A2135)</f>
        <v>P0002417</v>
      </c>
      <c r="E2135">
        <f>VLOOKUP(B2135,'inumos depara'!$A:$B,2,0)</f>
        <v>16299172</v>
      </c>
      <c r="F2135" s="1" t="str">
        <f t="shared" si="66"/>
        <v>0.15</v>
      </c>
      <c r="G2135" t="str">
        <f t="shared" si="67"/>
        <v>P0002417,16299172,0.15</v>
      </c>
    </row>
    <row r="2136" spans="1:7" x14ac:dyDescent="0.25">
      <c r="A2136" s="1" t="s">
        <v>1074</v>
      </c>
      <c r="B2136" s="1" t="s">
        <v>1078</v>
      </c>
      <c r="C2136" s="1" t="s">
        <v>64</v>
      </c>
      <c r="D2136" t="str">
        <f>IFERROR(VLOOKUP(A2136,depara!A:B,2,0),A2136)</f>
        <v>P0002417</v>
      </c>
      <c r="E2136">
        <f>VLOOKUP(B2136,'inumos depara'!$A:$B,2,0)</f>
        <v>16299173</v>
      </c>
      <c r="F2136" s="1" t="str">
        <f t="shared" si="66"/>
        <v>0.02</v>
      </c>
      <c r="G2136" t="str">
        <f t="shared" si="67"/>
        <v>P0002417,16299173,0.02</v>
      </c>
    </row>
    <row r="2137" spans="1:7" x14ac:dyDescent="0.25">
      <c r="A2137" s="1" t="s">
        <v>1074</v>
      </c>
      <c r="B2137" s="1" t="s">
        <v>1079</v>
      </c>
      <c r="C2137" s="1" t="s">
        <v>64</v>
      </c>
      <c r="D2137" t="str">
        <f>IFERROR(VLOOKUP(A2137,depara!A:B,2,0),A2137)</f>
        <v>P0002417</v>
      </c>
      <c r="E2137">
        <f>VLOOKUP(B2137,'inumos depara'!$A:$B,2,0)</f>
        <v>16299174</v>
      </c>
      <c r="F2137" s="1" t="str">
        <f t="shared" si="66"/>
        <v>0.02</v>
      </c>
      <c r="G2137" t="str">
        <f t="shared" si="67"/>
        <v>P0002417,16299174,0.02</v>
      </c>
    </row>
    <row r="2138" spans="1:7" x14ac:dyDescent="0.25">
      <c r="A2138" s="1" t="s">
        <v>1074</v>
      </c>
      <c r="B2138" s="1" t="s">
        <v>1080</v>
      </c>
      <c r="C2138" s="1" t="s">
        <v>1081</v>
      </c>
      <c r="D2138" t="str">
        <f>IFERROR(VLOOKUP(A2138,depara!A:B,2,0),A2138)</f>
        <v>P0002417</v>
      </c>
      <c r="E2138">
        <f>VLOOKUP(B2138,'inumos depara'!$A:$B,2,0)</f>
        <v>16299175</v>
      </c>
      <c r="F2138" s="1" t="str">
        <f t="shared" si="66"/>
        <v>0.008</v>
      </c>
      <c r="G2138" t="str">
        <f t="shared" si="67"/>
        <v>P0002417,16299175,0.008</v>
      </c>
    </row>
    <row r="2139" spans="1:7" x14ac:dyDescent="0.25">
      <c r="A2139" s="1" t="s">
        <v>1074</v>
      </c>
      <c r="B2139" s="1" t="s">
        <v>1156</v>
      </c>
      <c r="C2139" s="1" t="s">
        <v>388</v>
      </c>
      <c r="D2139" t="str">
        <f>IFERROR(VLOOKUP(A2139,depara!A:B,2,0),A2139)</f>
        <v>P0002417</v>
      </c>
      <c r="E2139">
        <f>VLOOKUP(B2139,'inumos depara'!$A:$B,2,0)</f>
        <v>16298567</v>
      </c>
      <c r="F2139" s="1" t="str">
        <f t="shared" si="66"/>
        <v>0.009</v>
      </c>
      <c r="G2139" t="str">
        <f t="shared" si="67"/>
        <v>P0002417,16298567,0.009</v>
      </c>
    </row>
    <row r="2140" spans="1:7" x14ac:dyDescent="0.25">
      <c r="A2140" s="1" t="s">
        <v>1074</v>
      </c>
      <c r="B2140" s="1" t="s">
        <v>1554</v>
      </c>
      <c r="C2140" s="1" t="s">
        <v>1075</v>
      </c>
      <c r="D2140" t="str">
        <f>IFERROR(VLOOKUP(A2140,depara!A:B,2,0),A2140)</f>
        <v>P0002417</v>
      </c>
      <c r="E2140">
        <f>VLOOKUP(B2140,'inumos depara'!$A:$B,2,0)</f>
        <v>16298917</v>
      </c>
      <c r="F2140" s="1" t="str">
        <f t="shared" si="66"/>
        <v>0.643</v>
      </c>
      <c r="G2140" t="str">
        <f t="shared" si="67"/>
        <v>P0002417,16298917,0.643</v>
      </c>
    </row>
    <row r="2141" spans="1:7" x14ac:dyDescent="0.25">
      <c r="A2141" s="1" t="s">
        <v>1074</v>
      </c>
      <c r="B2141" s="1" t="s">
        <v>1076</v>
      </c>
      <c r="C2141" s="1" t="s">
        <v>63</v>
      </c>
      <c r="D2141" t="str">
        <f>IFERROR(VLOOKUP(A2141,depara!A:B,2,0),A2141)</f>
        <v>P0002417</v>
      </c>
      <c r="E2141">
        <f>VLOOKUP(B2141,'inumos depara'!$A:$B,2,0)</f>
        <v>16299171</v>
      </c>
      <c r="F2141" s="1" t="str">
        <f t="shared" si="66"/>
        <v>0.15</v>
      </c>
      <c r="G2141" t="str">
        <f t="shared" si="67"/>
        <v>P0002417,16299171,0.15</v>
      </c>
    </row>
    <row r="2142" spans="1:7" x14ac:dyDescent="0.25">
      <c r="A2142" s="1" t="s">
        <v>1074</v>
      </c>
      <c r="B2142" s="1" t="s">
        <v>1077</v>
      </c>
      <c r="C2142" s="1" t="s">
        <v>63</v>
      </c>
      <c r="D2142" t="str">
        <f>IFERROR(VLOOKUP(A2142,depara!A:B,2,0),A2142)</f>
        <v>P0002417</v>
      </c>
      <c r="E2142">
        <f>VLOOKUP(B2142,'inumos depara'!$A:$B,2,0)</f>
        <v>16299172</v>
      </c>
      <c r="F2142" s="1" t="str">
        <f t="shared" si="66"/>
        <v>0.15</v>
      </c>
      <c r="G2142" t="str">
        <f t="shared" si="67"/>
        <v>P0002417,16299172,0.15</v>
      </c>
    </row>
    <row r="2143" spans="1:7" x14ac:dyDescent="0.25">
      <c r="A2143" s="1" t="s">
        <v>1074</v>
      </c>
      <c r="B2143" s="1" t="s">
        <v>1078</v>
      </c>
      <c r="C2143" s="1" t="s">
        <v>64</v>
      </c>
      <c r="D2143" t="str">
        <f>IFERROR(VLOOKUP(A2143,depara!A:B,2,0),A2143)</f>
        <v>P0002417</v>
      </c>
      <c r="E2143">
        <f>VLOOKUP(B2143,'inumos depara'!$A:$B,2,0)</f>
        <v>16299173</v>
      </c>
      <c r="F2143" s="1" t="str">
        <f t="shared" si="66"/>
        <v>0.02</v>
      </c>
      <c r="G2143" t="str">
        <f t="shared" si="67"/>
        <v>P0002417,16299173,0.02</v>
      </c>
    </row>
    <row r="2144" spans="1:7" x14ac:dyDescent="0.25">
      <c r="A2144" s="1" t="s">
        <v>1074</v>
      </c>
      <c r="B2144" s="1" t="s">
        <v>1079</v>
      </c>
      <c r="C2144" s="1" t="s">
        <v>64</v>
      </c>
      <c r="D2144" t="str">
        <f>IFERROR(VLOOKUP(A2144,depara!A:B,2,0),A2144)</f>
        <v>P0002417</v>
      </c>
      <c r="E2144">
        <f>VLOOKUP(B2144,'inumos depara'!$A:$B,2,0)</f>
        <v>16299174</v>
      </c>
      <c r="F2144" s="1" t="str">
        <f t="shared" si="66"/>
        <v>0.02</v>
      </c>
      <c r="G2144" t="str">
        <f t="shared" si="67"/>
        <v>P0002417,16299174,0.02</v>
      </c>
    </row>
    <row r="2145" spans="1:7" x14ac:dyDescent="0.25">
      <c r="A2145" s="1" t="s">
        <v>1074</v>
      </c>
      <c r="B2145" s="1" t="s">
        <v>1080</v>
      </c>
      <c r="C2145" s="1" t="s">
        <v>1081</v>
      </c>
      <c r="D2145" t="str">
        <f>IFERROR(VLOOKUP(A2145,depara!A:B,2,0),A2145)</f>
        <v>P0002417</v>
      </c>
      <c r="E2145">
        <f>VLOOKUP(B2145,'inumos depara'!$A:$B,2,0)</f>
        <v>16299175</v>
      </c>
      <c r="F2145" s="1" t="str">
        <f t="shared" si="66"/>
        <v>0.008</v>
      </c>
      <c r="G2145" t="str">
        <f t="shared" si="67"/>
        <v>P0002417,16299175,0.008</v>
      </c>
    </row>
    <row r="2146" spans="1:7" x14ac:dyDescent="0.25">
      <c r="A2146" s="1" t="s">
        <v>1082</v>
      </c>
      <c r="B2146" s="1" t="s">
        <v>1083</v>
      </c>
      <c r="C2146" s="1" t="s">
        <v>717</v>
      </c>
      <c r="D2146" t="str">
        <f>IFERROR(VLOOKUP(A2146,depara!A:B,2,0),A2146)</f>
        <v>P0002418</v>
      </c>
      <c r="E2146">
        <f>VLOOKUP(B2146,'inumos depara'!$A:$B,2,0)</f>
        <v>16299176</v>
      </c>
      <c r="F2146" s="1" t="str">
        <f t="shared" si="66"/>
        <v>0.00167120158554201</v>
      </c>
      <c r="G2146" t="str">
        <f t="shared" si="67"/>
        <v>P0002418,16299176,0.00167120158554201</v>
      </c>
    </row>
    <row r="2147" spans="1:7" x14ac:dyDescent="0.25">
      <c r="A2147" s="1" t="s">
        <v>1082</v>
      </c>
      <c r="B2147" s="1" t="s">
        <v>1443</v>
      </c>
      <c r="C2147" s="1" t="s">
        <v>718</v>
      </c>
      <c r="D2147" t="str">
        <f>IFERROR(VLOOKUP(A2147,depara!A:B,2,0),A2147)</f>
        <v>P0002418</v>
      </c>
      <c r="E2147">
        <f>VLOOKUP(B2147,'inumos depara'!$A:$B,2,0)</f>
        <v>16298809</v>
      </c>
      <c r="F2147" s="1" t="str">
        <f t="shared" si="66"/>
        <v>0.0100020155195002</v>
      </c>
      <c r="G2147" t="str">
        <f t="shared" si="67"/>
        <v>P0002418,16298809,0.0100020155195002</v>
      </c>
    </row>
    <row r="2148" spans="1:7" x14ac:dyDescent="0.25">
      <c r="A2148" s="1" t="s">
        <v>1082</v>
      </c>
      <c r="B2148" s="1" t="s">
        <v>1057</v>
      </c>
      <c r="C2148" s="1" t="s">
        <v>720</v>
      </c>
      <c r="D2148" t="str">
        <f>IFERROR(VLOOKUP(A2148,depara!A:B,2,0),A2148)</f>
        <v>P0002418</v>
      </c>
      <c r="E2148">
        <f>VLOOKUP(B2148,'inumos depara'!$A:$B,2,0)</f>
        <v>16299177</v>
      </c>
      <c r="F2148" s="1" t="str">
        <f t="shared" si="66"/>
        <v>0.00868562934596392</v>
      </c>
      <c r="G2148" t="str">
        <f t="shared" si="67"/>
        <v>P0002418,16299177,0.00868562934596392</v>
      </c>
    </row>
    <row r="2149" spans="1:7" x14ac:dyDescent="0.25">
      <c r="A2149" s="1" t="s">
        <v>1084</v>
      </c>
      <c r="B2149" s="1" t="s">
        <v>1085</v>
      </c>
      <c r="C2149" s="1" t="s">
        <v>1604</v>
      </c>
      <c r="D2149" t="str">
        <f>IFERROR(VLOOKUP(A2149,depara!A:B,2,0),A2149)</f>
        <v>P0002419</v>
      </c>
      <c r="E2149">
        <f>VLOOKUP(B2149,'inumos depara'!$A:$B,2,0)</f>
        <v>16299178</v>
      </c>
      <c r="F2149" s="1" t="str">
        <f t="shared" si="66"/>
        <v>1.04999661269562</v>
      </c>
      <c r="G2149" t="str">
        <f t="shared" si="67"/>
        <v>P0002419,16299178,1.04999661269562</v>
      </c>
    </row>
    <row r="2150" spans="1:7" x14ac:dyDescent="0.25">
      <c r="A2150" s="1" t="s">
        <v>1084</v>
      </c>
      <c r="B2150" s="1" t="s">
        <v>404</v>
      </c>
      <c r="C2150" s="1" t="s">
        <v>723</v>
      </c>
      <c r="D2150" t="str">
        <f>IFERROR(VLOOKUP(A2150,depara!A:B,2,0),A2150)</f>
        <v>P0002419</v>
      </c>
      <c r="E2150">
        <f>VLOOKUP(B2150,'inumos depara'!$A:$B,2,0)</f>
        <v>16298893</v>
      </c>
      <c r="F2150" s="1" t="str">
        <f t="shared" si="66"/>
        <v>0.0625296389133528</v>
      </c>
      <c r="G2150" t="str">
        <f t="shared" si="67"/>
        <v>P0002419,16298893,0.0625296389133528</v>
      </c>
    </row>
    <row r="2151" spans="1:7" x14ac:dyDescent="0.25">
      <c r="A2151" s="1" t="s">
        <v>1084</v>
      </c>
      <c r="B2151" s="1" t="s">
        <v>1057</v>
      </c>
      <c r="C2151" s="1" t="s">
        <v>724</v>
      </c>
      <c r="D2151" t="str">
        <f>IFERROR(VLOOKUP(A2151,depara!A:B,2,0),A2151)</f>
        <v>P0002419</v>
      </c>
      <c r="E2151">
        <f>VLOOKUP(B2151,'inumos depara'!$A:$B,2,0)</f>
        <v>16299177</v>
      </c>
      <c r="F2151" s="1" t="str">
        <f t="shared" si="66"/>
        <v>0.210199173497731</v>
      </c>
      <c r="G2151" t="str">
        <f t="shared" si="67"/>
        <v>P0002419,16299177,0.210199173497731</v>
      </c>
    </row>
    <row r="2152" spans="1:7" x14ac:dyDescent="0.25">
      <c r="A2152" s="1" t="s">
        <v>1086</v>
      </c>
      <c r="B2152" s="1" t="s">
        <v>1087</v>
      </c>
      <c r="C2152" s="1" t="s">
        <v>1605</v>
      </c>
      <c r="D2152" t="str">
        <f>IFERROR(VLOOKUP(A2152,depara!A:B,2,0),A2152)</f>
        <v>P0002420</v>
      </c>
      <c r="E2152">
        <f>VLOOKUP(B2152,'inumos depara'!$A:$B,2,0)</f>
        <v>16299179</v>
      </c>
      <c r="F2152" s="1" t="str">
        <f t="shared" si="66"/>
        <v>1.00488997555012</v>
      </c>
      <c r="G2152" t="str">
        <f t="shared" si="67"/>
        <v>P0002420,16299179,1.00488997555012</v>
      </c>
    </row>
    <row r="2153" spans="1:7" x14ac:dyDescent="0.25">
      <c r="A2153" s="1" t="s">
        <v>1086</v>
      </c>
      <c r="B2153" s="1" t="s">
        <v>732</v>
      </c>
      <c r="C2153" s="1" t="s">
        <v>1605</v>
      </c>
      <c r="D2153" t="str">
        <f>IFERROR(VLOOKUP(A2153,depara!A:B,2,0),A2153)</f>
        <v>P0002420</v>
      </c>
      <c r="E2153">
        <f>VLOOKUP(B2153,'inumos depara'!$A:$B,2,0)</f>
        <v>16299069</v>
      </c>
      <c r="F2153" s="1" t="str">
        <f t="shared" si="66"/>
        <v>1.00488997555012</v>
      </c>
      <c r="G2153" t="str">
        <f t="shared" si="67"/>
        <v>P0002420,16299069,1.00488997555012</v>
      </c>
    </row>
    <row r="2154" spans="1:7" x14ac:dyDescent="0.25">
      <c r="A2154" s="1" t="s">
        <v>1086</v>
      </c>
      <c r="B2154" s="1" t="s">
        <v>594</v>
      </c>
      <c r="C2154" s="1" t="s">
        <v>733</v>
      </c>
      <c r="D2154" t="str">
        <f>IFERROR(VLOOKUP(A2154,depara!A:B,2,0),A2154)</f>
        <v>P0002420</v>
      </c>
      <c r="E2154">
        <f>VLOOKUP(B2154,'inumos depara'!$A:$B,2,0)</f>
        <v>16299017</v>
      </c>
      <c r="F2154" s="1" t="str">
        <f t="shared" si="66"/>
        <v>0.0831295843520782</v>
      </c>
      <c r="G2154" t="str">
        <f t="shared" si="67"/>
        <v>P0002420,16299017,0.0831295843520782</v>
      </c>
    </row>
    <row r="2155" spans="1:7" x14ac:dyDescent="0.25">
      <c r="A2155" s="1" t="s">
        <v>1086</v>
      </c>
      <c r="B2155" s="1" t="s">
        <v>1058</v>
      </c>
      <c r="C2155" s="1" t="s">
        <v>734</v>
      </c>
      <c r="D2155" t="str">
        <f>IFERROR(VLOOKUP(A2155,depara!A:B,2,0),A2155)</f>
        <v>P0002420</v>
      </c>
      <c r="E2155">
        <f>VLOOKUP(B2155,'inumos depara'!$A:$B,2,0)</f>
        <v>16299180</v>
      </c>
      <c r="F2155" s="1" t="str">
        <f t="shared" si="66"/>
        <v>0.421454767726161</v>
      </c>
      <c r="G2155" t="str">
        <f t="shared" si="67"/>
        <v>P0002420,16299180,0.421454767726161</v>
      </c>
    </row>
    <row r="2156" spans="1:7" x14ac:dyDescent="0.25">
      <c r="A2156" s="1" t="s">
        <v>1088</v>
      </c>
      <c r="B2156" s="1" t="s">
        <v>1089</v>
      </c>
      <c r="C2156" s="1" t="s">
        <v>717</v>
      </c>
      <c r="D2156" t="str">
        <f>IFERROR(VLOOKUP(A2156,depara!A:B,2,0),A2156)</f>
        <v>P0002421</v>
      </c>
      <c r="E2156">
        <f>VLOOKUP(B2156,'inumos depara'!$A:$B,2,0)</f>
        <v>16299181</v>
      </c>
      <c r="F2156" s="1" t="str">
        <f t="shared" si="66"/>
        <v>0.00167120158554201</v>
      </c>
      <c r="G2156" t="str">
        <f t="shared" si="67"/>
        <v>P0002421,16299181,0.00167120158554201</v>
      </c>
    </row>
    <row r="2157" spans="1:7" x14ac:dyDescent="0.25">
      <c r="A2157" s="1" t="s">
        <v>1088</v>
      </c>
      <c r="B2157" s="1" t="s">
        <v>1443</v>
      </c>
      <c r="C2157" s="1" t="s">
        <v>718</v>
      </c>
      <c r="D2157" t="str">
        <f>IFERROR(VLOOKUP(A2157,depara!A:B,2,0),A2157)</f>
        <v>P0002421</v>
      </c>
      <c r="E2157">
        <f>VLOOKUP(B2157,'inumos depara'!$A:$B,2,0)</f>
        <v>16298809</v>
      </c>
      <c r="F2157" s="1" t="str">
        <f t="shared" si="66"/>
        <v>0.0100020155195002</v>
      </c>
      <c r="G2157" t="str">
        <f t="shared" si="67"/>
        <v>P0002421,16298809,0.0100020155195002</v>
      </c>
    </row>
    <row r="2158" spans="1:7" x14ac:dyDescent="0.25">
      <c r="A2158" s="1" t="s">
        <v>1088</v>
      </c>
      <c r="B2158" s="1" t="s">
        <v>1058</v>
      </c>
      <c r="C2158" s="1" t="s">
        <v>720</v>
      </c>
      <c r="D2158" t="str">
        <f>IFERROR(VLOOKUP(A2158,depara!A:B,2,0),A2158)</f>
        <v>P0002421</v>
      </c>
      <c r="E2158">
        <f>VLOOKUP(B2158,'inumos depara'!$A:$B,2,0)</f>
        <v>16299180</v>
      </c>
      <c r="F2158" s="1" t="str">
        <f t="shared" si="66"/>
        <v>0.00868562934596392</v>
      </c>
      <c r="G2158" t="str">
        <f t="shared" si="67"/>
        <v>P0002421,16299180,0.00868562934596392</v>
      </c>
    </row>
    <row r="2159" spans="1:7" x14ac:dyDescent="0.25">
      <c r="A2159" s="1" t="s">
        <v>1090</v>
      </c>
      <c r="B2159" s="1" t="s">
        <v>1091</v>
      </c>
      <c r="C2159" s="1" t="s">
        <v>1604</v>
      </c>
      <c r="D2159" t="str">
        <f>IFERROR(VLOOKUP(A2159,depara!A:B,2,0),A2159)</f>
        <v>P0002422</v>
      </c>
      <c r="E2159">
        <f>VLOOKUP(B2159,'inumos depara'!$A:$B,2,0)</f>
        <v>16299182</v>
      </c>
      <c r="F2159" s="1" t="str">
        <f t="shared" si="66"/>
        <v>1.04999661269562</v>
      </c>
      <c r="G2159" t="str">
        <f t="shared" si="67"/>
        <v>P0002422,16299182,1.04999661269562</v>
      </c>
    </row>
    <row r="2160" spans="1:7" x14ac:dyDescent="0.25">
      <c r="A2160" s="1" t="s">
        <v>1090</v>
      </c>
      <c r="B2160" s="1" t="s">
        <v>404</v>
      </c>
      <c r="C2160" s="1" t="s">
        <v>723</v>
      </c>
      <c r="D2160" t="str">
        <f>IFERROR(VLOOKUP(A2160,depara!A:B,2,0),A2160)</f>
        <v>P0002422</v>
      </c>
      <c r="E2160">
        <f>VLOOKUP(B2160,'inumos depara'!$A:$B,2,0)</f>
        <v>16298893</v>
      </c>
      <c r="F2160" s="1" t="str">
        <f t="shared" si="66"/>
        <v>0.0625296389133528</v>
      </c>
      <c r="G2160" t="str">
        <f t="shared" si="67"/>
        <v>P0002422,16298893,0.0625296389133528</v>
      </c>
    </row>
    <row r="2161" spans="1:7" x14ac:dyDescent="0.25">
      <c r="A2161" s="1" t="s">
        <v>1090</v>
      </c>
      <c r="B2161" s="1" t="s">
        <v>1058</v>
      </c>
      <c r="C2161" s="1" t="s">
        <v>724</v>
      </c>
      <c r="D2161" t="str">
        <f>IFERROR(VLOOKUP(A2161,depara!A:B,2,0),A2161)</f>
        <v>P0002422</v>
      </c>
      <c r="E2161">
        <f>VLOOKUP(B2161,'inumos depara'!$A:$B,2,0)</f>
        <v>16299180</v>
      </c>
      <c r="F2161" s="1" t="str">
        <f t="shared" si="66"/>
        <v>0.210199173497731</v>
      </c>
      <c r="G2161" t="str">
        <f t="shared" si="67"/>
        <v>P0002422,16299180,0.210199173497731</v>
      </c>
    </row>
    <row r="2162" spans="1:7" x14ac:dyDescent="0.25">
      <c r="A2162" s="1" t="s">
        <v>1092</v>
      </c>
      <c r="B2162" s="1" t="s">
        <v>1093</v>
      </c>
      <c r="C2162" s="1" t="s">
        <v>1094</v>
      </c>
      <c r="D2162" t="str">
        <f>IFERROR(VLOOKUP(A2162,depara!A:B,2,0),A2162)</f>
        <v>P0002455</v>
      </c>
      <c r="E2162">
        <f>VLOOKUP(B2162,'inumos depara'!$A:$B,2,0)</f>
        <v>16299183</v>
      </c>
      <c r="F2162" s="1" t="str">
        <f t="shared" si="66"/>
        <v>0.00136083401375034</v>
      </c>
      <c r="G2162" t="str">
        <f t="shared" si="67"/>
        <v>P0002455,16299183,0.00136083401375034</v>
      </c>
    </row>
    <row r="2163" spans="1:7" x14ac:dyDescent="0.25">
      <c r="A2163" s="1" t="s">
        <v>1092</v>
      </c>
      <c r="B2163" s="1" t="s">
        <v>1443</v>
      </c>
      <c r="C2163" s="1" t="s">
        <v>1095</v>
      </c>
      <c r="D2163" t="str">
        <f>IFERROR(VLOOKUP(A2163,depara!A:B,2,0),A2163)</f>
        <v>P0002455</v>
      </c>
      <c r="E2163">
        <f>VLOOKUP(B2163,'inumos depara'!$A:$B,2,0)</f>
        <v>16298809</v>
      </c>
      <c r="F2163" s="1" t="str">
        <f t="shared" si="66"/>
        <v>0.0099991716662525</v>
      </c>
      <c r="G2163" t="str">
        <f t="shared" si="67"/>
        <v>P0002455,16298809,0.0099991716662525</v>
      </c>
    </row>
    <row r="2164" spans="1:7" x14ac:dyDescent="0.25">
      <c r="A2164" s="1" t="s">
        <v>1092</v>
      </c>
      <c r="B2164" s="1" t="s">
        <v>1096</v>
      </c>
      <c r="C2164" s="1" t="s">
        <v>1097</v>
      </c>
      <c r="D2164" t="str">
        <f>IFERROR(VLOOKUP(A2164,depara!A:B,2,0),A2164)</f>
        <v>P0002455</v>
      </c>
      <c r="E2164">
        <f>VLOOKUP(B2164,'inumos depara'!$A:$B,2,0)</f>
        <v>16299184</v>
      </c>
      <c r="F2164" s="1" t="str">
        <f t="shared" si="66"/>
        <v>0.00596400298200149</v>
      </c>
      <c r="G2164" t="str">
        <f t="shared" si="67"/>
        <v>P0002455,16299184,0.00596400298200149</v>
      </c>
    </row>
    <row r="2165" spans="1:7" x14ac:dyDescent="0.25">
      <c r="A2165" s="1" t="s">
        <v>1098</v>
      </c>
      <c r="B2165" s="1" t="s">
        <v>1099</v>
      </c>
      <c r="C2165" s="1" t="s">
        <v>1688</v>
      </c>
      <c r="D2165" t="str">
        <f>IFERROR(VLOOKUP(A2165,depara!A:B,2,0),A2165)</f>
        <v>P0002456</v>
      </c>
      <c r="E2165">
        <f>VLOOKUP(B2165,'inumos depara'!$A:$B,2,0)</f>
        <v>16299185</v>
      </c>
      <c r="F2165" s="1" t="str">
        <f t="shared" si="66"/>
        <v>1.04999553611285</v>
      </c>
      <c r="G2165" t="str">
        <f t="shared" si="67"/>
        <v>P0002456,16299185,1.04999553611285</v>
      </c>
    </row>
    <row r="2166" spans="1:7" x14ac:dyDescent="0.25">
      <c r="A2166" s="1" t="s">
        <v>1098</v>
      </c>
      <c r="B2166" s="1" t="s">
        <v>1100</v>
      </c>
      <c r="C2166" s="1" t="s">
        <v>1689</v>
      </c>
      <c r="D2166" t="str">
        <f>IFERROR(VLOOKUP(A2166,depara!A:B,2,0),A2166)</f>
        <v>P0002456</v>
      </c>
      <c r="E2166">
        <f>VLOOKUP(B2166,'inumos depara'!$A:$B,2,0)</f>
        <v>16299186</v>
      </c>
      <c r="F2166" s="1" t="str">
        <f t="shared" si="66"/>
        <v>1.00499955361128</v>
      </c>
      <c r="G2166" t="str">
        <f t="shared" si="67"/>
        <v>P0002456,16299186,1.00499955361128</v>
      </c>
    </row>
    <row r="2167" spans="1:7" x14ac:dyDescent="0.25">
      <c r="A2167" s="1" t="s">
        <v>1098</v>
      </c>
      <c r="B2167" s="1" t="s">
        <v>545</v>
      </c>
      <c r="C2167" s="1" t="s">
        <v>1101</v>
      </c>
      <c r="D2167" t="str">
        <f>IFERROR(VLOOKUP(A2167,depara!A:B,2,0),A2167)</f>
        <v>P0002456</v>
      </c>
      <c r="E2167">
        <f>VLOOKUP(B2167,'inumos depara'!$A:$B,2,0)</f>
        <v>16298996</v>
      </c>
      <c r="F2167" s="1" t="str">
        <f t="shared" si="66"/>
        <v>0.0624944201410588</v>
      </c>
      <c r="G2167" t="str">
        <f t="shared" si="67"/>
        <v>P0002456,16298996,0.0624944201410588</v>
      </c>
    </row>
    <row r="2168" spans="1:7" x14ac:dyDescent="0.25">
      <c r="A2168" s="1" t="s">
        <v>1098</v>
      </c>
      <c r="B2168" s="1" t="s">
        <v>1052</v>
      </c>
      <c r="C2168" s="1" t="s">
        <v>1102</v>
      </c>
      <c r="D2168" t="str">
        <f>IFERROR(VLOOKUP(A2168,depara!A:B,2,0),A2168)</f>
        <v>P0002456</v>
      </c>
      <c r="E2168">
        <f>VLOOKUP(B2168,'inumos depara'!$A:$B,2,0)</f>
        <v>16299187</v>
      </c>
      <c r="F2168" s="1" t="str">
        <f t="shared" si="66"/>
        <v>0.0449959825015624</v>
      </c>
      <c r="G2168" t="str">
        <f t="shared" si="67"/>
        <v>P0002456,16299187,0.0449959825015624</v>
      </c>
    </row>
    <row r="2169" spans="1:7" x14ac:dyDescent="0.25">
      <c r="A2169" s="1" t="s">
        <v>1103</v>
      </c>
      <c r="B2169" s="1" t="s">
        <v>1104</v>
      </c>
      <c r="C2169" s="1" t="s">
        <v>577</v>
      </c>
      <c r="D2169" t="str">
        <f>IFERROR(VLOOKUP(A2169,depara!A:B,2,0),A2169)</f>
        <v>P0002457</v>
      </c>
      <c r="E2169">
        <f>VLOOKUP(B2169,'inumos depara'!$A:$B,2,0)</f>
        <v>16299188</v>
      </c>
      <c r="F2169" s="1" t="str">
        <f t="shared" si="66"/>
        <v>0.00135816473248328</v>
      </c>
      <c r="G2169" t="str">
        <f t="shared" si="67"/>
        <v>P0002457,16299188,0.00135816473248328</v>
      </c>
    </row>
    <row r="2170" spans="1:7" x14ac:dyDescent="0.25">
      <c r="A2170" s="1" t="s">
        <v>1103</v>
      </c>
      <c r="B2170" s="1" t="s">
        <v>1443</v>
      </c>
      <c r="C2170" s="1" t="s">
        <v>578</v>
      </c>
      <c r="D2170" t="str">
        <f>IFERROR(VLOOKUP(A2170,depara!A:B,2,0),A2170)</f>
        <v>P0002457</v>
      </c>
      <c r="E2170">
        <f>VLOOKUP(B2170,'inumos depara'!$A:$B,2,0)</f>
        <v>16298809</v>
      </c>
      <c r="F2170" s="1" t="str">
        <f t="shared" si="66"/>
        <v>0.0100003414380612</v>
      </c>
      <c r="G2170" t="str">
        <f t="shared" si="67"/>
        <v>P0002457,16298809,0.0100003414380612</v>
      </c>
    </row>
    <row r="2171" spans="1:7" x14ac:dyDescent="0.25">
      <c r="A2171" s="1" t="s">
        <v>1103</v>
      </c>
      <c r="B2171" s="1" t="s">
        <v>1052</v>
      </c>
      <c r="C2171" s="1" t="s">
        <v>575</v>
      </c>
      <c r="D2171" t="str">
        <f>IFERROR(VLOOKUP(A2171,depara!A:B,2,0),A2171)</f>
        <v>P0002457</v>
      </c>
      <c r="E2171">
        <f>VLOOKUP(B2171,'inumos depara'!$A:$B,2,0)</f>
        <v>16299187</v>
      </c>
      <c r="F2171" s="1" t="str">
        <f t="shared" si="66"/>
        <v>0.00382410628587471</v>
      </c>
      <c r="G2171" t="str">
        <f t="shared" si="67"/>
        <v>P0002457,16299187,0.00382410628587471</v>
      </c>
    </row>
    <row r="2172" spans="1:7" x14ac:dyDescent="0.25">
      <c r="A2172" s="1" t="s">
        <v>1105</v>
      </c>
      <c r="B2172" s="1" t="s">
        <v>1106</v>
      </c>
      <c r="C2172" s="1" t="s">
        <v>1688</v>
      </c>
      <c r="D2172" t="str">
        <f>IFERROR(VLOOKUP(A2172,depara!A:B,2,0),A2172)</f>
        <v>P0002458</v>
      </c>
      <c r="E2172">
        <f>VLOOKUP(B2172,'inumos depara'!$A:$B,2,0)</f>
        <v>16299189</v>
      </c>
      <c r="F2172" s="1" t="str">
        <f t="shared" si="66"/>
        <v>1.04999553611285</v>
      </c>
      <c r="G2172" t="str">
        <f t="shared" si="67"/>
        <v>P0002458,16299189,1.04999553611285</v>
      </c>
    </row>
    <row r="2173" spans="1:7" x14ac:dyDescent="0.25">
      <c r="A2173" s="1" t="s">
        <v>1105</v>
      </c>
      <c r="B2173" s="1" t="s">
        <v>1107</v>
      </c>
      <c r="C2173" s="1" t="s">
        <v>1689</v>
      </c>
      <c r="D2173" t="str">
        <f>IFERROR(VLOOKUP(A2173,depara!A:B,2,0),A2173)</f>
        <v>P0002458</v>
      </c>
      <c r="E2173">
        <f>VLOOKUP(B2173,'inumos depara'!$A:$B,2,0)</f>
        <v>16299190</v>
      </c>
      <c r="F2173" s="1" t="str">
        <f t="shared" si="66"/>
        <v>1.00499955361128</v>
      </c>
      <c r="G2173" t="str">
        <f t="shared" si="67"/>
        <v>P0002458,16299190,1.00499955361128</v>
      </c>
    </row>
    <row r="2174" spans="1:7" x14ac:dyDescent="0.25">
      <c r="A2174" s="1" t="s">
        <v>1105</v>
      </c>
      <c r="B2174" s="1" t="s">
        <v>545</v>
      </c>
      <c r="C2174" s="1" t="s">
        <v>1101</v>
      </c>
      <c r="D2174" t="str">
        <f>IFERROR(VLOOKUP(A2174,depara!A:B,2,0),A2174)</f>
        <v>P0002458</v>
      </c>
      <c r="E2174">
        <f>VLOOKUP(B2174,'inumos depara'!$A:$B,2,0)</f>
        <v>16298996</v>
      </c>
      <c r="F2174" s="1" t="str">
        <f t="shared" si="66"/>
        <v>0.0624944201410588</v>
      </c>
      <c r="G2174" t="str">
        <f t="shared" si="67"/>
        <v>P0002458,16298996,0.0624944201410588</v>
      </c>
    </row>
    <row r="2175" spans="1:7" x14ac:dyDescent="0.25">
      <c r="A2175" s="1" t="s">
        <v>1105</v>
      </c>
      <c r="B2175" s="1" t="s">
        <v>1050</v>
      </c>
      <c r="C2175" s="1" t="s">
        <v>1102</v>
      </c>
      <c r="D2175" t="str">
        <f>IFERROR(VLOOKUP(A2175,depara!A:B,2,0),A2175)</f>
        <v>P0002458</v>
      </c>
      <c r="E2175">
        <f>VLOOKUP(B2175,'inumos depara'!$A:$B,2,0)</f>
        <v>16299191</v>
      </c>
      <c r="F2175" s="1" t="str">
        <f t="shared" si="66"/>
        <v>0.0449959825015624</v>
      </c>
      <c r="G2175" t="str">
        <f t="shared" si="67"/>
        <v>P0002458,16299191,0.0449959825015624</v>
      </c>
    </row>
    <row r="2176" spans="1:7" x14ac:dyDescent="0.25">
      <c r="A2176" s="1" t="s">
        <v>1108</v>
      </c>
      <c r="B2176" s="1" t="s">
        <v>1109</v>
      </c>
      <c r="C2176" s="1" t="s">
        <v>577</v>
      </c>
      <c r="D2176" t="str">
        <f>IFERROR(VLOOKUP(A2176,depara!A:B,2,0),A2176)</f>
        <v>P0002459</v>
      </c>
      <c r="E2176">
        <f>VLOOKUP(B2176,'inumos depara'!$A:$B,2,0)</f>
        <v>16299192</v>
      </c>
      <c r="F2176" s="1" t="str">
        <f t="shared" si="66"/>
        <v>0.00135816473248328</v>
      </c>
      <c r="G2176" t="str">
        <f t="shared" si="67"/>
        <v>P0002459,16299192,0.00135816473248328</v>
      </c>
    </row>
    <row r="2177" spans="1:7" x14ac:dyDescent="0.25">
      <c r="A2177" s="1" t="s">
        <v>1108</v>
      </c>
      <c r="B2177" s="1" t="s">
        <v>1443</v>
      </c>
      <c r="C2177" s="1" t="s">
        <v>578</v>
      </c>
      <c r="D2177" t="str">
        <f>IFERROR(VLOOKUP(A2177,depara!A:B,2,0),A2177)</f>
        <v>P0002459</v>
      </c>
      <c r="E2177">
        <f>VLOOKUP(B2177,'inumos depara'!$A:$B,2,0)</f>
        <v>16298809</v>
      </c>
      <c r="F2177" s="1" t="str">
        <f t="shared" si="66"/>
        <v>0.0100003414380612</v>
      </c>
      <c r="G2177" t="str">
        <f t="shared" si="67"/>
        <v>P0002459,16298809,0.0100003414380612</v>
      </c>
    </row>
    <row r="2178" spans="1:7" x14ac:dyDescent="0.25">
      <c r="A2178" s="1" t="s">
        <v>1108</v>
      </c>
      <c r="B2178" s="1" t="s">
        <v>1050</v>
      </c>
      <c r="C2178" s="1" t="s">
        <v>575</v>
      </c>
      <c r="D2178" t="str">
        <f>IFERROR(VLOOKUP(A2178,depara!A:B,2,0),A2178)</f>
        <v>P0002459</v>
      </c>
      <c r="E2178">
        <f>VLOOKUP(B2178,'inumos depara'!$A:$B,2,0)</f>
        <v>16299191</v>
      </c>
      <c r="F2178" s="1" t="str">
        <f t="shared" ref="F2178:F2241" si="68">C2178</f>
        <v>0.00382410628587471</v>
      </c>
      <c r="G2178" t="str">
        <f t="shared" ref="G2178:G2241" si="69">D2178&amp;","&amp;E2178&amp;","&amp;F2178</f>
        <v>P0002459,16299191,0.00382410628587471</v>
      </c>
    </row>
    <row r="2179" spans="1:7" x14ac:dyDescent="0.25">
      <c r="A2179" s="1" t="s">
        <v>1096</v>
      </c>
      <c r="B2179" s="1" t="s">
        <v>1110</v>
      </c>
      <c r="C2179" s="1" t="s">
        <v>6</v>
      </c>
      <c r="D2179" t="str">
        <f>IFERROR(VLOOKUP(A2179,depara!A:B,2,0),A2179)</f>
        <v>P0002528</v>
      </c>
      <c r="E2179">
        <f>VLOOKUP(B2179,'inumos depara'!$A:$B,2,0)</f>
        <v>16299193</v>
      </c>
      <c r="F2179" s="1" t="str">
        <f t="shared" si="68"/>
        <v>0.01</v>
      </c>
      <c r="G2179" t="str">
        <f t="shared" si="69"/>
        <v>P0002528,16299193,0.01</v>
      </c>
    </row>
    <row r="2180" spans="1:7" x14ac:dyDescent="0.25">
      <c r="A2180" s="1" t="s">
        <v>1096</v>
      </c>
      <c r="B2180" s="1" t="s">
        <v>389</v>
      </c>
      <c r="C2180" s="1" t="s">
        <v>5</v>
      </c>
      <c r="D2180" t="str">
        <f>IFERROR(VLOOKUP(A2180,depara!A:B,2,0),A2180)</f>
        <v>P0002528</v>
      </c>
      <c r="E2180">
        <f>VLOOKUP(B2180,'inumos depara'!$A:$B,2,0)</f>
        <v>16298886</v>
      </c>
      <c r="F2180" s="1" t="str">
        <f t="shared" si="68"/>
        <v>0.002</v>
      </c>
      <c r="G2180" t="str">
        <f t="shared" si="69"/>
        <v>P0002528,16298886,0.002</v>
      </c>
    </row>
    <row r="2181" spans="1:7" x14ac:dyDescent="0.25">
      <c r="A2181" s="1" t="s">
        <v>1096</v>
      </c>
      <c r="B2181" s="1" t="s">
        <v>1147</v>
      </c>
      <c r="C2181" s="1" t="s">
        <v>66</v>
      </c>
      <c r="D2181" t="str">
        <f>IFERROR(VLOOKUP(A2181,depara!A:B,2,0),A2181)</f>
        <v>P0002528</v>
      </c>
      <c r="E2181">
        <f>VLOOKUP(B2181,'inumos depara'!$A:$B,2,0)</f>
        <v>16298559</v>
      </c>
      <c r="F2181" s="1" t="str">
        <f t="shared" si="68"/>
        <v>0.07</v>
      </c>
      <c r="G2181" t="str">
        <f t="shared" si="69"/>
        <v>P0002528,16298559,0.07</v>
      </c>
    </row>
    <row r="2182" spans="1:7" x14ac:dyDescent="0.25">
      <c r="A2182" s="1" t="s">
        <v>1096</v>
      </c>
      <c r="B2182" s="1" t="s">
        <v>1151</v>
      </c>
      <c r="C2182" s="1" t="s">
        <v>394</v>
      </c>
      <c r="D2182" t="str">
        <f>IFERROR(VLOOKUP(A2182,depara!A:B,2,0),A2182)</f>
        <v>P0002528</v>
      </c>
      <c r="E2182">
        <f>VLOOKUP(B2182,'inumos depara'!$A:$B,2,0)</f>
        <v>16298562</v>
      </c>
      <c r="F2182" s="1" t="str">
        <f t="shared" si="68"/>
        <v>0.007</v>
      </c>
      <c r="G2182" t="str">
        <f t="shared" si="69"/>
        <v>P0002528,16298562,0.007</v>
      </c>
    </row>
    <row r="2183" spans="1:7" x14ac:dyDescent="0.25">
      <c r="A2183" s="1" t="s">
        <v>1096</v>
      </c>
      <c r="B2183" s="1" t="s">
        <v>1228</v>
      </c>
      <c r="C2183" s="1" t="s">
        <v>0</v>
      </c>
      <c r="D2183" t="str">
        <f>IFERROR(VLOOKUP(A2183,depara!A:B,2,0),A2183)</f>
        <v>P0002528</v>
      </c>
      <c r="E2183">
        <f>VLOOKUP(B2183,'inumos depara'!$A:$B,2,0)</f>
        <v>16298631</v>
      </c>
      <c r="F2183" s="1" t="str">
        <f t="shared" si="68"/>
        <v>0.05</v>
      </c>
      <c r="G2183" t="str">
        <f t="shared" si="69"/>
        <v>P0002528,16298631,0.05</v>
      </c>
    </row>
    <row r="2184" spans="1:7" x14ac:dyDescent="0.25">
      <c r="A2184" s="1" t="s">
        <v>1096</v>
      </c>
      <c r="B2184" s="1" t="s">
        <v>1111</v>
      </c>
      <c r="C2184" s="1" t="s">
        <v>6</v>
      </c>
      <c r="D2184" t="str">
        <f>IFERROR(VLOOKUP(A2184,depara!A:B,2,0),A2184)</f>
        <v>P0002528</v>
      </c>
      <c r="E2184">
        <f>VLOOKUP(B2184,'inumos depara'!$A:$B,2,0)</f>
        <v>16299194</v>
      </c>
      <c r="F2184" s="1" t="str">
        <f t="shared" si="68"/>
        <v>0.01</v>
      </c>
      <c r="G2184" t="str">
        <f t="shared" si="69"/>
        <v>P0002528,16299194,0.01</v>
      </c>
    </row>
    <row r="2185" spans="1:7" x14ac:dyDescent="0.25">
      <c r="A2185" s="1" t="s">
        <v>1096</v>
      </c>
      <c r="B2185" s="1" t="s">
        <v>1245</v>
      </c>
      <c r="C2185" s="1" t="s">
        <v>0</v>
      </c>
      <c r="D2185" t="str">
        <f>IFERROR(VLOOKUP(A2185,depara!A:B,2,0),A2185)</f>
        <v>P0002528</v>
      </c>
      <c r="E2185">
        <f>VLOOKUP(B2185,'inumos depara'!$A:$B,2,0)</f>
        <v>16298647</v>
      </c>
      <c r="F2185" s="1" t="str">
        <f t="shared" si="68"/>
        <v>0.05</v>
      </c>
      <c r="G2185" t="str">
        <f t="shared" si="69"/>
        <v>P0002528,16298647,0.05</v>
      </c>
    </row>
    <row r="2186" spans="1:7" x14ac:dyDescent="0.25">
      <c r="A2186" s="1" t="s">
        <v>1096</v>
      </c>
      <c r="B2186" s="1" t="s">
        <v>1112</v>
      </c>
      <c r="C2186" s="1" t="s">
        <v>64</v>
      </c>
      <c r="D2186" t="str">
        <f>IFERROR(VLOOKUP(A2186,depara!A:B,2,0),A2186)</f>
        <v>P0002528</v>
      </c>
      <c r="E2186">
        <f>VLOOKUP(B2186,'inumos depara'!$A:$B,2,0)</f>
        <v>16299195</v>
      </c>
      <c r="F2186" s="1" t="str">
        <f t="shared" si="68"/>
        <v>0.02</v>
      </c>
      <c r="G2186" t="str">
        <f t="shared" si="69"/>
        <v>P0002528,16299195,0.02</v>
      </c>
    </row>
    <row r="2187" spans="1:7" x14ac:dyDescent="0.25">
      <c r="A2187" s="1" t="s">
        <v>1096</v>
      </c>
      <c r="B2187" s="1" t="s">
        <v>1113</v>
      </c>
      <c r="C2187" s="1" t="s">
        <v>63</v>
      </c>
      <c r="D2187" t="str">
        <f>IFERROR(VLOOKUP(A2187,depara!A:B,2,0),A2187)</f>
        <v>P0002528</v>
      </c>
      <c r="E2187">
        <f>VLOOKUP(B2187,'inumos depara'!$A:$B,2,0)</f>
        <v>16299196</v>
      </c>
      <c r="F2187" s="1" t="str">
        <f t="shared" si="68"/>
        <v>0.15</v>
      </c>
      <c r="G2187" t="str">
        <f t="shared" si="69"/>
        <v>P0002528,16299196,0.15</v>
      </c>
    </row>
    <row r="2188" spans="1:7" x14ac:dyDescent="0.25">
      <c r="A2188" s="1" t="s">
        <v>1096</v>
      </c>
      <c r="B2188" s="1" t="s">
        <v>526</v>
      </c>
      <c r="C2188" s="1" t="s">
        <v>64</v>
      </c>
      <c r="D2188" t="str">
        <f>IFERROR(VLOOKUP(A2188,depara!A:B,2,0),A2188)</f>
        <v>P0002528</v>
      </c>
      <c r="E2188">
        <f>VLOOKUP(B2188,'inumos depara'!$A:$B,2,0)</f>
        <v>16298988</v>
      </c>
      <c r="F2188" s="1" t="str">
        <f t="shared" si="68"/>
        <v>0.02</v>
      </c>
      <c r="G2188" t="str">
        <f t="shared" si="69"/>
        <v>P0002528,16298988,0.02</v>
      </c>
    </row>
    <row r="2189" spans="1:7" x14ac:dyDescent="0.25">
      <c r="A2189" s="1" t="s">
        <v>1096</v>
      </c>
      <c r="B2189" s="1" t="s">
        <v>1114</v>
      </c>
      <c r="C2189" s="1" t="s">
        <v>10</v>
      </c>
      <c r="D2189" t="str">
        <f>IFERROR(VLOOKUP(A2189,depara!A:B,2,0),A2189)</f>
        <v>P0002528</v>
      </c>
      <c r="E2189">
        <f>VLOOKUP(B2189,'inumos depara'!$A:$B,2,0)</f>
        <v>16299197</v>
      </c>
      <c r="F2189" s="1" t="str">
        <f t="shared" si="68"/>
        <v>0.001</v>
      </c>
      <c r="G2189" t="str">
        <f t="shared" si="69"/>
        <v>P0002528,16299197,0.001</v>
      </c>
    </row>
    <row r="2190" spans="1:7" x14ac:dyDescent="0.25">
      <c r="A2190" s="1" t="s">
        <v>1096</v>
      </c>
      <c r="B2190" s="1" t="s">
        <v>1115</v>
      </c>
      <c r="C2190" s="1" t="s">
        <v>5</v>
      </c>
      <c r="D2190" t="str">
        <f>IFERROR(VLOOKUP(A2190,depara!A:B,2,0),A2190)</f>
        <v>P0002528</v>
      </c>
      <c r="E2190">
        <f>VLOOKUP(B2190,'inumos depara'!$A:$B,2,0)</f>
        <v>16299198</v>
      </c>
      <c r="F2190" s="1" t="str">
        <f t="shared" si="68"/>
        <v>0.002</v>
      </c>
      <c r="G2190" t="str">
        <f t="shared" si="69"/>
        <v>P0002528,16299198,0.002</v>
      </c>
    </row>
    <row r="2191" spans="1:7" x14ac:dyDescent="0.25">
      <c r="A2191" s="1" t="s">
        <v>1096</v>
      </c>
      <c r="B2191" s="1" t="s">
        <v>1116</v>
      </c>
      <c r="C2191" s="1" t="s">
        <v>67</v>
      </c>
      <c r="D2191" t="str">
        <f>IFERROR(VLOOKUP(A2191,depara!A:B,2,0),A2191)</f>
        <v>P0002528</v>
      </c>
      <c r="E2191">
        <f>VLOOKUP(B2191,'inumos depara'!$A:$B,2,0)</f>
        <v>16299199</v>
      </c>
      <c r="F2191" s="1" t="str">
        <f t="shared" si="68"/>
        <v>0.1</v>
      </c>
      <c r="G2191" t="str">
        <f t="shared" si="69"/>
        <v>P0002528,16299199,0.1</v>
      </c>
    </row>
    <row r="2192" spans="1:7" x14ac:dyDescent="0.25">
      <c r="A2192" s="1" t="s">
        <v>1096</v>
      </c>
      <c r="B2192" s="1" t="s">
        <v>1117</v>
      </c>
      <c r="C2192" s="1" t="s">
        <v>5</v>
      </c>
      <c r="D2192" t="str">
        <f>IFERROR(VLOOKUP(A2192,depara!A:B,2,0),A2192)</f>
        <v>P0002528</v>
      </c>
      <c r="E2192">
        <f>VLOOKUP(B2192,'inumos depara'!$A:$B,2,0)</f>
        <v>16299200</v>
      </c>
      <c r="F2192" s="1" t="str">
        <f t="shared" si="68"/>
        <v>0.002</v>
      </c>
      <c r="G2192" t="str">
        <f t="shared" si="69"/>
        <v>P0002528,16299200,0.002</v>
      </c>
    </row>
    <row r="2193" spans="1:7" x14ac:dyDescent="0.25">
      <c r="A2193" s="1" t="s">
        <v>1096</v>
      </c>
      <c r="B2193" s="1" t="s">
        <v>1118</v>
      </c>
      <c r="C2193" s="1" t="s">
        <v>6</v>
      </c>
      <c r="D2193" t="str">
        <f>IFERROR(VLOOKUP(A2193,depara!A:B,2,0),A2193)</f>
        <v>P0002528</v>
      </c>
      <c r="E2193">
        <f>VLOOKUP(B2193,'inumos depara'!$A:$B,2,0)</f>
        <v>16299201</v>
      </c>
      <c r="F2193" s="1" t="str">
        <f t="shared" si="68"/>
        <v>0.01</v>
      </c>
      <c r="G2193" t="str">
        <f t="shared" si="69"/>
        <v>P0002528,16299201,0.01</v>
      </c>
    </row>
    <row r="2194" spans="1:7" x14ac:dyDescent="0.25">
      <c r="A2194" s="1" t="s">
        <v>1096</v>
      </c>
      <c r="B2194" s="1" t="s">
        <v>1119</v>
      </c>
      <c r="C2194" s="1" t="s">
        <v>64</v>
      </c>
      <c r="D2194" t="str">
        <f>IFERROR(VLOOKUP(A2194,depara!A:B,2,0),A2194)</f>
        <v>P0002528</v>
      </c>
      <c r="E2194">
        <f>VLOOKUP(B2194,'inumos depara'!$A:$B,2,0)</f>
        <v>16299202</v>
      </c>
      <c r="F2194" s="1" t="str">
        <f t="shared" si="68"/>
        <v>0.02</v>
      </c>
      <c r="G2194" t="str">
        <f t="shared" si="69"/>
        <v>P0002528,16299202,0.02</v>
      </c>
    </row>
    <row r="2195" spans="1:7" x14ac:dyDescent="0.25">
      <c r="A2195" s="1" t="s">
        <v>1096</v>
      </c>
      <c r="B2195" s="1" t="s">
        <v>1120</v>
      </c>
      <c r="C2195" s="1" t="s">
        <v>1121</v>
      </c>
      <c r="D2195" t="str">
        <f>IFERROR(VLOOKUP(A2195,depara!A:B,2,0),A2195)</f>
        <v>P0002528</v>
      </c>
      <c r="E2195">
        <f>VLOOKUP(B2195,'inumos depara'!$A:$B,2,0)</f>
        <v>16299203</v>
      </c>
      <c r="F2195" s="1" t="str">
        <f t="shared" si="68"/>
        <v>0.0000036</v>
      </c>
      <c r="G2195" t="str">
        <f t="shared" si="69"/>
        <v>P0002528,16299203,0.0000036</v>
      </c>
    </row>
    <row r="2196" spans="1:7" x14ac:dyDescent="0.25">
      <c r="A2196" s="1" t="s">
        <v>1096</v>
      </c>
      <c r="B2196" s="1" t="s">
        <v>1122</v>
      </c>
      <c r="C2196" s="1" t="s">
        <v>1123</v>
      </c>
      <c r="D2196" t="str">
        <f>IFERROR(VLOOKUP(A2196,depara!A:B,2,0),A2196)</f>
        <v>P0002528</v>
      </c>
      <c r="E2196">
        <f>VLOOKUP(B2196,'inumos depara'!$A:$B,2,0)</f>
        <v>16299204</v>
      </c>
      <c r="F2196" s="1" t="str">
        <f t="shared" si="68"/>
        <v>0.0000024</v>
      </c>
      <c r="G2196" t="str">
        <f t="shared" si="69"/>
        <v>P0002528,16299204,0.0000024</v>
      </c>
    </row>
    <row r="2197" spans="1:7" x14ac:dyDescent="0.25">
      <c r="A2197" s="1" t="s">
        <v>1096</v>
      </c>
      <c r="B2197" s="1" t="s">
        <v>1124</v>
      </c>
      <c r="C2197" s="1" t="s">
        <v>1125</v>
      </c>
      <c r="D2197" t="str">
        <f>IFERROR(VLOOKUP(A2197,depara!A:B,2,0),A2197)</f>
        <v>P0002528</v>
      </c>
      <c r="E2197">
        <f>VLOOKUP(B2197,'inumos depara'!$A:$B,2,0)</f>
        <v>16299205</v>
      </c>
      <c r="F2197" s="1" t="str">
        <f t="shared" si="68"/>
        <v>0.000006</v>
      </c>
      <c r="G2197" t="str">
        <f t="shared" si="69"/>
        <v>P0002528,16299205,0.000006</v>
      </c>
    </row>
    <row r="2198" spans="1:7" x14ac:dyDescent="0.25">
      <c r="A2198" s="1" t="s">
        <v>1096</v>
      </c>
      <c r="B2198" s="1" t="s">
        <v>1110</v>
      </c>
      <c r="C2198" s="1" t="s">
        <v>6</v>
      </c>
      <c r="D2198" t="str">
        <f>IFERROR(VLOOKUP(A2198,depara!A:B,2,0),A2198)</f>
        <v>P0002528</v>
      </c>
      <c r="E2198">
        <f>VLOOKUP(B2198,'inumos depara'!$A:$B,2,0)</f>
        <v>16299193</v>
      </c>
      <c r="F2198" s="1" t="str">
        <f t="shared" si="68"/>
        <v>0.01</v>
      </c>
      <c r="G2198" t="str">
        <f t="shared" si="69"/>
        <v>P0002528,16299193,0.01</v>
      </c>
    </row>
    <row r="2199" spans="1:7" x14ac:dyDescent="0.25">
      <c r="A2199" s="1" t="s">
        <v>1096</v>
      </c>
      <c r="B2199" s="1" t="s">
        <v>389</v>
      </c>
      <c r="C2199" s="1" t="s">
        <v>5</v>
      </c>
      <c r="D2199" t="str">
        <f>IFERROR(VLOOKUP(A2199,depara!A:B,2,0),A2199)</f>
        <v>P0002528</v>
      </c>
      <c r="E2199">
        <f>VLOOKUP(B2199,'inumos depara'!$A:$B,2,0)</f>
        <v>16298886</v>
      </c>
      <c r="F2199" s="1" t="str">
        <f t="shared" si="68"/>
        <v>0.002</v>
      </c>
      <c r="G2199" t="str">
        <f t="shared" si="69"/>
        <v>P0002528,16298886,0.002</v>
      </c>
    </row>
    <row r="2200" spans="1:7" x14ac:dyDescent="0.25">
      <c r="A2200" s="1" t="s">
        <v>1096</v>
      </c>
      <c r="B2200" s="1" t="s">
        <v>1147</v>
      </c>
      <c r="C2200" s="1" t="s">
        <v>66</v>
      </c>
      <c r="D2200" t="str">
        <f>IFERROR(VLOOKUP(A2200,depara!A:B,2,0),A2200)</f>
        <v>P0002528</v>
      </c>
      <c r="E2200">
        <f>VLOOKUP(B2200,'inumos depara'!$A:$B,2,0)</f>
        <v>16298559</v>
      </c>
      <c r="F2200" s="1" t="str">
        <f t="shared" si="68"/>
        <v>0.07</v>
      </c>
      <c r="G2200" t="str">
        <f t="shared" si="69"/>
        <v>P0002528,16298559,0.07</v>
      </c>
    </row>
    <row r="2201" spans="1:7" x14ac:dyDescent="0.25">
      <c r="A2201" s="1" t="s">
        <v>1096</v>
      </c>
      <c r="B2201" s="1" t="s">
        <v>1151</v>
      </c>
      <c r="C2201" s="1" t="s">
        <v>394</v>
      </c>
      <c r="D2201" t="str">
        <f>IFERROR(VLOOKUP(A2201,depara!A:B,2,0),A2201)</f>
        <v>P0002528</v>
      </c>
      <c r="E2201">
        <f>VLOOKUP(B2201,'inumos depara'!$A:$B,2,0)</f>
        <v>16298562</v>
      </c>
      <c r="F2201" s="1" t="str">
        <f t="shared" si="68"/>
        <v>0.007</v>
      </c>
      <c r="G2201" t="str">
        <f t="shared" si="69"/>
        <v>P0002528,16298562,0.007</v>
      </c>
    </row>
    <row r="2202" spans="1:7" x14ac:dyDescent="0.25">
      <c r="A2202" s="1" t="s">
        <v>1096</v>
      </c>
      <c r="B2202" s="1" t="s">
        <v>1228</v>
      </c>
      <c r="C2202" s="1" t="s">
        <v>0</v>
      </c>
      <c r="D2202" t="str">
        <f>IFERROR(VLOOKUP(A2202,depara!A:B,2,0),A2202)</f>
        <v>P0002528</v>
      </c>
      <c r="E2202">
        <f>VLOOKUP(B2202,'inumos depara'!$A:$B,2,0)</f>
        <v>16298631</v>
      </c>
      <c r="F2202" s="1" t="str">
        <f t="shared" si="68"/>
        <v>0.05</v>
      </c>
      <c r="G2202" t="str">
        <f t="shared" si="69"/>
        <v>P0002528,16298631,0.05</v>
      </c>
    </row>
    <row r="2203" spans="1:7" x14ac:dyDescent="0.25">
      <c r="A2203" s="1" t="s">
        <v>1096</v>
      </c>
      <c r="B2203" s="1" t="s">
        <v>1111</v>
      </c>
      <c r="C2203" s="1" t="s">
        <v>6</v>
      </c>
      <c r="D2203" t="str">
        <f>IFERROR(VLOOKUP(A2203,depara!A:B,2,0),A2203)</f>
        <v>P0002528</v>
      </c>
      <c r="E2203">
        <f>VLOOKUP(B2203,'inumos depara'!$A:$B,2,0)</f>
        <v>16299194</v>
      </c>
      <c r="F2203" s="1" t="str">
        <f t="shared" si="68"/>
        <v>0.01</v>
      </c>
      <c r="G2203" t="str">
        <f t="shared" si="69"/>
        <v>P0002528,16299194,0.01</v>
      </c>
    </row>
    <row r="2204" spans="1:7" x14ac:dyDescent="0.25">
      <c r="A2204" s="1" t="s">
        <v>1096</v>
      </c>
      <c r="B2204" s="1" t="s">
        <v>1245</v>
      </c>
      <c r="C2204" s="1" t="s">
        <v>0</v>
      </c>
      <c r="D2204" t="str">
        <f>IFERROR(VLOOKUP(A2204,depara!A:B,2,0),A2204)</f>
        <v>P0002528</v>
      </c>
      <c r="E2204">
        <f>VLOOKUP(B2204,'inumos depara'!$A:$B,2,0)</f>
        <v>16298647</v>
      </c>
      <c r="F2204" s="1" t="str">
        <f t="shared" si="68"/>
        <v>0.05</v>
      </c>
      <c r="G2204" t="str">
        <f t="shared" si="69"/>
        <v>P0002528,16298647,0.05</v>
      </c>
    </row>
    <row r="2205" spans="1:7" x14ac:dyDescent="0.25">
      <c r="A2205" s="1" t="s">
        <v>1096</v>
      </c>
      <c r="B2205" s="1" t="s">
        <v>1112</v>
      </c>
      <c r="C2205" s="1" t="s">
        <v>64</v>
      </c>
      <c r="D2205" t="str">
        <f>IFERROR(VLOOKUP(A2205,depara!A:B,2,0),A2205)</f>
        <v>P0002528</v>
      </c>
      <c r="E2205">
        <f>VLOOKUP(B2205,'inumos depara'!$A:$B,2,0)</f>
        <v>16299195</v>
      </c>
      <c r="F2205" s="1" t="str">
        <f t="shared" si="68"/>
        <v>0.02</v>
      </c>
      <c r="G2205" t="str">
        <f t="shared" si="69"/>
        <v>P0002528,16299195,0.02</v>
      </c>
    </row>
    <row r="2206" spans="1:7" x14ac:dyDescent="0.25">
      <c r="A2206" s="1" t="s">
        <v>1096</v>
      </c>
      <c r="B2206" s="1" t="s">
        <v>1113</v>
      </c>
      <c r="C2206" s="1" t="s">
        <v>1126</v>
      </c>
      <c r="D2206" t="str">
        <f>IFERROR(VLOOKUP(A2206,depara!A:B,2,0),A2206)</f>
        <v>P0002528</v>
      </c>
      <c r="E2206">
        <f>VLOOKUP(B2206,'inumos depara'!$A:$B,2,0)</f>
        <v>16299196</v>
      </c>
      <c r="F2206" s="1" t="str">
        <f t="shared" si="68"/>
        <v>0.1875</v>
      </c>
      <c r="G2206" t="str">
        <f t="shared" si="69"/>
        <v>P0002528,16299196,0.1875</v>
      </c>
    </row>
    <row r="2207" spans="1:7" x14ac:dyDescent="0.25">
      <c r="A2207" s="1" t="s">
        <v>1096</v>
      </c>
      <c r="B2207" s="1" t="s">
        <v>526</v>
      </c>
      <c r="C2207" s="1" t="s">
        <v>64</v>
      </c>
      <c r="D2207" t="str">
        <f>IFERROR(VLOOKUP(A2207,depara!A:B,2,0),A2207)</f>
        <v>P0002528</v>
      </c>
      <c r="E2207">
        <f>VLOOKUP(B2207,'inumos depara'!$A:$B,2,0)</f>
        <v>16298988</v>
      </c>
      <c r="F2207" s="1" t="str">
        <f t="shared" si="68"/>
        <v>0.02</v>
      </c>
      <c r="G2207" t="str">
        <f t="shared" si="69"/>
        <v>P0002528,16298988,0.02</v>
      </c>
    </row>
    <row r="2208" spans="1:7" x14ac:dyDescent="0.25">
      <c r="A2208" s="1" t="s">
        <v>1096</v>
      </c>
      <c r="B2208" s="1" t="s">
        <v>1114</v>
      </c>
      <c r="C2208" s="1" t="s">
        <v>10</v>
      </c>
      <c r="D2208" t="str">
        <f>IFERROR(VLOOKUP(A2208,depara!A:B,2,0),A2208)</f>
        <v>P0002528</v>
      </c>
      <c r="E2208">
        <f>VLOOKUP(B2208,'inumos depara'!$A:$B,2,0)</f>
        <v>16299197</v>
      </c>
      <c r="F2208" s="1" t="str">
        <f t="shared" si="68"/>
        <v>0.001</v>
      </c>
      <c r="G2208" t="str">
        <f t="shared" si="69"/>
        <v>P0002528,16299197,0.001</v>
      </c>
    </row>
    <row r="2209" spans="1:7" x14ac:dyDescent="0.25">
      <c r="A2209" s="1" t="s">
        <v>1096</v>
      </c>
      <c r="B2209" s="1" t="s">
        <v>1115</v>
      </c>
      <c r="C2209" s="1" t="s">
        <v>5</v>
      </c>
      <c r="D2209" t="str">
        <f>IFERROR(VLOOKUP(A2209,depara!A:B,2,0),A2209)</f>
        <v>P0002528</v>
      </c>
      <c r="E2209">
        <f>VLOOKUP(B2209,'inumos depara'!$A:$B,2,0)</f>
        <v>16299198</v>
      </c>
      <c r="F2209" s="1" t="str">
        <f t="shared" si="68"/>
        <v>0.002</v>
      </c>
      <c r="G2209" t="str">
        <f t="shared" si="69"/>
        <v>P0002528,16299198,0.002</v>
      </c>
    </row>
    <row r="2210" spans="1:7" x14ac:dyDescent="0.25">
      <c r="A2210" s="1" t="s">
        <v>1096</v>
      </c>
      <c r="B2210" s="1" t="s">
        <v>1116</v>
      </c>
      <c r="C2210" s="1" t="s">
        <v>1127</v>
      </c>
      <c r="D2210" t="str">
        <f>IFERROR(VLOOKUP(A2210,depara!A:B,2,0),A2210)</f>
        <v>P0002528</v>
      </c>
      <c r="E2210">
        <f>VLOOKUP(B2210,'inumos depara'!$A:$B,2,0)</f>
        <v>16299199</v>
      </c>
      <c r="F2210" s="1" t="str">
        <f t="shared" si="68"/>
        <v>0.125</v>
      </c>
      <c r="G2210" t="str">
        <f t="shared" si="69"/>
        <v>P0002528,16299199,0.125</v>
      </c>
    </row>
    <row r="2211" spans="1:7" x14ac:dyDescent="0.25">
      <c r="A2211" s="1" t="s">
        <v>1096</v>
      </c>
      <c r="B2211" s="1" t="s">
        <v>1117</v>
      </c>
      <c r="C2211" s="1" t="s">
        <v>5</v>
      </c>
      <c r="D2211" t="str">
        <f>IFERROR(VLOOKUP(A2211,depara!A:B,2,0),A2211)</f>
        <v>P0002528</v>
      </c>
      <c r="E2211">
        <f>VLOOKUP(B2211,'inumos depara'!$A:$B,2,0)</f>
        <v>16299200</v>
      </c>
      <c r="F2211" s="1" t="str">
        <f t="shared" si="68"/>
        <v>0.002</v>
      </c>
      <c r="G2211" t="str">
        <f t="shared" si="69"/>
        <v>P0002528,16299200,0.002</v>
      </c>
    </row>
    <row r="2212" spans="1:7" x14ac:dyDescent="0.25">
      <c r="A2212" s="1" t="s">
        <v>1096</v>
      </c>
      <c r="B2212" s="1" t="s">
        <v>1118</v>
      </c>
      <c r="C2212" s="1" t="s">
        <v>6</v>
      </c>
      <c r="D2212" t="str">
        <f>IFERROR(VLOOKUP(A2212,depara!A:B,2,0),A2212)</f>
        <v>P0002528</v>
      </c>
      <c r="E2212">
        <f>VLOOKUP(B2212,'inumos depara'!$A:$B,2,0)</f>
        <v>16299201</v>
      </c>
      <c r="F2212" s="1" t="str">
        <f t="shared" si="68"/>
        <v>0.01</v>
      </c>
      <c r="G2212" t="str">
        <f t="shared" si="69"/>
        <v>P0002528,16299201,0.01</v>
      </c>
    </row>
    <row r="2213" spans="1:7" x14ac:dyDescent="0.25">
      <c r="A2213" s="1" t="s">
        <v>1096</v>
      </c>
      <c r="B2213" s="1" t="s">
        <v>1119</v>
      </c>
      <c r="C2213" s="1" t="s">
        <v>64</v>
      </c>
      <c r="D2213" t="str">
        <f>IFERROR(VLOOKUP(A2213,depara!A:B,2,0),A2213)</f>
        <v>P0002528</v>
      </c>
      <c r="E2213">
        <f>VLOOKUP(B2213,'inumos depara'!$A:$B,2,0)</f>
        <v>16299202</v>
      </c>
      <c r="F2213" s="1" t="str">
        <f t="shared" si="68"/>
        <v>0.02</v>
      </c>
      <c r="G2213" t="str">
        <f t="shared" si="69"/>
        <v>P0002528,16299202,0.02</v>
      </c>
    </row>
    <row r="2214" spans="1:7" x14ac:dyDescent="0.25">
      <c r="A2214" s="1" t="s">
        <v>1096</v>
      </c>
      <c r="B2214" s="1" t="s">
        <v>1120</v>
      </c>
      <c r="C2214" s="1" t="s">
        <v>1121</v>
      </c>
      <c r="D2214" t="str">
        <f>IFERROR(VLOOKUP(A2214,depara!A:B,2,0),A2214)</f>
        <v>P0002528</v>
      </c>
      <c r="E2214">
        <f>VLOOKUP(B2214,'inumos depara'!$A:$B,2,0)</f>
        <v>16299203</v>
      </c>
      <c r="F2214" s="1" t="str">
        <f t="shared" si="68"/>
        <v>0.0000036</v>
      </c>
      <c r="G2214" t="str">
        <f t="shared" si="69"/>
        <v>P0002528,16299203,0.0000036</v>
      </c>
    </row>
    <row r="2215" spans="1:7" x14ac:dyDescent="0.25">
      <c r="A2215" s="1" t="s">
        <v>1096</v>
      </c>
      <c r="B2215" s="1" t="s">
        <v>1122</v>
      </c>
      <c r="C2215" s="1" t="s">
        <v>1123</v>
      </c>
      <c r="D2215" t="str">
        <f>IFERROR(VLOOKUP(A2215,depara!A:B,2,0),A2215)</f>
        <v>P0002528</v>
      </c>
      <c r="E2215">
        <f>VLOOKUP(B2215,'inumos depara'!$A:$B,2,0)</f>
        <v>16299204</v>
      </c>
      <c r="F2215" s="1" t="str">
        <f t="shared" si="68"/>
        <v>0.0000024</v>
      </c>
      <c r="G2215" t="str">
        <f t="shared" si="69"/>
        <v>P0002528,16299204,0.0000024</v>
      </c>
    </row>
    <row r="2216" spans="1:7" x14ac:dyDescent="0.25">
      <c r="A2216" s="1" t="s">
        <v>1096</v>
      </c>
      <c r="B2216" s="1" t="s">
        <v>1124</v>
      </c>
      <c r="C2216" s="1" t="s">
        <v>1125</v>
      </c>
      <c r="D2216" t="str">
        <f>IFERROR(VLOOKUP(A2216,depara!A:B,2,0),A2216)</f>
        <v>P0002528</v>
      </c>
      <c r="E2216">
        <f>VLOOKUP(B2216,'inumos depara'!$A:$B,2,0)</f>
        <v>16299205</v>
      </c>
      <c r="F2216" s="1" t="str">
        <f t="shared" si="68"/>
        <v>0.000006</v>
      </c>
      <c r="G2216" t="str">
        <f t="shared" si="69"/>
        <v>P0002528,16299205,0.000006</v>
      </c>
    </row>
    <row r="2217" spans="1:7" x14ac:dyDescent="0.25">
      <c r="A2217" s="1" t="s">
        <v>1096</v>
      </c>
      <c r="B2217" s="1" t="s">
        <v>1128</v>
      </c>
      <c r="C2217" s="1" t="s">
        <v>1150</v>
      </c>
      <c r="D2217" t="str">
        <f>IFERROR(VLOOKUP(A2217,depara!A:B,2,0),A2217)</f>
        <v>P0002528</v>
      </c>
      <c r="E2217">
        <f>VLOOKUP(B2217,'inumos depara'!$A:$B,2,0)</f>
        <v>16299206</v>
      </c>
      <c r="F2217" s="1" t="str">
        <f t="shared" si="68"/>
        <v>1</v>
      </c>
      <c r="G2217" t="str">
        <f t="shared" si="69"/>
        <v>P0002528,16299206,1</v>
      </c>
    </row>
    <row r="2218" spans="1:7" x14ac:dyDescent="0.25">
      <c r="A2218" s="1" t="s">
        <v>1129</v>
      </c>
      <c r="B2218" s="1" t="s">
        <v>1303</v>
      </c>
      <c r="C2218" s="1" t="s">
        <v>888</v>
      </c>
      <c r="D2218" t="str">
        <f>IFERROR(VLOOKUP(A2218,depara!A:B,2,0),A2218)</f>
        <v>P0002752</v>
      </c>
      <c r="E2218">
        <f>VLOOKUP(B2218,'inumos depara'!$A:$B,2,0)</f>
        <v>16298704</v>
      </c>
      <c r="F2218" s="1" t="str">
        <f t="shared" si="68"/>
        <v>0.0693080137242246</v>
      </c>
      <c r="G2218" t="str">
        <f t="shared" si="69"/>
        <v>P0002752,16298704,0.0693080137242246</v>
      </c>
    </row>
    <row r="2219" spans="1:7" x14ac:dyDescent="0.25">
      <c r="A2219" s="1" t="s">
        <v>1129</v>
      </c>
      <c r="B2219" s="1" t="s">
        <v>160</v>
      </c>
      <c r="C2219" s="1" t="s">
        <v>890</v>
      </c>
      <c r="D2219" t="str">
        <f>IFERROR(VLOOKUP(A2219,depara!A:B,2,0),A2219)</f>
        <v>P0002752</v>
      </c>
      <c r="E2219">
        <f>VLOOKUP(B2219,'inumos depara'!$A:$B,2,0)</f>
        <v>16298745</v>
      </c>
      <c r="F2219" s="1" t="str">
        <f t="shared" si="68"/>
        <v>0.000883242178211095</v>
      </c>
      <c r="G2219" t="str">
        <f t="shared" si="69"/>
        <v>P0002752,16298745,0.000883242178211095</v>
      </c>
    </row>
    <row r="2220" spans="1:7" x14ac:dyDescent="0.25">
      <c r="A2220" s="1" t="s">
        <v>1129</v>
      </c>
      <c r="B2220" s="1" t="s">
        <v>1304</v>
      </c>
      <c r="C2220" s="1" t="s">
        <v>889</v>
      </c>
      <c r="D2220" t="str">
        <f>IFERROR(VLOOKUP(A2220,depara!A:B,2,0),A2220)</f>
        <v>P0002752</v>
      </c>
      <c r="E2220">
        <f>VLOOKUP(B2220,'inumos depara'!$A:$B,2,0)</f>
        <v>16298705</v>
      </c>
      <c r="F2220" s="1" t="str">
        <f t="shared" si="68"/>
        <v>0.00529945306926657</v>
      </c>
      <c r="G2220" t="str">
        <f t="shared" si="69"/>
        <v>P0002752,16298705,0.00529945306926657</v>
      </c>
    </row>
    <row r="2221" spans="1:7" x14ac:dyDescent="0.25">
      <c r="A2221" s="1" t="s">
        <v>1129</v>
      </c>
      <c r="B2221" s="1" t="s">
        <v>1305</v>
      </c>
      <c r="C2221" s="1" t="s">
        <v>890</v>
      </c>
      <c r="D2221" t="str">
        <f>IFERROR(VLOOKUP(A2221,depara!A:B,2,0),A2221)</f>
        <v>P0002752</v>
      </c>
      <c r="E2221">
        <f>VLOOKUP(B2221,'inumos depara'!$A:$B,2,0)</f>
        <v>16298706</v>
      </c>
      <c r="F2221" s="1" t="str">
        <f t="shared" si="68"/>
        <v>0.000883242178211095</v>
      </c>
      <c r="G2221" t="str">
        <f t="shared" si="69"/>
        <v>P0002752,16298706,0.000883242178211095</v>
      </c>
    </row>
    <row r="2222" spans="1:7" x14ac:dyDescent="0.25">
      <c r="A2222" s="1" t="s">
        <v>1129</v>
      </c>
      <c r="B2222" s="1" t="s">
        <v>1220</v>
      </c>
      <c r="C2222" s="1" t="s">
        <v>1643</v>
      </c>
      <c r="D2222" t="str">
        <f>IFERROR(VLOOKUP(A2222,depara!A:B,2,0),A2222)</f>
        <v>P0002752</v>
      </c>
      <c r="E2222">
        <f>VLOOKUP(B2222,'inumos depara'!$A:$B,2,0)</f>
        <v>16298625</v>
      </c>
      <c r="F2222" s="1" t="str">
        <f t="shared" si="68"/>
        <v>8.83242178211095E-05</v>
      </c>
      <c r="G2222" t="str">
        <f t="shared" si="69"/>
        <v>P0002752,16298625,8.83242178211095E-05</v>
      </c>
    </row>
    <row r="2223" spans="1:7" x14ac:dyDescent="0.25">
      <c r="A2223" s="1" t="s">
        <v>1129</v>
      </c>
      <c r="B2223" s="1" t="s">
        <v>1307</v>
      </c>
      <c r="C2223" s="1" t="s">
        <v>891</v>
      </c>
      <c r="D2223" t="str">
        <f>IFERROR(VLOOKUP(A2223,depara!A:B,2,0),A2223)</f>
        <v>P0002752</v>
      </c>
      <c r="E2223">
        <f>VLOOKUP(B2223,'inumos depara'!$A:$B,2,0)</f>
        <v>16298707</v>
      </c>
      <c r="F2223" s="1" t="str">
        <f t="shared" si="68"/>
        <v>0.000114821483167442</v>
      </c>
      <c r="G2223" t="str">
        <f t="shared" si="69"/>
        <v>P0002752,16298707,0.000114821483167442</v>
      </c>
    </row>
    <row r="2224" spans="1:7" x14ac:dyDescent="0.25">
      <c r="A2224" s="1" t="s">
        <v>1129</v>
      </c>
      <c r="B2224" s="1" t="s">
        <v>1219</v>
      </c>
      <c r="C2224" s="1" t="s">
        <v>892</v>
      </c>
      <c r="D2224" t="str">
        <f>IFERROR(VLOOKUP(A2224,depara!A:B,2,0),A2224)</f>
        <v>P0002752</v>
      </c>
      <c r="E2224">
        <f>VLOOKUP(B2224,'inumos depara'!$A:$B,2,0)</f>
        <v>16298624</v>
      </c>
      <c r="F2224" s="1" t="str">
        <f t="shared" si="68"/>
        <v>0.00176648435642219</v>
      </c>
      <c r="G2224" t="str">
        <f t="shared" si="69"/>
        <v>P0002752,16298624,0.00176648435642219</v>
      </c>
    </row>
    <row r="2225" spans="1:7" x14ac:dyDescent="0.25">
      <c r="A2225" s="1" t="s">
        <v>1129</v>
      </c>
      <c r="B2225" s="1" t="s">
        <v>1308</v>
      </c>
      <c r="C2225" s="1" t="s">
        <v>893</v>
      </c>
      <c r="D2225" t="str">
        <f>IFERROR(VLOOKUP(A2225,depara!A:B,2,0),A2225)</f>
        <v>P0002752</v>
      </c>
      <c r="E2225">
        <f>VLOOKUP(B2225,'inumos depara'!$A:$B,2,0)</f>
        <v>16298708</v>
      </c>
      <c r="F2225" s="1" t="str">
        <f t="shared" si="68"/>
        <v>0.00883242178211095</v>
      </c>
      <c r="G2225" t="str">
        <f t="shared" si="69"/>
        <v>P0002752,16298708,0.00883242178211095</v>
      </c>
    </row>
    <row r="2226" spans="1:7" x14ac:dyDescent="0.25">
      <c r="A2226" s="1" t="s">
        <v>1129</v>
      </c>
      <c r="B2226" s="1" t="s">
        <v>1309</v>
      </c>
      <c r="C2226" s="1" t="s">
        <v>894</v>
      </c>
      <c r="D2226" t="str">
        <f>IFERROR(VLOOKUP(A2226,depara!A:B,2,0),A2226)</f>
        <v>P0002752</v>
      </c>
      <c r="E2226">
        <f>VLOOKUP(B2226,'inumos depara'!$A:$B,2,0)</f>
        <v>16298709</v>
      </c>
      <c r="F2226" s="1" t="str">
        <f t="shared" si="68"/>
        <v>0.00114821483167442</v>
      </c>
      <c r="G2226" t="str">
        <f t="shared" si="69"/>
        <v>P0002752,16298709,0.00114821483167442</v>
      </c>
    </row>
    <row r="2227" spans="1:7" x14ac:dyDescent="0.25">
      <c r="A2227" s="1" t="s">
        <v>1129</v>
      </c>
      <c r="B2227" s="1" t="s">
        <v>1187</v>
      </c>
      <c r="C2227" s="1" t="s">
        <v>890</v>
      </c>
      <c r="D2227" t="str">
        <f>IFERROR(VLOOKUP(A2227,depara!A:B,2,0),A2227)</f>
        <v>P0002752</v>
      </c>
      <c r="E2227">
        <f>VLOOKUP(B2227,'inumos depara'!$A:$B,2,0)</f>
        <v>16298593</v>
      </c>
      <c r="F2227" s="1" t="str">
        <f t="shared" si="68"/>
        <v>0.000883242178211095</v>
      </c>
      <c r="G2227" t="str">
        <f t="shared" si="69"/>
        <v>P0002752,16298593,0.000883242178211095</v>
      </c>
    </row>
    <row r="2228" spans="1:7" x14ac:dyDescent="0.25">
      <c r="A2228" s="1" t="s">
        <v>1129</v>
      </c>
      <c r="B2228" s="1" t="s">
        <v>1130</v>
      </c>
      <c r="C2228" s="1" t="s">
        <v>1644</v>
      </c>
      <c r="D2228" t="str">
        <f>IFERROR(VLOOKUP(A2228,depara!A:B,2,0),A2228)</f>
        <v>P0002752</v>
      </c>
      <c r="E2228">
        <f>VLOOKUP(B2228,'inumos depara'!$A:$B,2,0)</f>
        <v>16299207</v>
      </c>
      <c r="F2228" s="1" t="str">
        <f t="shared" si="68"/>
        <v>1.00998743078439</v>
      </c>
      <c r="G2228" t="str">
        <f t="shared" si="69"/>
        <v>P0002752,16299207,1.00998743078439</v>
      </c>
    </row>
    <row r="2229" spans="1:7" x14ac:dyDescent="0.25">
      <c r="A2229" s="1" t="s">
        <v>1129</v>
      </c>
      <c r="B2229" s="1" t="s">
        <v>1312</v>
      </c>
      <c r="C2229" s="1" t="s">
        <v>896</v>
      </c>
      <c r="D2229" t="str">
        <f>IFERROR(VLOOKUP(A2229,depara!A:B,2,0),A2229)</f>
        <v>P0002752</v>
      </c>
      <c r="E2229">
        <f>VLOOKUP(B2229,'inumos depara'!$A:$B,2,0)</f>
        <v>16298712</v>
      </c>
      <c r="F2229" s="1" t="str">
        <f t="shared" si="68"/>
        <v>0.0280599245847063</v>
      </c>
      <c r="G2229" t="str">
        <f t="shared" si="69"/>
        <v>P0002752,16298712,0.0280599245847063</v>
      </c>
    </row>
    <row r="2230" spans="1:7" x14ac:dyDescent="0.25">
      <c r="A2230" s="1" t="s">
        <v>1131</v>
      </c>
      <c r="B2230" s="1" t="s">
        <v>529</v>
      </c>
      <c r="C2230" s="1" t="s">
        <v>745</v>
      </c>
      <c r="D2230" t="str">
        <f>IFERROR(VLOOKUP(A2230,depara!A:B,2,0),A2230)</f>
        <v>P0002753</v>
      </c>
      <c r="E2230">
        <f>VLOOKUP(B2230,'inumos depara'!$A:$B,2,0)</f>
        <v>16299071</v>
      </c>
      <c r="F2230" s="1" t="str">
        <f t="shared" si="68"/>
        <v>0.158315565031983</v>
      </c>
      <c r="G2230" t="str">
        <f t="shared" si="69"/>
        <v>P0002753,16299071,0.158315565031983</v>
      </c>
    </row>
    <row r="2231" spans="1:7" x14ac:dyDescent="0.25">
      <c r="A2231" s="1" t="s">
        <v>1131</v>
      </c>
      <c r="B2231" s="1" t="s">
        <v>1339</v>
      </c>
      <c r="C2231" s="1" t="s">
        <v>1606</v>
      </c>
      <c r="D2231" t="str">
        <f>IFERROR(VLOOKUP(A2231,depara!A:B,2,0),A2231)</f>
        <v>P0002753</v>
      </c>
      <c r="E2231">
        <f>VLOOKUP(B2231,'inumos depara'!$A:$B,2,0)</f>
        <v>16298732</v>
      </c>
      <c r="F2231" s="1" t="str">
        <f t="shared" si="68"/>
        <v>1.00497512437811</v>
      </c>
      <c r="G2231" t="str">
        <f t="shared" si="69"/>
        <v>P0002753,16298732,1.00497512437811</v>
      </c>
    </row>
    <row r="2232" spans="1:7" x14ac:dyDescent="0.25">
      <c r="A2232" s="1" t="s">
        <v>1131</v>
      </c>
      <c r="B2232" s="1" t="s">
        <v>741</v>
      </c>
      <c r="C2232" s="1" t="s">
        <v>1606</v>
      </c>
      <c r="D2232" t="str">
        <f>IFERROR(VLOOKUP(A2232,depara!A:B,2,0),A2232)</f>
        <v>P0002753</v>
      </c>
      <c r="E2232">
        <f>VLOOKUP(B2232,'inumos depara'!$A:$B,2,0)</f>
        <v>16299072</v>
      </c>
      <c r="F2232" s="1" t="str">
        <f t="shared" si="68"/>
        <v>1.00497512437811</v>
      </c>
      <c r="G2232" t="str">
        <f t="shared" si="69"/>
        <v>P0002753,16299072,1.00497512437811</v>
      </c>
    </row>
    <row r="2233" spans="1:7" x14ac:dyDescent="0.25">
      <c r="A2233" s="1" t="s">
        <v>1131</v>
      </c>
      <c r="B2233" s="1" t="s">
        <v>1132</v>
      </c>
      <c r="C2233" s="1" t="s">
        <v>1607</v>
      </c>
      <c r="D2233" t="str">
        <f>IFERROR(VLOOKUP(A2233,depara!A:B,2,0),A2233)</f>
        <v>P0002753</v>
      </c>
      <c r="E2233">
        <f>VLOOKUP(B2233,'inumos depara'!$A:$B,2,0)</f>
        <v>16299208</v>
      </c>
      <c r="F2233" s="1" t="str">
        <f t="shared" si="68"/>
        <v>1.03497817037263</v>
      </c>
      <c r="G2233" t="str">
        <f t="shared" si="69"/>
        <v>P0002753,16299208,1.03497817037263</v>
      </c>
    </row>
    <row r="2234" spans="1:7" x14ac:dyDescent="0.25">
      <c r="A2234" s="1" t="s">
        <v>1131</v>
      </c>
      <c r="B2234" s="1" t="s">
        <v>1133</v>
      </c>
      <c r="C2234" s="1" t="s">
        <v>1607</v>
      </c>
      <c r="D2234" t="str">
        <f>IFERROR(VLOOKUP(A2234,depara!A:B,2,0),A2234)</f>
        <v>P0002753</v>
      </c>
      <c r="E2234">
        <f>VLOOKUP(B2234,'inumos depara'!$A:$B,2,0)</f>
        <v>16299209</v>
      </c>
      <c r="F2234" s="1" t="str">
        <f t="shared" si="68"/>
        <v>1.03497817037263</v>
      </c>
      <c r="G2234" t="str">
        <f t="shared" si="69"/>
        <v>P0002753,16299209,1.03497817037263</v>
      </c>
    </row>
    <row r="2235" spans="1:7" x14ac:dyDescent="0.25">
      <c r="A2235" s="1" t="s">
        <v>1131</v>
      </c>
      <c r="B2235" s="1" t="s">
        <v>1287</v>
      </c>
      <c r="C2235" s="1" t="s">
        <v>1609</v>
      </c>
      <c r="D2235" t="str">
        <f>IFERROR(VLOOKUP(A2235,depara!A:B,2,0),A2235)</f>
        <v>P0002753</v>
      </c>
      <c r="E2235">
        <f>VLOOKUP(B2235,'inumos depara'!$A:$B,2,0)</f>
        <v>16298691</v>
      </c>
      <c r="F2235" s="1" t="str">
        <f t="shared" si="68"/>
        <v>1.02000203066301</v>
      </c>
      <c r="G2235" t="str">
        <f t="shared" si="69"/>
        <v>P0002753,16298691,1.02000203066301</v>
      </c>
    </row>
    <row r="2236" spans="1:7" x14ac:dyDescent="0.25">
      <c r="A2236" s="1" t="s">
        <v>1131</v>
      </c>
      <c r="B2236" s="1" t="s">
        <v>1345</v>
      </c>
      <c r="C2236" s="1" t="s">
        <v>744</v>
      </c>
      <c r="D2236" t="str">
        <f>IFERROR(VLOOKUP(A2236,depara!A:B,2,0),A2236)</f>
        <v>P0002753</v>
      </c>
      <c r="E2236">
        <f>VLOOKUP(B2236,'inumos depara'!$A:$B,2,0)</f>
        <v>16298736</v>
      </c>
      <c r="F2236" s="1" t="str">
        <f t="shared" si="68"/>
        <v>0.0624936541780891</v>
      </c>
      <c r="G2236" t="str">
        <f t="shared" si="69"/>
        <v>P0002753,16298736,0.0624936541780891</v>
      </c>
    </row>
    <row r="2237" spans="1:7" x14ac:dyDescent="0.25">
      <c r="A2237" s="1" t="s">
        <v>1134</v>
      </c>
      <c r="B2237" s="1" t="s">
        <v>1135</v>
      </c>
      <c r="C2237" s="1" t="s">
        <v>1690</v>
      </c>
      <c r="D2237" t="str">
        <f>IFERROR(VLOOKUP(A2237,depara!A:B,2,0),A2237)</f>
        <v>P0003016</v>
      </c>
      <c r="E2237">
        <f>VLOOKUP(B2237,'inumos depara'!$A:$B,2,0)</f>
        <v>16299210</v>
      </c>
      <c r="F2237" s="1" t="str">
        <f t="shared" si="68"/>
        <v>1.05001074113856</v>
      </c>
      <c r="G2237" t="str">
        <f t="shared" si="69"/>
        <v>P0003016,16299210,1.05001074113856</v>
      </c>
    </row>
    <row r="2238" spans="1:7" x14ac:dyDescent="0.25">
      <c r="A2238" s="1" t="s">
        <v>1134</v>
      </c>
      <c r="B2238" s="1" t="s">
        <v>1136</v>
      </c>
      <c r="C2238" s="1" t="s">
        <v>1691</v>
      </c>
      <c r="D2238" t="str">
        <f>IFERROR(VLOOKUP(A2238,depara!A:B,2,0),A2238)</f>
        <v>P0003016</v>
      </c>
      <c r="E2238">
        <f>VLOOKUP(B2238,'inumos depara'!$A:$B,2,0)</f>
        <v>16299211</v>
      </c>
      <c r="F2238" s="1" t="str">
        <f t="shared" si="68"/>
        <v>1.0050268528464</v>
      </c>
      <c r="G2238" t="str">
        <f t="shared" si="69"/>
        <v>P0003016,16299211,1.0050268528464</v>
      </c>
    </row>
    <row r="2239" spans="1:7" x14ac:dyDescent="0.25">
      <c r="A2239" s="1" t="s">
        <v>1134</v>
      </c>
      <c r="B2239" s="1" t="s">
        <v>1137</v>
      </c>
      <c r="C2239" s="1" t="s">
        <v>1150</v>
      </c>
      <c r="D2239" t="str">
        <f>IFERROR(VLOOKUP(A2239,depara!A:B,2,0),A2239)</f>
        <v>P0003016</v>
      </c>
      <c r="E2239">
        <f>VLOOKUP(B2239,'inumos depara'!$A:$B,2,0)</f>
        <v>16299212</v>
      </c>
      <c r="F2239" s="1" t="str">
        <f t="shared" si="68"/>
        <v>1</v>
      </c>
      <c r="G2239" t="str">
        <f t="shared" si="69"/>
        <v>P0003016,16299212,1</v>
      </c>
    </row>
    <row r="2240" spans="1:7" x14ac:dyDescent="0.25">
      <c r="A2240" s="1" t="s">
        <v>1134</v>
      </c>
      <c r="B2240" s="1" t="s">
        <v>545</v>
      </c>
      <c r="C2240" s="1" t="s">
        <v>1138</v>
      </c>
      <c r="D2240" t="str">
        <f>IFERROR(VLOOKUP(A2240,depara!A:B,2,0),A2240)</f>
        <v>P0003016</v>
      </c>
      <c r="E2240">
        <f>VLOOKUP(B2240,'inumos depara'!$A:$B,2,0)</f>
        <v>16298996</v>
      </c>
      <c r="F2240" s="1" t="str">
        <f t="shared" si="68"/>
        <v>0.0833512352309345</v>
      </c>
      <c r="G2240" t="str">
        <f t="shared" si="69"/>
        <v>P0003016,16298996,0.0833512352309345</v>
      </c>
    </row>
    <row r="2241" spans="1:7" x14ac:dyDescent="0.25">
      <c r="A2241" s="1" t="s">
        <v>1134</v>
      </c>
      <c r="B2241" s="1" t="s">
        <v>441</v>
      </c>
      <c r="C2241" s="1" t="s">
        <v>1139</v>
      </c>
      <c r="D2241" t="str">
        <f>IFERROR(VLOOKUP(A2241,depara!A:B,2,0),A2241)</f>
        <v>P0003016</v>
      </c>
      <c r="E2241">
        <f>VLOOKUP(B2241,'inumos depara'!$A:$B,2,0)</f>
        <v>16298934</v>
      </c>
      <c r="F2241" s="1" t="str">
        <f t="shared" si="68"/>
        <v>0.0437593984962406</v>
      </c>
      <c r="G2241" t="str">
        <f t="shared" si="69"/>
        <v>P0003016,16298934,0.0437593984962406</v>
      </c>
    </row>
    <row r="2242" spans="1:7" x14ac:dyDescent="0.25">
      <c r="A2242" s="1" t="s">
        <v>1140</v>
      </c>
      <c r="B2242" s="1" t="s">
        <v>1141</v>
      </c>
      <c r="C2242" s="1" t="s">
        <v>1690</v>
      </c>
      <c r="D2242" t="str">
        <f>IFERROR(VLOOKUP(A2242,depara!A:B,2,0),A2242)</f>
        <v>P0003020</v>
      </c>
      <c r="E2242">
        <f>VLOOKUP(B2242,'inumos depara'!$A:$B,2,0)</f>
        <v>16299213</v>
      </c>
      <c r="F2242" s="1" t="str">
        <f t="shared" ref="F2242:F2246" si="70">C2242</f>
        <v>1.05001074113856</v>
      </c>
      <c r="G2242" t="str">
        <f t="shared" ref="G2242:G2246" si="71">D2242&amp;","&amp;E2242&amp;","&amp;F2242</f>
        <v>P0003020,16299213,1.05001074113856</v>
      </c>
    </row>
    <row r="2243" spans="1:7" x14ac:dyDescent="0.25">
      <c r="A2243" s="1" t="s">
        <v>1140</v>
      </c>
      <c r="B2243" s="1" t="s">
        <v>1142</v>
      </c>
      <c r="C2243" s="1" t="s">
        <v>1691</v>
      </c>
      <c r="D2243" t="str">
        <f>IFERROR(VLOOKUP(A2243,depara!A:B,2,0),A2243)</f>
        <v>P0003020</v>
      </c>
      <c r="E2243">
        <f>VLOOKUP(B2243,'inumos depara'!$A:$B,2,0)</f>
        <v>16299214</v>
      </c>
      <c r="F2243" s="1" t="str">
        <f t="shared" si="70"/>
        <v>1.0050268528464</v>
      </c>
      <c r="G2243" t="str">
        <f t="shared" si="71"/>
        <v>P0003020,16299214,1.0050268528464</v>
      </c>
    </row>
    <row r="2244" spans="1:7" x14ac:dyDescent="0.25">
      <c r="A2244" s="1" t="s">
        <v>1140</v>
      </c>
      <c r="B2244" s="1" t="s">
        <v>1137</v>
      </c>
      <c r="C2244" s="1" t="s">
        <v>1150</v>
      </c>
      <c r="D2244" t="str">
        <f>IFERROR(VLOOKUP(A2244,depara!A:B,2,0),A2244)</f>
        <v>P0003020</v>
      </c>
      <c r="E2244">
        <f>VLOOKUP(B2244,'inumos depara'!$A:$B,2,0)</f>
        <v>16299212</v>
      </c>
      <c r="F2244" s="1" t="str">
        <f t="shared" si="70"/>
        <v>1</v>
      </c>
      <c r="G2244" t="str">
        <f t="shared" si="71"/>
        <v>P0003020,16299212,1</v>
      </c>
    </row>
    <row r="2245" spans="1:7" x14ac:dyDescent="0.25">
      <c r="A2245" s="1" t="s">
        <v>1140</v>
      </c>
      <c r="B2245" s="1" t="s">
        <v>545</v>
      </c>
      <c r="C2245" s="1" t="s">
        <v>1138</v>
      </c>
      <c r="D2245" t="str">
        <f>IFERROR(VLOOKUP(A2245,depara!A:B,2,0),A2245)</f>
        <v>P0003020</v>
      </c>
      <c r="E2245">
        <f>VLOOKUP(B2245,'inumos depara'!$A:$B,2,0)</f>
        <v>16298996</v>
      </c>
      <c r="F2245" s="1" t="str">
        <f t="shared" si="70"/>
        <v>0.0833512352309345</v>
      </c>
      <c r="G2245" t="str">
        <f t="shared" si="71"/>
        <v>P0003020,16298996,0.0833512352309345</v>
      </c>
    </row>
    <row r="2246" spans="1:7" x14ac:dyDescent="0.25">
      <c r="A2246" s="1" t="s">
        <v>1140</v>
      </c>
      <c r="B2246" s="1" t="s">
        <v>437</v>
      </c>
      <c r="C2246" s="1" t="s">
        <v>1139</v>
      </c>
      <c r="D2246" t="str">
        <f>IFERROR(VLOOKUP(A2246,depara!A:B,2,0),A2246)</f>
        <v>P0003020</v>
      </c>
      <c r="E2246">
        <f>VLOOKUP(B2246,'inumos depara'!$A:$B,2,0)</f>
        <v>16298931</v>
      </c>
      <c r="F2246" s="1" t="str">
        <f t="shared" si="70"/>
        <v>0.0437593984962406</v>
      </c>
      <c r="G2246" t="str">
        <f t="shared" si="71"/>
        <v>P0003020,16298931,0.0437593984962406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9"/>
  <sheetViews>
    <sheetView tabSelected="1" workbookViewId="0">
      <selection activeCell="C2" sqref="C2:C659"/>
    </sheetView>
  </sheetViews>
  <sheetFormatPr defaultRowHeight="15" x14ac:dyDescent="0.25"/>
  <cols>
    <col min="2" max="2" width="17.28515625" customWidth="1"/>
  </cols>
  <sheetData>
    <row r="1" spans="1:3" x14ac:dyDescent="0.25">
      <c r="A1" s="1" t="s">
        <v>1144</v>
      </c>
      <c r="B1">
        <v>16298556</v>
      </c>
      <c r="C1" t="s">
        <v>2355</v>
      </c>
    </row>
    <row r="2" spans="1:3" x14ac:dyDescent="0.25">
      <c r="A2" s="1" t="s">
        <v>1145</v>
      </c>
      <c r="B2">
        <f>+B1+1</f>
        <v>16298557</v>
      </c>
      <c r="C2" t="str">
        <f>VLOOKUP(A2,inusmos_desc!$A:$B,2,0)</f>
        <v>CARBOPOL 981</v>
      </c>
    </row>
    <row r="3" spans="1:3" x14ac:dyDescent="0.25">
      <c r="A3" s="1" t="s">
        <v>1146</v>
      </c>
      <c r="B3">
        <f t="shared" ref="B3:B66" si="0">+B2+1</f>
        <v>16298558</v>
      </c>
      <c r="C3" t="str">
        <f>VLOOKUP(A3,inusmos_desc!$A:$B,2,0)</f>
        <v>HIDRÓXIDO DE SÓDIO MERCK</v>
      </c>
    </row>
    <row r="4" spans="1:3" x14ac:dyDescent="0.25">
      <c r="A4" s="1" t="s">
        <v>1147</v>
      </c>
      <c r="B4">
        <f t="shared" si="0"/>
        <v>16298559</v>
      </c>
      <c r="C4" t="str">
        <f>VLOOKUP(A4,inusmos_desc!$A:$B,2,0)</f>
        <v>GLICERINA PURA OLEON</v>
      </c>
    </row>
    <row r="5" spans="1:3" x14ac:dyDescent="0.25">
      <c r="A5" s="1" t="s">
        <v>1148</v>
      </c>
      <c r="B5">
        <f t="shared" si="0"/>
        <v>16298560</v>
      </c>
      <c r="C5" t="str">
        <f>VLOOKUP(A5,inusmos_desc!$A:$B,2,0)</f>
        <v>PARAFINA LIQUIDA</v>
      </c>
    </row>
    <row r="6" spans="1:3" x14ac:dyDescent="0.25">
      <c r="A6" s="1" t="s">
        <v>1149</v>
      </c>
      <c r="B6">
        <f t="shared" si="0"/>
        <v>16298561</v>
      </c>
      <c r="C6" t="str">
        <f>VLOOKUP(A6,inusmos_desc!$A:$B,2,0)</f>
        <v>INDUST. SKIN SEC LOÇÃO GRANEL</v>
      </c>
    </row>
    <row r="7" spans="1:3" x14ac:dyDescent="0.25">
      <c r="A7" s="1" t="s">
        <v>1151</v>
      </c>
      <c r="B7">
        <f t="shared" si="0"/>
        <v>16298562</v>
      </c>
      <c r="C7" t="str">
        <f>VLOOKUP(A7,inusmos_desc!$A:$B,2,0)</f>
        <v>2 PHENOXYETHANOL</v>
      </c>
    </row>
    <row r="8" spans="1:3" x14ac:dyDescent="0.25">
      <c r="A8" s="1" t="s">
        <v>1152</v>
      </c>
      <c r="B8">
        <f t="shared" si="0"/>
        <v>16298563</v>
      </c>
      <c r="C8" t="str">
        <f>VLOOKUP(A8,inusmos_desc!$A:$B,2,0)</f>
        <v>NIPAGIN CLARIANT</v>
      </c>
    </row>
    <row r="9" spans="1:3" x14ac:dyDescent="0.25">
      <c r="A9" s="1" t="s">
        <v>1153</v>
      </c>
      <c r="B9">
        <f t="shared" si="0"/>
        <v>16298564</v>
      </c>
      <c r="C9" t="str">
        <f>VLOOKUP(A9,inusmos_desc!$A:$B,2,0)</f>
        <v>NIPAZOL CLARIANT</v>
      </c>
    </row>
    <row r="10" spans="1:3" x14ac:dyDescent="0.25">
      <c r="A10" s="1" t="s">
        <v>1154</v>
      </c>
      <c r="B10">
        <f t="shared" si="0"/>
        <v>16298565</v>
      </c>
      <c r="C10" t="str">
        <f>VLOOKUP(A10,inusmos_desc!$A:$B,2,0)</f>
        <v>PARF TRENDRESSE U293496</v>
      </c>
    </row>
    <row r="11" spans="1:3" x14ac:dyDescent="0.25">
      <c r="A11" s="1" t="s">
        <v>1155</v>
      </c>
      <c r="B11">
        <f t="shared" si="0"/>
        <v>16298566</v>
      </c>
      <c r="C11" t="str">
        <f>VLOOKUP(A11,inusmos_desc!$A:$B,2,0)</f>
        <v>EXTRAIT FLUI BOURGEON PEUPLIER</v>
      </c>
    </row>
    <row r="12" spans="1:3" x14ac:dyDescent="0.25">
      <c r="A12" s="1" t="s">
        <v>1156</v>
      </c>
      <c r="B12">
        <f t="shared" si="0"/>
        <v>16298567</v>
      </c>
      <c r="C12" t="str">
        <f>VLOOKUP(A12,inusmos_desc!$A:$B,2,0)</f>
        <v>ALPHA TOCOPHERYLE ACETATE Z</v>
      </c>
    </row>
    <row r="13" spans="1:3" x14ac:dyDescent="0.25">
      <c r="A13" s="1" t="s">
        <v>1157</v>
      </c>
      <c r="B13">
        <f t="shared" si="0"/>
        <v>16298568</v>
      </c>
      <c r="C13" t="str">
        <f>VLOOKUP(A13,inusmos_desc!$A:$B,2,0)</f>
        <v>SQUALENO VEGETAL</v>
      </c>
    </row>
    <row r="14" spans="1:3" x14ac:dyDescent="0.25">
      <c r="A14" s="1" t="s">
        <v>1158</v>
      </c>
      <c r="B14">
        <f t="shared" si="0"/>
        <v>16298569</v>
      </c>
      <c r="C14" t="str">
        <f>VLOOKUP(A14,inusmos_desc!$A:$B,2,0)</f>
        <v>ARLACEL 2121-FL</v>
      </c>
    </row>
    <row r="15" spans="1:3" x14ac:dyDescent="0.25">
      <c r="A15" s="1" t="s">
        <v>1159</v>
      </c>
      <c r="B15">
        <f t="shared" si="0"/>
        <v>16298570</v>
      </c>
      <c r="C15" t="str">
        <f>VLOOKUP(A15,inusmos_desc!$A:$B,2,0)</f>
        <v>CETEARYL ALC/CETEARYL MEL</v>
      </c>
    </row>
    <row r="16" spans="1:3" x14ac:dyDescent="0.25">
      <c r="A16" s="1" t="s">
        <v>1160</v>
      </c>
      <c r="B16">
        <f t="shared" si="0"/>
        <v>16298571</v>
      </c>
      <c r="C16" t="str">
        <f>VLOOKUP(A16,inusmos_desc!$A:$B,2,0)</f>
        <v>WAGLINOL 6016</v>
      </c>
    </row>
    <row r="17" spans="1:3" x14ac:dyDescent="0.25">
      <c r="A17" s="1" t="s">
        <v>1161</v>
      </c>
      <c r="B17">
        <f t="shared" si="0"/>
        <v>16298572</v>
      </c>
      <c r="C17" t="str">
        <f>VLOOKUP(A17,inusmos_desc!$A:$B,2,0)</f>
        <v>SILOXANE CYCLOPENTA CM5</v>
      </c>
    </row>
    <row r="18" spans="1:3" x14ac:dyDescent="0.25">
      <c r="A18" s="1" t="s">
        <v>1163</v>
      </c>
      <c r="B18">
        <f t="shared" si="0"/>
        <v>16298573</v>
      </c>
      <c r="C18" t="str">
        <f>VLOOKUP(A18,inusmos_desc!$A:$B,2,0)</f>
        <v>INDUST. SKIN SEC GRANEL S/PERF</v>
      </c>
    </row>
    <row r="19" spans="1:3" x14ac:dyDescent="0.25">
      <c r="A19" s="1" t="s">
        <v>1165</v>
      </c>
      <c r="B19">
        <f t="shared" si="0"/>
        <v>16298574</v>
      </c>
      <c r="C19" t="str">
        <f>VLOOKUP(A19,inusmos_desc!$A:$B,2,0)</f>
        <v>PROPILENO GLICOL</v>
      </c>
    </row>
    <row r="20" spans="1:3" x14ac:dyDescent="0.25">
      <c r="A20" s="1" t="s">
        <v>1166</v>
      </c>
      <c r="B20">
        <f t="shared" si="0"/>
        <v>16298575</v>
      </c>
      <c r="C20" t="str">
        <f>VLOOKUP(A20,inusmos_desc!$A:$B,2,0)</f>
        <v>POLYETHYLENE CIRE</v>
      </c>
    </row>
    <row r="21" spans="1:3" x14ac:dyDescent="0.25">
      <c r="A21" s="1" t="s">
        <v>1167</v>
      </c>
      <c r="B21">
        <f t="shared" si="0"/>
        <v>16298576</v>
      </c>
      <c r="C21" t="str">
        <f>VLOOKUP(A21,inusmos_desc!$A:$B,2,0)</f>
        <v>EUA DISTILLEE MELILOT</v>
      </c>
    </row>
    <row r="22" spans="1:3" x14ac:dyDescent="0.25">
      <c r="A22" s="1" t="s">
        <v>1168</v>
      </c>
      <c r="B22">
        <f t="shared" si="0"/>
        <v>16298577</v>
      </c>
      <c r="C22" t="str">
        <f>VLOOKUP(A22,inusmos_desc!$A:$B,2,0)</f>
        <v>PARF U210162 NATURE GN FREE</v>
      </c>
    </row>
    <row r="23" spans="1:3" x14ac:dyDescent="0.25">
      <c r="A23" s="1" t="s">
        <v>1169</v>
      </c>
      <c r="B23">
        <f t="shared" si="0"/>
        <v>16298578</v>
      </c>
      <c r="C23" t="str">
        <f>VLOOKUP(A23,inusmos_desc!$A:$B,2,0)</f>
        <v>SEPIGEL 305</v>
      </c>
    </row>
    <row r="24" spans="1:3" x14ac:dyDescent="0.25">
      <c r="A24" s="1" t="s">
        <v>1170</v>
      </c>
      <c r="B24">
        <f t="shared" si="0"/>
        <v>16298579</v>
      </c>
      <c r="C24" t="str">
        <f>VLOOKUP(A24,inusmos_desc!$A:$B,2,0)</f>
        <v>BROMURE DE CETRIMONIUM</v>
      </c>
    </row>
    <row r="25" spans="1:3" x14ac:dyDescent="0.25">
      <c r="A25" s="1" t="s">
        <v>1171</v>
      </c>
      <c r="B25">
        <f t="shared" si="0"/>
        <v>16298580</v>
      </c>
      <c r="C25" t="str">
        <f>VLOOKUP(A25,inusmos_desc!$A:$B,2,0)</f>
        <v>GLUCONATO DE ZINCO</v>
      </c>
    </row>
    <row r="26" spans="1:3" x14ac:dyDescent="0.25">
      <c r="A26" s="1" t="s">
        <v>1172</v>
      </c>
      <c r="B26">
        <f t="shared" si="0"/>
        <v>16298581</v>
      </c>
      <c r="C26" t="str">
        <f>VLOOKUP(A26,inusmos_desc!$A:$B,2,0)</f>
        <v>SALICILATO DE SODIO</v>
      </c>
    </row>
    <row r="27" spans="1:3" x14ac:dyDescent="0.25">
      <c r="A27" s="1" t="s">
        <v>1173</v>
      </c>
      <c r="B27">
        <f t="shared" si="0"/>
        <v>16298582</v>
      </c>
      <c r="C27" t="str">
        <f>VLOOKUP(A27,inusmos_desc!$A:$B,2,0)</f>
        <v>STEPAN MILD SL3 BA</v>
      </c>
    </row>
    <row r="28" spans="1:3" x14ac:dyDescent="0.25">
      <c r="A28" s="1" t="s">
        <v>1174</v>
      </c>
      <c r="B28">
        <f t="shared" si="0"/>
        <v>16298583</v>
      </c>
      <c r="C28" t="str">
        <f>VLOOKUP(A28,inusmos_desc!$A:$B,2,0)</f>
        <v>PCA DE ZINCO SOLABIA</v>
      </c>
    </row>
    <row r="29" spans="1:3" x14ac:dyDescent="0.25">
      <c r="A29" s="1" t="s">
        <v>1175</v>
      </c>
      <c r="B29">
        <f t="shared" si="0"/>
        <v>16298584</v>
      </c>
      <c r="C29" t="str">
        <f>VLOOKUP(A29,inusmos_desc!$A:$B,2,0)</f>
        <v>INDUST. ACTINE ESFOLIANTE GRAN</v>
      </c>
    </row>
    <row r="30" spans="1:3" x14ac:dyDescent="0.25">
      <c r="A30" s="1" t="s">
        <v>1176</v>
      </c>
      <c r="B30">
        <f t="shared" si="0"/>
        <v>16298585</v>
      </c>
      <c r="C30" t="str">
        <f>VLOOKUP(A30,inusmos_desc!$A:$B,2,0)</f>
        <v>TRILON BD</v>
      </c>
    </row>
    <row r="31" spans="1:3" x14ac:dyDescent="0.25">
      <c r="A31" s="1" t="s">
        <v>1177</v>
      </c>
      <c r="B31">
        <f t="shared" si="0"/>
        <v>16298586</v>
      </c>
      <c r="C31" t="str">
        <f>VLOOKUP(A31,inusmos_desc!$A:$B,2,0)</f>
        <v>SATIAGUM UTC 30</v>
      </c>
    </row>
    <row r="32" spans="1:3" x14ac:dyDescent="0.25">
      <c r="A32" s="1" t="s">
        <v>1179</v>
      </c>
      <c r="B32">
        <f t="shared" si="0"/>
        <v>16298587</v>
      </c>
      <c r="C32" t="str">
        <f>VLOOKUP(A32,inusmos_desc!$A:$B,2,0)</f>
        <v>ALCOOL NEUTRO</v>
      </c>
    </row>
    <row r="33" spans="1:3" x14ac:dyDescent="0.25">
      <c r="A33" s="1" t="s">
        <v>1180</v>
      </c>
      <c r="B33">
        <f t="shared" si="0"/>
        <v>16298588</v>
      </c>
      <c r="C33" t="str">
        <f>VLOOKUP(A33,inusmos_desc!$A:$B,2,0)</f>
        <v>COCOAMIDOPROPILBETAINA</v>
      </c>
    </row>
    <row r="34" spans="1:3" x14ac:dyDescent="0.25">
      <c r="A34" s="1" t="s">
        <v>1181</v>
      </c>
      <c r="B34">
        <f t="shared" si="0"/>
        <v>16298589</v>
      </c>
      <c r="C34" t="str">
        <f>VLOOKUP(A34,inusmos_desc!$A:$B,2,0)</f>
        <v>CORANTE RED D&amp;C 33</v>
      </c>
    </row>
    <row r="35" spans="1:3" x14ac:dyDescent="0.25">
      <c r="A35" s="1" t="s">
        <v>1183</v>
      </c>
      <c r="B35">
        <f t="shared" si="0"/>
        <v>16298590</v>
      </c>
      <c r="C35" t="str">
        <f>VLOOKUP(A35,inusmos_desc!$A:$B,2,0)</f>
        <v>CORANTE AMARELO AYE 23</v>
      </c>
    </row>
    <row r="36" spans="1:3" x14ac:dyDescent="0.25">
      <c r="A36" s="1" t="s">
        <v>1185</v>
      </c>
      <c r="B36">
        <f t="shared" si="0"/>
        <v>16298591</v>
      </c>
      <c r="C36" t="str">
        <f>VLOOKUP(A36,inusmos_desc!$A:$B,2,0)</f>
        <v>EDTA DISSODICO</v>
      </c>
    </row>
    <row r="37" spans="1:3" x14ac:dyDescent="0.25">
      <c r="A37" s="1" t="s">
        <v>1186</v>
      </c>
      <c r="B37">
        <f t="shared" si="0"/>
        <v>16298592</v>
      </c>
      <c r="C37" t="str">
        <f>VLOOKUP(A37,inusmos_desc!$A:$B,2,0)</f>
        <v>ESSENCIA SOAPELLE</v>
      </c>
    </row>
    <row r="38" spans="1:3" x14ac:dyDescent="0.25">
      <c r="A38" s="1" t="s">
        <v>1187</v>
      </c>
      <c r="B38">
        <f t="shared" si="0"/>
        <v>16298593</v>
      </c>
      <c r="C38" t="str">
        <f>VLOOKUP(A38,inusmos_desc!$A:$B,2,0)</f>
        <v>EXTRATO GLIC ALOE VERA</v>
      </c>
    </row>
    <row r="39" spans="1:3" x14ac:dyDescent="0.25">
      <c r="A39" s="1" t="s">
        <v>1188</v>
      </c>
      <c r="B39">
        <f t="shared" si="0"/>
        <v>16298594</v>
      </c>
      <c r="C39" t="str">
        <f>VLOOKUP(A39,inusmos_desc!$A:$B,2,0)</f>
        <v>GLICERINA PURA 03473015</v>
      </c>
    </row>
    <row r="40" spans="1:3" x14ac:dyDescent="0.25">
      <c r="A40" s="1" t="s">
        <v>1189</v>
      </c>
      <c r="B40">
        <f t="shared" si="0"/>
        <v>16298595</v>
      </c>
      <c r="C40" t="str">
        <f>VLOOKUP(A40,inusmos_desc!$A:$B,2,0)</f>
        <v>HIDROXIDO DE SODIO</v>
      </c>
    </row>
    <row r="41" spans="1:3" x14ac:dyDescent="0.25">
      <c r="A41" s="1" t="s">
        <v>1190</v>
      </c>
      <c r="B41">
        <f t="shared" si="0"/>
        <v>16298596</v>
      </c>
      <c r="C41" t="str">
        <f>VLOOKUP(A41,inusmos_desc!$A:$B,2,0)</f>
        <v>IRGASAN DP- 300</v>
      </c>
    </row>
    <row r="42" spans="1:3" x14ac:dyDescent="0.25">
      <c r="A42" s="1" t="s">
        <v>1191</v>
      </c>
      <c r="B42">
        <f t="shared" si="0"/>
        <v>16298597</v>
      </c>
      <c r="C42" t="str">
        <f>VLOOKUP(A42,inusmos_desc!$A:$B,2,0)</f>
        <v>NIPAGIN</v>
      </c>
    </row>
    <row r="43" spans="1:3" x14ac:dyDescent="0.25">
      <c r="A43" s="1" t="s">
        <v>1192</v>
      </c>
      <c r="B43">
        <f t="shared" si="0"/>
        <v>16298598</v>
      </c>
      <c r="C43" t="str">
        <f>VLOOKUP(A43,inusmos_desc!$A:$B,2,0)</f>
        <v>OLETH 3 FOSFATO</v>
      </c>
    </row>
    <row r="44" spans="1:3" x14ac:dyDescent="0.25">
      <c r="A44" s="1" t="s">
        <v>1193</v>
      </c>
      <c r="B44">
        <f t="shared" si="0"/>
        <v>16298599</v>
      </c>
      <c r="C44" t="str">
        <f>VLOOKUP(A44,inusmos_desc!$A:$B,2,0)</f>
        <v>PIRROLIDONA CARBOX. DE SODIO</v>
      </c>
    </row>
    <row r="45" spans="1:3" x14ac:dyDescent="0.25">
      <c r="A45" s="1" t="s">
        <v>1194</v>
      </c>
      <c r="B45">
        <f t="shared" si="0"/>
        <v>16298600</v>
      </c>
      <c r="C45" t="str">
        <f>VLOOKUP(A45,inusmos_desc!$A:$B,2,0)</f>
        <v>SYNOTOL CN- 80</v>
      </c>
    </row>
    <row r="46" spans="1:3" x14ac:dyDescent="0.25">
      <c r="A46" s="1" t="s">
        <v>1195</v>
      </c>
      <c r="B46">
        <f t="shared" si="0"/>
        <v>16298601</v>
      </c>
      <c r="C46" t="str">
        <f>VLOOKUP(A46,inusmos_desc!$A:$B,2,0)</f>
        <v>TEXAPON N 040</v>
      </c>
    </row>
    <row r="47" spans="1:3" x14ac:dyDescent="0.25">
      <c r="A47" s="1" t="s">
        <v>1197</v>
      </c>
      <c r="B47">
        <f t="shared" si="0"/>
        <v>16298602</v>
      </c>
      <c r="C47" t="str">
        <f>VLOOKUP(A47,inusmos_desc!$A:$B,2,0)</f>
        <v>IMIDAZOLIDINIL UREIA</v>
      </c>
    </row>
    <row r="48" spans="1:3" x14ac:dyDescent="0.25">
      <c r="A48" s="1" t="s">
        <v>1198</v>
      </c>
      <c r="B48">
        <f t="shared" si="0"/>
        <v>16298603</v>
      </c>
      <c r="C48" t="str">
        <f>VLOOKUP(A48,inusmos_desc!$A:$B,2,0)</f>
        <v>ALOE VERA PO</v>
      </c>
    </row>
    <row r="49" spans="1:3" x14ac:dyDescent="0.25">
      <c r="A49" s="1" t="s">
        <v>1199</v>
      </c>
      <c r="B49">
        <f t="shared" si="0"/>
        <v>16298604</v>
      </c>
      <c r="C49" t="str">
        <f>VLOOKUP(A49,inusmos_desc!$A:$B,2,0)</f>
        <v>PEG 120 METILGLUCOSEDIOLEATO</v>
      </c>
    </row>
    <row r="50" spans="1:3" x14ac:dyDescent="0.25">
      <c r="A50" s="1" t="s">
        <v>1200</v>
      </c>
      <c r="B50">
        <f t="shared" si="0"/>
        <v>16298605</v>
      </c>
      <c r="C50" t="str">
        <f>VLOOKUP(A50,inusmos_desc!$A:$B,2,0)</f>
        <v>N-COCOIL L-GLUTAMATO DISSODICO</v>
      </c>
    </row>
    <row r="51" spans="1:3" x14ac:dyDescent="0.25">
      <c r="A51" s="1" t="s">
        <v>1201</v>
      </c>
      <c r="B51">
        <f t="shared" si="0"/>
        <v>16298606</v>
      </c>
      <c r="C51" t="str">
        <f>VLOOKUP(A51,inusmos_desc!$A:$B,2,0)</f>
        <v>FENOXIETANOL E PARABENOS</v>
      </c>
    </row>
    <row r="52" spans="1:3" x14ac:dyDescent="0.25">
      <c r="A52" s="1" t="s">
        <v>1202</v>
      </c>
      <c r="B52">
        <f t="shared" si="0"/>
        <v>16298607</v>
      </c>
      <c r="C52" t="str">
        <f>VLOOKUP(A52,inusmos_desc!$A:$B,2,0)</f>
        <v>LAURIL POLIGLICOSE</v>
      </c>
    </row>
    <row r="53" spans="1:3" x14ac:dyDescent="0.25">
      <c r="A53" s="1" t="s">
        <v>1203</v>
      </c>
      <c r="B53">
        <f t="shared" si="0"/>
        <v>16298608</v>
      </c>
      <c r="C53" t="str">
        <f>VLOOKUP(A53,inusmos_desc!$A:$B,2,0)</f>
        <v>EXTRATO DE CAMOMILA</v>
      </c>
    </row>
    <row r="54" spans="1:3" x14ac:dyDescent="0.25">
      <c r="A54" s="1" t="s">
        <v>1204</v>
      </c>
      <c r="B54">
        <f t="shared" si="0"/>
        <v>16298609</v>
      </c>
      <c r="C54" t="str">
        <f>VLOOKUP(A54,inusmos_desc!$A:$B,2,0)</f>
        <v>EXTRATO DE ALECRIM</v>
      </c>
    </row>
    <row r="55" spans="1:3" x14ac:dyDescent="0.25">
      <c r="A55" s="1" t="s">
        <v>1205</v>
      </c>
      <c r="B55">
        <f t="shared" si="0"/>
        <v>16298610</v>
      </c>
      <c r="C55" t="str">
        <f>VLOOKUP(A55,inusmos_desc!$A:$B,2,0)</f>
        <v>CITOQUINAS DO LEITE</v>
      </c>
    </row>
    <row r="56" spans="1:3" x14ac:dyDescent="0.25">
      <c r="A56" s="1" t="s">
        <v>1206</v>
      </c>
      <c r="B56">
        <f t="shared" si="0"/>
        <v>16298611</v>
      </c>
      <c r="C56" t="str">
        <f>VLOOKUP(A56,inusmos_desc!$A:$B,2,0)</f>
        <v>TIOLISINA COMPLEX 30</v>
      </c>
    </row>
    <row r="57" spans="1:3" x14ac:dyDescent="0.25">
      <c r="A57" s="1" t="s">
        <v>35</v>
      </c>
      <c r="B57">
        <f t="shared" si="0"/>
        <v>16298612</v>
      </c>
      <c r="C57" t="str">
        <f>VLOOKUP(A57,inusmos_desc!$A:$B,2,0)</f>
        <v>SEBONORMINE 0P</v>
      </c>
    </row>
    <row r="58" spans="1:3" x14ac:dyDescent="0.25">
      <c r="A58" s="1" t="s">
        <v>1207</v>
      </c>
      <c r="B58">
        <f t="shared" si="0"/>
        <v>16298613</v>
      </c>
      <c r="C58" t="str">
        <f>VLOOKUP(A58,inusmos_desc!$A:$B,2,0)</f>
        <v>ACIDO CITRICO FARMAC</v>
      </c>
    </row>
    <row r="59" spans="1:3" x14ac:dyDescent="0.25">
      <c r="A59" s="1" t="s">
        <v>1208</v>
      </c>
      <c r="B59">
        <f t="shared" si="0"/>
        <v>16298614</v>
      </c>
      <c r="C59" t="str">
        <f>VLOOKUP(A59,inusmos_desc!$A:$B,2,0)</f>
        <v>ESSENCIA ESKIMO SII</v>
      </c>
    </row>
    <row r="60" spans="1:3" x14ac:dyDescent="0.25">
      <c r="A60" s="1" t="s">
        <v>1210</v>
      </c>
      <c r="B60">
        <f t="shared" si="0"/>
        <v>16298615</v>
      </c>
      <c r="C60" t="str">
        <f>VLOOKUP(A60,inusmos_desc!$A:$B,2,0)</f>
        <v>SALCARE SC60</v>
      </c>
    </row>
    <row r="61" spans="1:3" x14ac:dyDescent="0.25">
      <c r="A61" s="1" t="s">
        <v>1211</v>
      </c>
      <c r="B61">
        <f t="shared" si="0"/>
        <v>16298616</v>
      </c>
      <c r="C61" t="str">
        <f>VLOOKUP(A61,inusmos_desc!$A:$B,2,0)</f>
        <v>ESSENCIA HERBAL FRESH</v>
      </c>
    </row>
    <row r="62" spans="1:3" x14ac:dyDescent="0.25">
      <c r="A62" s="1" t="s">
        <v>1212</v>
      </c>
      <c r="B62">
        <f t="shared" si="0"/>
        <v>16298617</v>
      </c>
      <c r="C62" t="str">
        <f>VLOOKUP(A62,inusmos_desc!$A:$B,2,0)</f>
        <v>LACTATO DE MENTILA</v>
      </c>
    </row>
    <row r="63" spans="1:3" x14ac:dyDescent="0.25">
      <c r="A63" s="1" t="s">
        <v>1213</v>
      </c>
      <c r="B63">
        <f t="shared" si="0"/>
        <v>16298618</v>
      </c>
      <c r="C63" t="str">
        <f>VLOOKUP(A63,inusmos_desc!$A:$B,2,0)</f>
        <v>OCTOPIROX</v>
      </c>
    </row>
    <row r="64" spans="1:3" x14ac:dyDescent="0.25">
      <c r="A64" s="1" t="s">
        <v>1214</v>
      </c>
      <c r="B64">
        <f t="shared" si="0"/>
        <v>16298619</v>
      </c>
      <c r="C64" t="str">
        <f>VLOOKUP(A64,inusmos_desc!$A:$B,2,0)</f>
        <v>IODO PROPINIL BUTIL CARBAMATO</v>
      </c>
    </row>
    <row r="65" spans="1:3" x14ac:dyDescent="0.25">
      <c r="A65" s="1" t="s">
        <v>1215</v>
      </c>
      <c r="B65">
        <f t="shared" si="0"/>
        <v>16298620</v>
      </c>
      <c r="C65" t="str">
        <f>VLOOKUP(A65,inusmos_desc!$A:$B,2,0)</f>
        <v>CLORETO DE SODIO P/ COSMETICO</v>
      </c>
    </row>
    <row r="66" spans="1:3" x14ac:dyDescent="0.25">
      <c r="A66" s="1" t="s">
        <v>1216</v>
      </c>
      <c r="B66">
        <f t="shared" si="0"/>
        <v>16298621</v>
      </c>
      <c r="C66" t="str">
        <f>VLOOKUP(A66,inusmos_desc!$A:$B,2,0)</f>
        <v>OLEO DE RICINO HIDROGENADO</v>
      </c>
    </row>
    <row r="67" spans="1:3" x14ac:dyDescent="0.25">
      <c r="A67" s="1" t="s">
        <v>1217</v>
      </c>
      <c r="B67">
        <f t="shared" ref="B67:B130" si="1">+B66+1</f>
        <v>16298622</v>
      </c>
      <c r="C67" t="str">
        <f>VLOOKUP(A67,inusmos_desc!$A:$B,2,0)</f>
        <v>ENXOFRE SOLUVEL</v>
      </c>
    </row>
    <row r="68" spans="1:3" x14ac:dyDescent="0.25">
      <c r="A68" s="1" t="s">
        <v>1218</v>
      </c>
      <c r="B68">
        <f t="shared" si="1"/>
        <v>16298623</v>
      </c>
      <c r="C68" t="str">
        <f>VLOOKUP(A68,inusmos_desc!$A:$B,2,0)</f>
        <v>CAPRILOIL GLICINA</v>
      </c>
    </row>
    <row r="69" spans="1:3" x14ac:dyDescent="0.25">
      <c r="A69" s="1" t="s">
        <v>1219</v>
      </c>
      <c r="B69">
        <f t="shared" si="1"/>
        <v>16298624</v>
      </c>
      <c r="C69" t="str">
        <f>VLOOKUP(A69,inusmos_desc!$A:$B,2,0)</f>
        <v>ACIDO SALICILICO 00340</v>
      </c>
    </row>
    <row r="70" spans="1:3" x14ac:dyDescent="0.25">
      <c r="A70" s="1" t="s">
        <v>1220</v>
      </c>
      <c r="B70">
        <f t="shared" si="1"/>
        <v>16298625</v>
      </c>
      <c r="C70" t="str">
        <f>VLOOKUP(A70,inusmos_desc!$A:$B,2,0)</f>
        <v>PIRROLIDONA CARBOX. DE ZINCO</v>
      </c>
    </row>
    <row r="71" spans="1:3" x14ac:dyDescent="0.25">
      <c r="A71" s="1" t="s">
        <v>1221</v>
      </c>
      <c r="B71">
        <f t="shared" si="1"/>
        <v>16298626</v>
      </c>
      <c r="C71" t="str">
        <f>VLOOKUP(A71,inusmos_desc!$A:$B,2,0)</f>
        <v>L-ARGININA INJETAVEL 00646016</v>
      </c>
    </row>
    <row r="72" spans="1:3" x14ac:dyDescent="0.25">
      <c r="A72" s="1" t="s">
        <v>1222</v>
      </c>
      <c r="B72">
        <f t="shared" si="1"/>
        <v>16298627</v>
      </c>
      <c r="C72" t="str">
        <f>VLOOKUP(A72,inusmos_desc!$A:$B,2,0)</f>
        <v>ANTI - UV (TINOGARD HS)</v>
      </c>
    </row>
    <row r="73" spans="1:3" x14ac:dyDescent="0.25">
      <c r="A73" s="1" t="s">
        <v>1224</v>
      </c>
      <c r="B73">
        <f t="shared" si="1"/>
        <v>16298628</v>
      </c>
      <c r="C73" t="str">
        <f>VLOOKUP(A73,inusmos_desc!$A:$B,2,0)</f>
        <v>SOLUVIT RICHTER</v>
      </c>
    </row>
    <row r="74" spans="1:3" x14ac:dyDescent="0.25">
      <c r="A74" s="1" t="s">
        <v>1226</v>
      </c>
      <c r="B74">
        <f t="shared" si="1"/>
        <v>16298629</v>
      </c>
      <c r="C74" t="str">
        <f>VLOOKUP(A74,inusmos_desc!$A:$B,2,0)</f>
        <v>CETEARYL ALCOOL/CETEARETH 33</v>
      </c>
    </row>
    <row r="75" spans="1:3" x14ac:dyDescent="0.25">
      <c r="A75" s="1" t="s">
        <v>1227</v>
      </c>
      <c r="B75">
        <f t="shared" si="1"/>
        <v>16298630</v>
      </c>
      <c r="C75" t="str">
        <f>VLOOKUP(A75,inusmos_desc!$A:$B,2,0)</f>
        <v>PALMITATE ETHYLHEXYL</v>
      </c>
    </row>
    <row r="76" spans="1:3" x14ac:dyDescent="0.25">
      <c r="A76" s="1" t="s">
        <v>1228</v>
      </c>
      <c r="B76">
        <f t="shared" si="1"/>
        <v>16298631</v>
      </c>
      <c r="C76" t="str">
        <f>VLOOKUP(A76,inusmos_desc!$A:$B,2,0)</f>
        <v>STEARATE GLYCERYL SG</v>
      </c>
    </row>
    <row r="77" spans="1:3" x14ac:dyDescent="0.25">
      <c r="A77" s="1" t="s">
        <v>1229</v>
      </c>
      <c r="B77">
        <f t="shared" si="1"/>
        <v>16298632</v>
      </c>
      <c r="C77" t="str">
        <f>VLOOKUP(A77,inusmos_desc!$A:$B,2,0)</f>
        <v>INDUST DOCTAR CREME GRANEL</v>
      </c>
    </row>
    <row r="78" spans="1:3" x14ac:dyDescent="0.25">
      <c r="A78" s="1" t="s">
        <v>1230</v>
      </c>
      <c r="B78">
        <f t="shared" si="1"/>
        <v>16298633</v>
      </c>
      <c r="C78" t="str">
        <f>VLOOKUP(A78,inusmos_desc!$A:$B,2,0)</f>
        <v>CROTAMITON</v>
      </c>
    </row>
    <row r="79" spans="1:3" x14ac:dyDescent="0.25">
      <c r="A79" s="1" t="s">
        <v>1231</v>
      </c>
      <c r="B79">
        <f t="shared" si="1"/>
        <v>16298634</v>
      </c>
      <c r="C79" t="str">
        <f>VLOOKUP(A79,inusmos_desc!$A:$B,2,0)</f>
        <v>GLYCOLIQUE ACIDE 57%</v>
      </c>
    </row>
    <row r="80" spans="1:3" x14ac:dyDescent="0.25">
      <c r="A80" s="1" t="s">
        <v>1232</v>
      </c>
      <c r="B80">
        <f t="shared" si="1"/>
        <v>16298635</v>
      </c>
      <c r="C80" t="str">
        <f>VLOOKUP(A80,inusmos_desc!$A:$B,2,0)</f>
        <v>ACETAMIDE MEA 70%</v>
      </c>
    </row>
    <row r="81" spans="1:3" x14ac:dyDescent="0.25">
      <c r="A81" s="1" t="s">
        <v>1233</v>
      </c>
      <c r="B81">
        <f t="shared" si="1"/>
        <v>16298636</v>
      </c>
      <c r="C81" t="str">
        <f>VLOOKUP(A81,inusmos_desc!$A:$B,2,0)</f>
        <v>SODIUM SHALE OIL SULFONATE</v>
      </c>
    </row>
    <row r="82" spans="1:3" x14ac:dyDescent="0.25">
      <c r="A82" s="1" t="s">
        <v>1234</v>
      </c>
      <c r="B82">
        <f t="shared" si="1"/>
        <v>16298637</v>
      </c>
      <c r="C82" t="str">
        <f>VLOOKUP(A82,inusmos_desc!$A:$B,2,0)</f>
        <v>PARF. CAMAFLOR 8237F</v>
      </c>
    </row>
    <row r="83" spans="1:3" x14ac:dyDescent="0.25">
      <c r="A83" s="1" t="s">
        <v>1236</v>
      </c>
      <c r="B83">
        <f t="shared" si="1"/>
        <v>16298638</v>
      </c>
      <c r="C83" t="str">
        <f>VLOOKUP(A83,inusmos_desc!$A:$B,2,0)</f>
        <v>PPG 1 PEG 9 LAURYL GLYCOL ETHE</v>
      </c>
    </row>
    <row r="84" spans="1:3" x14ac:dyDescent="0.25">
      <c r="A84" s="1" t="s">
        <v>1237</v>
      </c>
      <c r="B84">
        <f t="shared" si="1"/>
        <v>16298639</v>
      </c>
      <c r="C84" t="str">
        <f>VLOOKUP(A84,inusmos_desc!$A:$B,2,0)</f>
        <v>LACTIQUE ACIDE</v>
      </c>
    </row>
    <row r="85" spans="1:3" x14ac:dyDescent="0.25">
      <c r="A85" s="1" t="s">
        <v>1238</v>
      </c>
      <c r="B85">
        <f t="shared" si="1"/>
        <v>16298640</v>
      </c>
      <c r="C85" t="str">
        <f>VLOOKUP(A85,inusmos_desc!$A:$B,2,0)</f>
        <v>EUA HAMAMELIS STABILISEE</v>
      </c>
    </row>
    <row r="86" spans="1:3" x14ac:dyDescent="0.25">
      <c r="A86" s="1" t="s">
        <v>1239</v>
      </c>
      <c r="B86">
        <f t="shared" si="1"/>
        <v>16298641</v>
      </c>
      <c r="C86" t="str">
        <f>VLOOKUP(A86,inusmos_desc!$A:$B,2,0)</f>
        <v>BISABOLOL(ALPHA)SYNTH</v>
      </c>
    </row>
    <row r="87" spans="1:3" x14ac:dyDescent="0.25">
      <c r="A87" s="1" t="s">
        <v>1240</v>
      </c>
      <c r="B87">
        <f t="shared" si="1"/>
        <v>16298642</v>
      </c>
      <c r="C87" t="str">
        <f>VLOOKUP(A87,inusmos_desc!$A:$B,2,0)</f>
        <v>PARF. SKIN II PY 94574</v>
      </c>
    </row>
    <row r="88" spans="1:3" x14ac:dyDescent="0.25">
      <c r="A88" s="1" t="s">
        <v>1242</v>
      </c>
      <c r="B88">
        <f t="shared" si="1"/>
        <v>16298643</v>
      </c>
      <c r="C88" t="str">
        <f>VLOOKUP(A88,inusmos_desc!$A:$B,2,0)</f>
        <v>ETHYLHEXYLOXYPHENOL(BIS)METHO</v>
      </c>
    </row>
    <row r="89" spans="1:3" x14ac:dyDescent="0.25">
      <c r="A89" s="1" t="s">
        <v>72</v>
      </c>
      <c r="B89">
        <f t="shared" si="1"/>
        <v>16298644</v>
      </c>
      <c r="C89" t="str">
        <f>VLOOKUP(A89,inusmos_desc!$A:$B,2,0)</f>
        <v>BUTYL METHOXY DIBENZOYLMETHANE</v>
      </c>
    </row>
    <row r="90" spans="1:3" x14ac:dyDescent="0.25">
      <c r="A90" s="1" t="s">
        <v>1243</v>
      </c>
      <c r="B90">
        <f t="shared" si="1"/>
        <v>16298645</v>
      </c>
      <c r="C90" t="str">
        <f>VLOOKUP(A90,inusmos_desc!$A:$B,2,0)</f>
        <v>ALCOOL ESTEARILICO</v>
      </c>
    </row>
    <row r="91" spans="1:3" x14ac:dyDescent="0.25">
      <c r="A91" s="1" t="s">
        <v>1244</v>
      </c>
      <c r="B91">
        <f t="shared" si="1"/>
        <v>16298646</v>
      </c>
      <c r="C91" t="str">
        <f>VLOOKUP(A91,inusmos_desc!$A:$B,2,0)</f>
        <v>BEHENATE DIGLYCERYL BEHE MEL</v>
      </c>
    </row>
    <row r="92" spans="1:3" x14ac:dyDescent="0.25">
      <c r="A92" s="1" t="s">
        <v>1245</v>
      </c>
      <c r="B92">
        <f t="shared" si="1"/>
        <v>16298647</v>
      </c>
      <c r="C92" t="str">
        <f>VLOOKUP(A92,inusmos_desc!$A:$B,2,0)</f>
        <v>STEARATE GLY PEG100ST</v>
      </c>
    </row>
    <row r="93" spans="1:3" x14ac:dyDescent="0.25">
      <c r="A93" s="1" t="s">
        <v>1246</v>
      </c>
      <c r="B93">
        <f t="shared" si="1"/>
        <v>16298648</v>
      </c>
      <c r="C93" t="str">
        <f>VLOOKUP(A93,inusmos_desc!$A:$B,2,0)</f>
        <v>CETYL PHOSPHATE POTASSIUM</v>
      </c>
    </row>
    <row r="94" spans="1:3" x14ac:dyDescent="0.25">
      <c r="A94" s="1" t="s">
        <v>1247</v>
      </c>
      <c r="B94">
        <f t="shared" si="1"/>
        <v>16298649</v>
      </c>
      <c r="C94" t="str">
        <f>VLOOKUP(A94,inusmos_desc!$A:$B,2,0)</f>
        <v>DICAPRYLYL CARBONATE</v>
      </c>
    </row>
    <row r="95" spans="1:3" x14ac:dyDescent="0.25">
      <c r="A95" s="1" t="s">
        <v>1248</v>
      </c>
      <c r="B95">
        <f t="shared" si="1"/>
        <v>16298650</v>
      </c>
      <c r="C95" t="str">
        <f>VLOOKUP(A95,inusmos_desc!$A:$B,2,0)</f>
        <v>ADIPATE DIISOPROPYL</v>
      </c>
    </row>
    <row r="96" spans="1:3" x14ac:dyDescent="0.25">
      <c r="A96" s="1" t="s">
        <v>1249</v>
      </c>
      <c r="B96">
        <f t="shared" si="1"/>
        <v>16298651</v>
      </c>
      <c r="C96" t="str">
        <f>VLOOKUP(A96,inusmos_desc!$A:$B,2,0)</f>
        <v>TEGOSOFT TN</v>
      </c>
    </row>
    <row r="97" spans="1:3" x14ac:dyDescent="0.25">
      <c r="A97" s="1" t="s">
        <v>1250</v>
      </c>
      <c r="B97">
        <f t="shared" si="1"/>
        <v>16298652</v>
      </c>
      <c r="C97" t="str">
        <f>VLOOKUP(A97,inusmos_desc!$A:$B,2,0)</f>
        <v>GLICERIDES PALM KERNEL HYDROG</v>
      </c>
    </row>
    <row r="98" spans="1:3" x14ac:dyDescent="0.25">
      <c r="A98" s="1" t="s">
        <v>1251</v>
      </c>
      <c r="B98">
        <f t="shared" si="1"/>
        <v>16298653</v>
      </c>
      <c r="C98" t="str">
        <f>VLOOKUP(A98,inusmos_desc!$A:$B,2,0)</f>
        <v>ACIDO BENZOICO</v>
      </c>
    </row>
    <row r="99" spans="1:3" x14ac:dyDescent="0.25">
      <c r="A99" s="1" t="s">
        <v>74</v>
      </c>
      <c r="B99">
        <f t="shared" si="1"/>
        <v>16298654</v>
      </c>
      <c r="C99" t="str">
        <f>VLOOKUP(A99,inusmos_desc!$A:$B,2,0)</f>
        <v>CAPRYL GLYCOL</v>
      </c>
    </row>
    <row r="100" spans="1:3" x14ac:dyDescent="0.25">
      <c r="A100" s="1" t="s">
        <v>75</v>
      </c>
      <c r="B100">
        <f t="shared" si="1"/>
        <v>16298655</v>
      </c>
      <c r="C100" t="str">
        <f>VLOOKUP(A100,inusmos_desc!$A:$B,2,0)</f>
        <v>ACRYLATE C10 C30 ALKYL CRPM 21</v>
      </c>
    </row>
    <row r="101" spans="1:3" x14ac:dyDescent="0.25">
      <c r="A101" s="1" t="s">
        <v>1252</v>
      </c>
      <c r="B101">
        <f t="shared" si="1"/>
        <v>16298656</v>
      </c>
      <c r="C101" t="str">
        <f>VLOOKUP(A101,inusmos_desc!$A:$B,2,0)</f>
        <v>XANTHANE GOMME</v>
      </c>
    </row>
    <row r="102" spans="1:3" x14ac:dyDescent="0.25">
      <c r="A102" s="1" t="s">
        <v>1253</v>
      </c>
      <c r="B102">
        <f t="shared" si="1"/>
        <v>16298657</v>
      </c>
      <c r="C102" t="str">
        <f>VLOOKUP(A102,inusmos_desc!$A:$B,2,0)</f>
        <v>DRY FLO PC</v>
      </c>
    </row>
    <row r="103" spans="1:3" x14ac:dyDescent="0.25">
      <c r="A103" s="1" t="s">
        <v>77</v>
      </c>
      <c r="B103">
        <f t="shared" si="1"/>
        <v>16298658</v>
      </c>
      <c r="C103" t="str">
        <f>VLOOKUP(A103,inusmos_desc!$A:$B,2,0)</f>
        <v>SILICA (LIBELLÉ CHIMIQUE) 692847</v>
      </c>
    </row>
    <row r="104" spans="1:3" x14ac:dyDescent="0.25">
      <c r="A104" s="1" t="s">
        <v>1254</v>
      </c>
      <c r="B104">
        <f t="shared" si="1"/>
        <v>16298659</v>
      </c>
      <c r="C104" t="str">
        <f>VLOOKUP(A104,inusmos_desc!$A:$B,2,0)</f>
        <v>UVASORB HBE</v>
      </c>
    </row>
    <row r="105" spans="1:3" x14ac:dyDescent="0.25">
      <c r="A105" s="1" t="s">
        <v>1255</v>
      </c>
      <c r="B105">
        <f t="shared" si="1"/>
        <v>16298660</v>
      </c>
      <c r="C105" t="str">
        <f>VLOOKUP(A105,inusmos_desc!$A:$B,2,0)</f>
        <v>MBBT DECYL GLUCOSIDE MEL</v>
      </c>
    </row>
    <row r="106" spans="1:3" x14ac:dyDescent="0.25">
      <c r="A106" s="1" t="s">
        <v>80</v>
      </c>
      <c r="B106">
        <f t="shared" si="1"/>
        <v>16298661</v>
      </c>
      <c r="C106" t="str">
        <f>VLOOKUP(A106,inusmos_desc!$A:$B,2,0)</f>
        <v>PIGMENTO BROYAT HYDROPHIL 692884</v>
      </c>
    </row>
    <row r="107" spans="1:3" x14ac:dyDescent="0.25">
      <c r="A107" s="1" t="s">
        <v>1256</v>
      </c>
      <c r="B107">
        <f t="shared" si="1"/>
        <v>16298662</v>
      </c>
      <c r="C107" t="str">
        <f>VLOOKUP(A107,inusmos_desc!$A:$B,2,0)</f>
        <v>ALCOOL HIDRATADO DE CEREAIS</v>
      </c>
    </row>
    <row r="108" spans="1:3" x14ac:dyDescent="0.25">
      <c r="A108" s="1" t="s">
        <v>1261</v>
      </c>
      <c r="B108">
        <f t="shared" si="1"/>
        <v>16298663</v>
      </c>
      <c r="C108" t="str">
        <f>VLOOKUP(A108,inusmos_desc!$A:$B,2,0)</f>
        <v>NICOTINAMIDA</v>
      </c>
    </row>
    <row r="109" spans="1:3" x14ac:dyDescent="0.25">
      <c r="A109" s="1" t="s">
        <v>1262</v>
      </c>
      <c r="B109">
        <f t="shared" si="1"/>
        <v>16298664</v>
      </c>
      <c r="C109" t="str">
        <f>VLOOKUP(A109,inusmos_desc!$A:$B,2,0)</f>
        <v>MELAVOIDE</v>
      </c>
    </row>
    <row r="110" spans="1:3" x14ac:dyDescent="0.25">
      <c r="A110" s="1" t="s">
        <v>1263</v>
      </c>
      <c r="B110">
        <f t="shared" si="1"/>
        <v>16298665</v>
      </c>
      <c r="C110" t="str">
        <f>VLOOKUP(A110,inusmos_desc!$A:$B,2,0)</f>
        <v>ACNEOL SR</v>
      </c>
    </row>
    <row r="111" spans="1:3" x14ac:dyDescent="0.25">
      <c r="A111" s="1" t="s">
        <v>1264</v>
      </c>
      <c r="B111">
        <f t="shared" si="1"/>
        <v>16298666</v>
      </c>
      <c r="C111" t="str">
        <f>VLOOKUP(A111,inusmos_desc!$A:$B,2,0)</f>
        <v>BIOGENIC SA 200</v>
      </c>
    </row>
    <row r="112" spans="1:3" x14ac:dyDescent="0.25">
      <c r="A112" s="1" t="s">
        <v>1265</v>
      </c>
      <c r="B112">
        <f t="shared" si="1"/>
        <v>16298667</v>
      </c>
      <c r="C112" t="str">
        <f>VLOOKUP(A112,inusmos_desc!$A:$B,2,0)</f>
        <v>LIPOSSOMAS DE RESVERATRIOL</v>
      </c>
    </row>
    <row r="113" spans="1:3" x14ac:dyDescent="0.25">
      <c r="A113" s="1" t="s">
        <v>1266</v>
      </c>
      <c r="B113">
        <f t="shared" si="1"/>
        <v>16298668</v>
      </c>
      <c r="C113" t="str">
        <f>VLOOKUP(A113,inusmos_desc!$A:$B,2,0)</f>
        <v>SILICONE DC5225C</v>
      </c>
    </row>
    <row r="114" spans="1:3" x14ac:dyDescent="0.25">
      <c r="A114" s="1" t="s">
        <v>1267</v>
      </c>
      <c r="B114">
        <f t="shared" si="1"/>
        <v>16298669</v>
      </c>
      <c r="C114" t="str">
        <f>VLOOKUP(A114,inusmos_desc!$A:$B,2,0)</f>
        <v>SILICONE DC9040</v>
      </c>
    </row>
    <row r="115" spans="1:3" x14ac:dyDescent="0.25">
      <c r="A115" s="1" t="s">
        <v>1268</v>
      </c>
      <c r="B115">
        <f t="shared" si="1"/>
        <v>16298670</v>
      </c>
      <c r="C115" t="str">
        <f>VLOOKUP(A115,inusmos_desc!$A:$B,2,0)</f>
        <v>SILICONE DC245</v>
      </c>
    </row>
    <row r="116" spans="1:3" x14ac:dyDescent="0.25">
      <c r="A116" s="1" t="s">
        <v>1269</v>
      </c>
      <c r="B116">
        <f t="shared" si="1"/>
        <v>16298671</v>
      </c>
      <c r="C116" t="str">
        <f>VLOOKUP(A116,inusmos_desc!$A:$B,2,0)</f>
        <v>EUXYL PE 9010</v>
      </c>
    </row>
    <row r="117" spans="1:3" x14ac:dyDescent="0.25">
      <c r="A117" s="1" t="s">
        <v>85</v>
      </c>
      <c r="B117">
        <f t="shared" si="1"/>
        <v>16298672</v>
      </c>
      <c r="C117" t="str">
        <f>VLOOKUP(A117,inusmos_desc!$A:$B,2,0)</f>
        <v>Herbal Control 22.</v>
      </c>
    </row>
    <row r="118" spans="1:3" x14ac:dyDescent="0.25">
      <c r="A118" s="1" t="s">
        <v>1270</v>
      </c>
      <c r="B118">
        <f t="shared" si="1"/>
        <v>16298673</v>
      </c>
      <c r="C118" t="str">
        <f>VLOOKUP(A118,inusmos_desc!$A:$B,2,0)</f>
        <v>SUNSIL 150H</v>
      </c>
    </row>
    <row r="119" spans="1:3" x14ac:dyDescent="0.25">
      <c r="A119" s="1" t="s">
        <v>1271</v>
      </c>
      <c r="B119">
        <f t="shared" si="1"/>
        <v>16298674</v>
      </c>
      <c r="C119" t="str">
        <f>VLOOKUP(A119,inusmos_desc!$A:$B,2,0)</f>
        <v>ORGASOL CARESSE</v>
      </c>
    </row>
    <row r="120" spans="1:3" x14ac:dyDescent="0.25">
      <c r="A120" s="1" t="s">
        <v>1273</v>
      </c>
      <c r="B120">
        <f t="shared" si="1"/>
        <v>16298675</v>
      </c>
      <c r="C120" t="str">
        <f>VLOOKUP(A120,inusmos_desc!$A:$B,2,0)</f>
        <v>SARCOSINATE LAUROYL NA LS30</v>
      </c>
    </row>
    <row r="121" spans="1:3" x14ac:dyDescent="0.25">
      <c r="A121" s="1" t="s">
        <v>1274</v>
      </c>
      <c r="B121">
        <f t="shared" si="1"/>
        <v>16298676</v>
      </c>
      <c r="C121" t="str">
        <f>VLOOKUP(A121,inusmos_desc!$A:$B,2,0)</f>
        <v>HUILE PEPINS COURGE ENRICHIE</v>
      </c>
    </row>
    <row r="122" spans="1:3" x14ac:dyDescent="0.25">
      <c r="A122" s="1" t="s">
        <v>1275</v>
      </c>
      <c r="B122">
        <f t="shared" si="1"/>
        <v>16298677</v>
      </c>
      <c r="C122" t="str">
        <f>VLOOKUP(A122,inusmos_desc!$A:$B,2,0)</f>
        <v>METHYL GLUCETH 20</v>
      </c>
    </row>
    <row r="123" spans="1:3" x14ac:dyDescent="0.25">
      <c r="A123" s="1" t="s">
        <v>1276</v>
      </c>
      <c r="B123">
        <f t="shared" si="1"/>
        <v>16298678</v>
      </c>
      <c r="C123" t="str">
        <f>VLOOKUP(A123,inusmos_desc!$A:$B,2,0)</f>
        <v>SORBATE POLY 20</v>
      </c>
    </row>
    <row r="124" spans="1:3" x14ac:dyDescent="0.25">
      <c r="A124" s="1" t="s">
        <v>1277</v>
      </c>
      <c r="B124">
        <f t="shared" si="1"/>
        <v>16298679</v>
      </c>
      <c r="C124" t="str">
        <f>VLOOKUP(A124,inusmos_desc!$A:$B,2,0)</f>
        <v>EDTA DISSODICO</v>
      </c>
    </row>
    <row r="125" spans="1:3" x14ac:dyDescent="0.25">
      <c r="A125" s="1" t="s">
        <v>89</v>
      </c>
      <c r="B125">
        <f t="shared" si="1"/>
        <v>16298680</v>
      </c>
      <c r="C125" t="str">
        <f>VLOOKUP(A125,inusmos_desc!$A:$B,2,0)</f>
        <v>MIRANOL C2M CONC ( COCOAMPHODIACETADE 2NA 38-40%)</v>
      </c>
    </row>
    <row r="126" spans="1:3" x14ac:dyDescent="0.25">
      <c r="A126" s="1" t="s">
        <v>90</v>
      </c>
      <c r="B126">
        <f t="shared" si="1"/>
        <v>16298681</v>
      </c>
      <c r="C126" t="str">
        <f>VLOOKUP(A126,inusmos_desc!$A:$B,2,0)</f>
        <v>ELFACOC GT 282 ( CETEARETH-60 MYRISTYL GLYCOL)</v>
      </c>
    </row>
    <row r="127" spans="1:3" x14ac:dyDescent="0.25">
      <c r="A127" s="1" t="s">
        <v>91</v>
      </c>
      <c r="B127">
        <f t="shared" si="1"/>
        <v>16298682</v>
      </c>
      <c r="C127" t="str">
        <f>VLOOKUP(A127,inusmos_desc!$A:$B,2,0)</f>
        <v>DECYL GLUCOSIDE</v>
      </c>
    </row>
    <row r="128" spans="1:3" x14ac:dyDescent="0.25">
      <c r="A128" s="1" t="s">
        <v>92</v>
      </c>
      <c r="B128">
        <f t="shared" si="1"/>
        <v>16298683</v>
      </c>
      <c r="C128" t="str">
        <f>VLOOKUP(A128,inusmos_desc!$A:$B,2,0)</f>
        <v>INDUSTRIALIZAÇÃO ACTINE FREE SAB LIQUIDO</v>
      </c>
    </row>
    <row r="129" spans="1:3" x14ac:dyDescent="0.25">
      <c r="A129" s="1" t="s">
        <v>93</v>
      </c>
      <c r="B129">
        <f t="shared" si="1"/>
        <v>16298684</v>
      </c>
      <c r="C129" t="str">
        <f>VLOOKUP(A129,inusmos_desc!$A:$B,2,0)</f>
        <v>BISNAGA ACTINE SAB LIQ 60ML SLEEVE '</v>
      </c>
    </row>
    <row r="130" spans="1:3" x14ac:dyDescent="0.25">
      <c r="A130" s="1" t="s">
        <v>1280</v>
      </c>
      <c r="B130">
        <f t="shared" si="1"/>
        <v>16298685</v>
      </c>
      <c r="C130" t="str">
        <f>VLOOKUP(A130,inusmos_desc!$A:$B,2,0)</f>
        <v>CAIXA PAP 036</v>
      </c>
    </row>
    <row r="131" spans="1:3" x14ac:dyDescent="0.25">
      <c r="A131" s="1" t="s">
        <v>95</v>
      </c>
      <c r="B131">
        <f t="shared" ref="B131:B194" si="2">+B130+1</f>
        <v>16298686</v>
      </c>
      <c r="C131" t="str">
        <f>VLOOKUP(A131,inusmos_desc!$A:$B,2,0)</f>
        <v>GRANEL ACTINE SAB LIQUIDO</v>
      </c>
    </row>
    <row r="132" spans="1:3" x14ac:dyDescent="0.25">
      <c r="A132" s="1" t="s">
        <v>1282</v>
      </c>
      <c r="B132">
        <f t="shared" si="2"/>
        <v>16298687</v>
      </c>
      <c r="C132" t="str">
        <f>VLOOKUP(A132,inusmos_desc!$A:$B,2,0)</f>
        <v>FRASCO PET LARANJA 140ML</v>
      </c>
    </row>
    <row r="133" spans="1:3" x14ac:dyDescent="0.25">
      <c r="A133" s="1" t="s">
        <v>1284</v>
      </c>
      <c r="B133">
        <f t="shared" si="2"/>
        <v>16298688</v>
      </c>
      <c r="C133" t="str">
        <f>VLOOKUP(A133,inusmos_desc!$A:$B,2,0)</f>
        <v>ROT ACTINE SAB. LIQUIDO FRENTE</v>
      </c>
    </row>
    <row r="134" spans="1:3" x14ac:dyDescent="0.25">
      <c r="A134" s="1" t="s">
        <v>1286</v>
      </c>
      <c r="B134">
        <f t="shared" si="2"/>
        <v>16298689</v>
      </c>
      <c r="C134" t="str">
        <f>VLOOKUP(A134,inusmos_desc!$A:$B,2,0)</f>
        <v>ROT ACTINE SAB. LIQUIDO VERSO</v>
      </c>
    </row>
    <row r="135" spans="1:3" x14ac:dyDescent="0.25">
      <c r="A135" s="1" t="s">
        <v>98</v>
      </c>
      <c r="B135">
        <f t="shared" si="2"/>
        <v>16298690</v>
      </c>
      <c r="C135" t="str">
        <f>VLOOKUP(A135,inusmos_desc!$A:$B,2,0)</f>
        <v>VALVULA PRECISÃO DO BRASIL (24/410 SOFT BRANCA)</v>
      </c>
    </row>
    <row r="136" spans="1:3" x14ac:dyDescent="0.25">
      <c r="A136" s="1" t="s">
        <v>1287</v>
      </c>
      <c r="B136">
        <f t="shared" si="2"/>
        <v>16298691</v>
      </c>
      <c r="C136" t="str">
        <f>VLOOKUP(A136,inusmos_desc!$A:$B,2,0)</f>
        <v>SLEEVE 52mm BOBINA</v>
      </c>
    </row>
    <row r="137" spans="1:3" x14ac:dyDescent="0.25">
      <c r="A137" s="1" t="s">
        <v>1288</v>
      </c>
      <c r="B137">
        <f t="shared" si="2"/>
        <v>16298692</v>
      </c>
      <c r="C137" t="str">
        <f>VLOOKUP(A137,inusmos_desc!$A:$B,2,0)</f>
        <v>CAIXA 033</v>
      </c>
    </row>
    <row r="138" spans="1:3" x14ac:dyDescent="0.25">
      <c r="A138" s="1" t="s">
        <v>101</v>
      </c>
      <c r="B138">
        <f t="shared" si="2"/>
        <v>16298693</v>
      </c>
      <c r="C138" t="str">
        <f>VLOOKUP(A138,inusmos_desc!$A:$B,2,0)</f>
        <v>VALVULA PRECISÃO DO BRASIL (SOFT BRANCA) 24/410 - 240ML</v>
      </c>
    </row>
    <row r="139" spans="1:3" x14ac:dyDescent="0.25">
      <c r="A139" s="1" t="s">
        <v>1291</v>
      </c>
      <c r="B139">
        <f t="shared" si="2"/>
        <v>16298694</v>
      </c>
      <c r="C139" t="str">
        <f>VLOOKUP(A139,inusmos_desc!$A:$B,2,0)</f>
        <v>FRASCO PET LARANJA 240ML</v>
      </c>
    </row>
    <row r="140" spans="1:3" x14ac:dyDescent="0.25">
      <c r="A140" s="1" t="s">
        <v>1292</v>
      </c>
      <c r="B140">
        <f t="shared" si="2"/>
        <v>16298695</v>
      </c>
      <c r="C140" t="str">
        <f>VLOOKUP(A140,inusmos_desc!$A:$B,2,0)</f>
        <v>ROT ACTINE SAB LIQ 240ML FRENT</v>
      </c>
    </row>
    <row r="141" spans="1:3" x14ac:dyDescent="0.25">
      <c r="A141" s="1" t="s">
        <v>1294</v>
      </c>
      <c r="B141">
        <f t="shared" si="2"/>
        <v>16298696</v>
      </c>
      <c r="C141" t="str">
        <f>VLOOKUP(A141,inusmos_desc!$A:$B,2,0)</f>
        <v>ROT ACTINE SAB LIQ 240ML VERSO</v>
      </c>
    </row>
    <row r="142" spans="1:3" x14ac:dyDescent="0.25">
      <c r="A142" s="1" t="s">
        <v>1295</v>
      </c>
      <c r="B142">
        <f t="shared" si="2"/>
        <v>16298697</v>
      </c>
      <c r="C142" t="str">
        <f>VLOOKUP(A142,inusmos_desc!$A:$B,2,0)</f>
        <v>CAIXA P/ FRASCO DE 240 ML</v>
      </c>
    </row>
    <row r="143" spans="1:3" x14ac:dyDescent="0.25">
      <c r="A143" s="1" t="s">
        <v>103</v>
      </c>
      <c r="B143">
        <f t="shared" si="2"/>
        <v>16298698</v>
      </c>
      <c r="C143" t="str">
        <f>VLOOKUP(A143,inusmos_desc!$A:$B,2,0)</f>
        <v>GRANEL ACTINE ESFOLIANTE  1TON</v>
      </c>
    </row>
    <row r="144" spans="1:3" x14ac:dyDescent="0.25">
      <c r="A144" s="1" t="s">
        <v>105</v>
      </c>
      <c r="B144">
        <f t="shared" si="2"/>
        <v>16298699</v>
      </c>
      <c r="C144" t="str">
        <f>VLOOKUP(A144,inusmos_desc!$A:$B,2,0)</f>
        <v>BISNAGA ACTINE ESFOLIANTE  60G SLEEVE</v>
      </c>
    </row>
    <row r="145" spans="1:3" x14ac:dyDescent="0.25">
      <c r="A145" s="1" t="s">
        <v>107</v>
      </c>
      <c r="B145">
        <f t="shared" si="2"/>
        <v>16298700</v>
      </c>
      <c r="C145" t="str">
        <f>VLOOKUP(A145,inusmos_desc!$A:$B,2,0)</f>
        <v>GRANEL ACTINE PROTETOR SOLAR FPS30</v>
      </c>
    </row>
    <row r="146" spans="1:3" x14ac:dyDescent="0.25">
      <c r="A146" s="1" t="s">
        <v>109</v>
      </c>
      <c r="B146">
        <f t="shared" si="2"/>
        <v>16298701</v>
      </c>
      <c r="C146" t="str">
        <f>VLOOKUP(A146,inusmos_desc!$A:$B,2,0)</f>
        <v>BISNAGA ACTINE SOLAR FPS30  60ML SLEEVE</v>
      </c>
    </row>
    <row r="147" spans="1:3" x14ac:dyDescent="0.25">
      <c r="A147" s="1" t="s">
        <v>1300</v>
      </c>
      <c r="B147">
        <f t="shared" si="2"/>
        <v>16298702</v>
      </c>
      <c r="C147" t="str">
        <f>VLOOKUP(A147,inusmos_desc!$A:$B,2,0)</f>
        <v>CART ACTINE PROTETOR SOLAR</v>
      </c>
    </row>
    <row r="148" spans="1:3" x14ac:dyDescent="0.25">
      <c r="A148" s="1" t="s">
        <v>1301</v>
      </c>
      <c r="B148">
        <f t="shared" si="2"/>
        <v>16298703</v>
      </c>
      <c r="C148" t="str">
        <f>VLOOKUP(A148,inusmos_desc!$A:$B,2,0)</f>
        <v>CAIXA 031</v>
      </c>
    </row>
    <row r="149" spans="1:3" x14ac:dyDescent="0.25">
      <c r="A149" s="1" t="s">
        <v>1303</v>
      </c>
      <c r="B149">
        <f t="shared" si="2"/>
        <v>16298704</v>
      </c>
      <c r="C149" t="str">
        <f>VLOOKUP(A149,inusmos_desc!$A:$B,2,0)</f>
        <v>MASSA 100% VEGETAL P/ SABONETE</v>
      </c>
    </row>
    <row r="150" spans="1:3" x14ac:dyDescent="0.25">
      <c r="A150" s="1" t="s">
        <v>1304</v>
      </c>
      <c r="B150">
        <f t="shared" si="2"/>
        <v>16298705</v>
      </c>
      <c r="C150" t="str">
        <f>VLOOKUP(A150,inusmos_desc!$A:$B,2,0)</f>
        <v>COMPOSTO HIDRATANTE S820A1DV</v>
      </c>
    </row>
    <row r="151" spans="1:3" x14ac:dyDescent="0.25">
      <c r="A151" s="1" t="s">
        <v>1305</v>
      </c>
      <c r="B151">
        <f t="shared" si="2"/>
        <v>16298706</v>
      </c>
      <c r="C151" t="str">
        <f>VLOOKUP(A151,inusmos_desc!$A:$B,2,0)</f>
        <v>ASTROCARYUM MURUMURU SODIO</v>
      </c>
    </row>
    <row r="152" spans="1:3" x14ac:dyDescent="0.25">
      <c r="A152" s="1" t="s">
        <v>1307</v>
      </c>
      <c r="B152">
        <f t="shared" si="2"/>
        <v>16298707</v>
      </c>
      <c r="C152" t="str">
        <f>VLOOKUP(A152,inusmos_desc!$A:$B,2,0)</f>
        <v>ACIDO ETIDRONICO</v>
      </c>
    </row>
    <row r="153" spans="1:3" x14ac:dyDescent="0.25">
      <c r="A153" s="1" t="s">
        <v>1308</v>
      </c>
      <c r="B153">
        <f t="shared" si="2"/>
        <v>16298708</v>
      </c>
      <c r="C153" t="str">
        <f>VLOOKUP(A153,inusmos_desc!$A:$B,2,0)</f>
        <v>ENXOFRE</v>
      </c>
    </row>
    <row r="154" spans="1:3" x14ac:dyDescent="0.25">
      <c r="A154" s="1" t="s">
        <v>1309</v>
      </c>
      <c r="B154">
        <f t="shared" si="2"/>
        <v>16298709</v>
      </c>
      <c r="C154" t="str">
        <f>VLOOKUP(A154,inusmos_desc!$A:$B,2,0)</f>
        <v>ESSENCIA ACTINE</v>
      </c>
    </row>
    <row r="155" spans="1:3" x14ac:dyDescent="0.25">
      <c r="A155" s="1" t="s">
        <v>1310</v>
      </c>
      <c r="B155">
        <f t="shared" si="2"/>
        <v>16298710</v>
      </c>
      <c r="C155" t="str">
        <f>VLOOKUP(A155,inusmos_desc!$A:$B,2,0)</f>
        <v>FILME POLIPROPILENO BOPP</v>
      </c>
    </row>
    <row r="156" spans="1:3" x14ac:dyDescent="0.25">
      <c r="A156" s="1" t="s">
        <v>119</v>
      </c>
      <c r="B156">
        <f t="shared" si="2"/>
        <v>16298711</v>
      </c>
      <c r="C156" t="str">
        <f>VLOOKUP(A156,inusmos_desc!$A:$B,2,0)</f>
        <v>CARTUCHO ACTINE  SABONETE BARRA 80G P DW</v>
      </c>
    </row>
    <row r="157" spans="1:3" x14ac:dyDescent="0.25">
      <c r="A157" s="1" t="s">
        <v>1312</v>
      </c>
      <c r="B157">
        <f t="shared" si="2"/>
        <v>16298712</v>
      </c>
      <c r="C157" t="str">
        <f>VLOOKUP(A157,inusmos_desc!$A:$B,2,0)</f>
        <v>CAIXA 087</v>
      </c>
    </row>
    <row r="158" spans="1:3" x14ac:dyDescent="0.25">
      <c r="A158" s="1" t="s">
        <v>1315</v>
      </c>
      <c r="B158">
        <f t="shared" si="2"/>
        <v>16298713</v>
      </c>
      <c r="C158" t="str">
        <f>VLOOKUP(A158,inusmos_desc!$A:$B,2,0)</f>
        <v>HUILE JOJOBA</v>
      </c>
    </row>
    <row r="159" spans="1:3" x14ac:dyDescent="0.25">
      <c r="A159" s="1" t="s">
        <v>1316</v>
      </c>
      <c r="B159">
        <f t="shared" si="2"/>
        <v>16298714</v>
      </c>
      <c r="C159" t="str">
        <f>VLOOKUP(A159,inusmos_desc!$A:$B,2,0)</f>
        <v>KARITE BEURRE SB45</v>
      </c>
    </row>
    <row r="160" spans="1:3" x14ac:dyDescent="0.25">
      <c r="A160" s="1" t="s">
        <v>1317</v>
      </c>
      <c r="B160">
        <f t="shared" si="2"/>
        <v>16298715</v>
      </c>
      <c r="C160" t="str">
        <f>VLOOKUP(A160,inusmos_desc!$A:$B,2,0)</f>
        <v>PARFUM ADELINE 84A</v>
      </c>
    </row>
    <row r="161" spans="1:3" x14ac:dyDescent="0.25">
      <c r="A161" s="1" t="s">
        <v>127</v>
      </c>
      <c r="B161">
        <f t="shared" si="2"/>
        <v>16298716</v>
      </c>
      <c r="C161" t="str">
        <f>VLOOKUP(A161,inusmos_desc!$A:$B,2,0)</f>
        <v>CARTUCHO SUAVIE SABONETE BARRA 80G DW</v>
      </c>
    </row>
    <row r="162" spans="1:3" x14ac:dyDescent="0.25">
      <c r="A162" s="1" t="s">
        <v>129</v>
      </c>
      <c r="B162">
        <f t="shared" si="2"/>
        <v>16298717</v>
      </c>
      <c r="C162" t="str">
        <f>VLOOKUP(A162,inusmos_desc!$A:$B,2,0)</f>
        <v>GRANEL ACTINE LOÇÃO ADSTRINGENTE</v>
      </c>
    </row>
    <row r="163" spans="1:3" x14ac:dyDescent="0.25">
      <c r="A163" s="1" t="s">
        <v>1320</v>
      </c>
      <c r="B163">
        <f t="shared" si="2"/>
        <v>16298718</v>
      </c>
      <c r="C163" t="str">
        <f>VLOOKUP(A163,inusmos_desc!$A:$B,2,0)</f>
        <v>FRASCO ACTINE LOCAO ADSTR.</v>
      </c>
    </row>
    <row r="164" spans="1:3" x14ac:dyDescent="0.25">
      <c r="A164" s="1" t="s">
        <v>1322</v>
      </c>
      <c r="B164">
        <f t="shared" si="2"/>
        <v>16298719</v>
      </c>
      <c r="C164" t="str">
        <f>VLOOKUP(A164,inusmos_desc!$A:$B,2,0)</f>
        <v>TAMPA ACTINE LOCAO ADSTR.</v>
      </c>
    </row>
    <row r="165" spans="1:3" x14ac:dyDescent="0.25">
      <c r="A165" s="1" t="s">
        <v>1323</v>
      </c>
      <c r="B165">
        <f t="shared" si="2"/>
        <v>16298720</v>
      </c>
      <c r="C165" t="str">
        <f>VLOOKUP(A165,inusmos_desc!$A:$B,2,0)</f>
        <v>CAIXA 040</v>
      </c>
    </row>
    <row r="166" spans="1:3" x14ac:dyDescent="0.25">
      <c r="A166" s="1" t="s">
        <v>1325</v>
      </c>
      <c r="B166">
        <f t="shared" si="2"/>
        <v>16298721</v>
      </c>
      <c r="C166" t="str">
        <f>VLOOKUP(A166,inusmos_desc!$A:$B,2,0)</f>
        <v>ROTULO ACTINE FREE SAB LIQ</v>
      </c>
    </row>
    <row r="167" spans="1:3" x14ac:dyDescent="0.25">
      <c r="A167" s="1" t="s">
        <v>1327</v>
      </c>
      <c r="B167">
        <f t="shared" si="2"/>
        <v>16298722</v>
      </c>
      <c r="C167" t="str">
        <f>VLOOKUP(A167,inusmos_desc!$A:$B,2,0)</f>
        <v>CONTRARROTULO ACTINE FREE SAB</v>
      </c>
    </row>
    <row r="168" spans="1:3" x14ac:dyDescent="0.25">
      <c r="A168" s="1" t="s">
        <v>1328</v>
      </c>
      <c r="B168">
        <f t="shared" si="2"/>
        <v>16298723</v>
      </c>
      <c r="C168" t="str">
        <f>VLOOKUP(A168,inusmos_desc!$A:$B,2,0)</f>
        <v>FRASCO ACTINE FREE 1400ML</v>
      </c>
    </row>
    <row r="169" spans="1:3" x14ac:dyDescent="0.25">
      <c r="A169" s="1" t="s">
        <v>1272</v>
      </c>
      <c r="B169">
        <f t="shared" si="2"/>
        <v>16298724</v>
      </c>
      <c r="C169" t="str">
        <f>VLOOKUP(A169,inusmos_desc!$A:$B,2,0)</f>
        <v>GRANEL ACTINE FREE SAB LIQ</v>
      </c>
    </row>
    <row r="170" spans="1:3" x14ac:dyDescent="0.25">
      <c r="A170" s="1" t="s">
        <v>1331</v>
      </c>
      <c r="B170">
        <f t="shared" si="2"/>
        <v>16298725</v>
      </c>
      <c r="C170" t="str">
        <f>VLOOKUP(A170,inusmos_desc!$A:$B,2,0)</f>
        <v>CARTUCHO ACTINE FREE 80G</v>
      </c>
    </row>
    <row r="171" spans="1:3" x14ac:dyDescent="0.25">
      <c r="A171" s="1" t="s">
        <v>1334</v>
      </c>
      <c r="B171">
        <f t="shared" si="2"/>
        <v>16298726</v>
      </c>
      <c r="C171" t="str">
        <f>VLOOKUP(A171,inusmos_desc!$A:$B,2,0)</f>
        <v>NANO MELALEUCA</v>
      </c>
    </row>
    <row r="172" spans="1:3" x14ac:dyDescent="0.25">
      <c r="A172" s="1" t="s">
        <v>1260</v>
      </c>
      <c r="B172">
        <f t="shared" si="2"/>
        <v>16298727</v>
      </c>
      <c r="C172" t="str">
        <f>VLOOKUP(A172,inusmos_desc!$A:$B,2,0)</f>
        <v>GRANEL ACTINE TRAT ANTIACNE</v>
      </c>
    </row>
    <row r="173" spans="1:3" x14ac:dyDescent="0.25">
      <c r="A173" s="1" t="s">
        <v>1336</v>
      </c>
      <c r="B173">
        <f t="shared" si="2"/>
        <v>16298728</v>
      </c>
      <c r="C173" t="str">
        <f>VLOOKUP(A173,inusmos_desc!$A:$B,2,0)</f>
        <v>BISNAGA ACTINE TRAT 30G</v>
      </c>
    </row>
    <row r="174" spans="1:3" x14ac:dyDescent="0.25">
      <c r="A174" s="1" t="s">
        <v>144</v>
      </c>
      <c r="B174">
        <f t="shared" si="2"/>
        <v>16298729</v>
      </c>
      <c r="C174" t="str">
        <f>VLOOKUP(A174,inusmos_desc!$A:$B,2,0)</f>
        <v>CAIXA 500</v>
      </c>
    </row>
    <row r="175" spans="1:3" x14ac:dyDescent="0.25">
      <c r="A175" s="1" t="s">
        <v>146</v>
      </c>
      <c r="B175">
        <f t="shared" si="2"/>
        <v>16298730</v>
      </c>
      <c r="C175" t="str">
        <f>VLOOKUP(A175,inusmos_desc!$A:$B,2,0)</f>
        <v>CARTUCHO ACTINE  TRAT GEL ANTIACNE 30G P DW</v>
      </c>
    </row>
    <row r="176" spans="1:3" x14ac:dyDescent="0.25">
      <c r="A176" s="1" t="s">
        <v>147</v>
      </c>
      <c r="B176">
        <f t="shared" si="2"/>
        <v>16298731</v>
      </c>
      <c r="C176" t="str">
        <f>VLOOKUP(A176,inusmos_desc!$A:$B,2,0)</f>
        <v>GRANEL DOCTAR SHAMPOO</v>
      </c>
    </row>
    <row r="177" spans="1:3" x14ac:dyDescent="0.25">
      <c r="A177" s="1" t="s">
        <v>1339</v>
      </c>
      <c r="B177">
        <f t="shared" si="2"/>
        <v>16298732</v>
      </c>
      <c r="C177" t="str">
        <f>VLOOKUP(A177,inusmos_desc!$A:$B,2,0)</f>
        <v>FRASCO PET AMBAR DOCTAR 140ML</v>
      </c>
    </row>
    <row r="178" spans="1:3" x14ac:dyDescent="0.25">
      <c r="A178" s="1" t="s">
        <v>1341</v>
      </c>
      <c r="B178">
        <f t="shared" si="2"/>
        <v>16298733</v>
      </c>
      <c r="C178" t="str">
        <f>VLOOKUP(A178,inusmos_desc!$A:$B,2,0)</f>
        <v>TAMPA FLIP TOP BRANCA DOCTAR</v>
      </c>
    </row>
    <row r="179" spans="1:3" x14ac:dyDescent="0.25">
      <c r="A179" s="1" t="s">
        <v>1342</v>
      </c>
      <c r="B179">
        <f t="shared" si="2"/>
        <v>16298734</v>
      </c>
      <c r="C179" t="str">
        <f>VLOOKUP(A179,inusmos_desc!$A:$B,2,0)</f>
        <v>ROT DOCTAR SHAMPOO FRENTE</v>
      </c>
    </row>
    <row r="180" spans="1:3" x14ac:dyDescent="0.25">
      <c r="A180" s="1" t="s">
        <v>1344</v>
      </c>
      <c r="B180">
        <f t="shared" si="2"/>
        <v>16298735</v>
      </c>
      <c r="C180" t="str">
        <f>VLOOKUP(A180,inusmos_desc!$A:$B,2,0)</f>
        <v>ROT DOCTAR SHAMPOO VERSO</v>
      </c>
    </row>
    <row r="181" spans="1:3" x14ac:dyDescent="0.25">
      <c r="A181" s="1" t="s">
        <v>1345</v>
      </c>
      <c r="B181">
        <f t="shared" si="2"/>
        <v>16298736</v>
      </c>
      <c r="C181" t="str">
        <f>VLOOKUP(A181,inusmos_desc!$A:$B,2,0)</f>
        <v>CAIXA  140ml SHAMPOO</v>
      </c>
    </row>
    <row r="182" spans="1:3" x14ac:dyDescent="0.25">
      <c r="A182" s="1" t="s">
        <v>150</v>
      </c>
      <c r="B182">
        <f t="shared" si="2"/>
        <v>16298737</v>
      </c>
      <c r="C182" t="str">
        <f>VLOOKUP(A182,inusmos_desc!$A:$B,2,0)</f>
        <v>GRANEL DOCTAR CREME</v>
      </c>
    </row>
    <row r="183" spans="1:3" x14ac:dyDescent="0.25">
      <c r="A183" s="1" t="s">
        <v>1347</v>
      </c>
      <c r="B183">
        <f t="shared" si="2"/>
        <v>16298738</v>
      </c>
      <c r="C183" t="str">
        <f>VLOOKUP(A183,inusmos_desc!$A:$B,2,0)</f>
        <v>BISNAGA DOCTAR CREME 100ML</v>
      </c>
    </row>
    <row r="184" spans="1:3" x14ac:dyDescent="0.25">
      <c r="A184" s="1" t="s">
        <v>1349</v>
      </c>
      <c r="B184">
        <f t="shared" si="2"/>
        <v>16298739</v>
      </c>
      <c r="C184" t="str">
        <f>VLOOKUP(A184,inusmos_desc!$A:$B,2,0)</f>
        <v>CARTUCHO DOCTAR CREME 100ML</v>
      </c>
    </row>
    <row r="185" spans="1:3" x14ac:dyDescent="0.25">
      <c r="A185" s="1" t="s">
        <v>1352</v>
      </c>
      <c r="B185">
        <f t="shared" si="2"/>
        <v>16298740</v>
      </c>
      <c r="C185" t="str">
        <f>VLOOKUP(A185,inusmos_desc!$A:$B,2,0)</f>
        <v>CLEANANCE GEL GRANEL N.FORMULA</v>
      </c>
    </row>
    <row r="186" spans="1:3" x14ac:dyDescent="0.25">
      <c r="A186" s="1" t="s">
        <v>1353</v>
      </c>
      <c r="B186">
        <f t="shared" si="2"/>
        <v>16298741</v>
      </c>
      <c r="C186" t="str">
        <f>VLOOKUP(A186,inusmos_desc!$A:$B,2,0)</f>
        <v>BISNAGA CLEANANCE 60ML</v>
      </c>
    </row>
    <row r="187" spans="1:3" x14ac:dyDescent="0.25">
      <c r="A187" s="1" t="s">
        <v>154</v>
      </c>
      <c r="B187">
        <f t="shared" si="2"/>
        <v>16298742</v>
      </c>
      <c r="C187" t="str">
        <f>VLOOKUP(A187,inusmos_desc!$A:$B,2,0)</f>
        <v>CAIXA AV 060</v>
      </c>
    </row>
    <row r="188" spans="1:3" x14ac:dyDescent="0.25">
      <c r="A188" s="1" t="s">
        <v>1356</v>
      </c>
      <c r="B188">
        <f t="shared" si="2"/>
        <v>16298743</v>
      </c>
      <c r="C188" t="str">
        <f>VLOOKUP(A188,inusmos_desc!$A:$B,2,0)</f>
        <v>LAURATE GLYCERIL</v>
      </c>
    </row>
    <row r="189" spans="1:3" x14ac:dyDescent="0.25">
      <c r="A189" s="1" t="s">
        <v>1358</v>
      </c>
      <c r="B189">
        <f t="shared" si="2"/>
        <v>16298744</v>
      </c>
      <c r="C189" t="str">
        <f>VLOOKUP(A189,inusmos_desc!$A:$B,2,0)</f>
        <v>FIRST DAY HYPO 448941</v>
      </c>
    </row>
    <row r="190" spans="1:3" x14ac:dyDescent="0.25">
      <c r="A190" s="1" t="s">
        <v>160</v>
      </c>
      <c r="B190">
        <f t="shared" si="2"/>
        <v>16298745</v>
      </c>
      <c r="C190" t="str">
        <f>VLOOKUP(A190,inusmos_desc!$A:$B,2,0)</f>
        <v>FLOW PACK SABONETE BARRA 80G AV DW DU</v>
      </c>
    </row>
    <row r="191" spans="1:3" x14ac:dyDescent="0.25">
      <c r="A191" s="1" t="s">
        <v>162</v>
      </c>
      <c r="B191">
        <f t="shared" si="2"/>
        <v>16298746</v>
      </c>
      <c r="C191" t="str">
        <f>VLOOKUP(A191,inusmos_desc!$A:$B,2,0)</f>
        <v>CARTUCHO CLEANANCE SAB BARRA</v>
      </c>
    </row>
    <row r="192" spans="1:3" x14ac:dyDescent="0.25">
      <c r="A192" s="1" t="s">
        <v>1360</v>
      </c>
      <c r="B192">
        <f t="shared" si="2"/>
        <v>16298747</v>
      </c>
      <c r="C192" t="str">
        <f>VLOOKUP(A192,inusmos_desc!$A:$B,2,0)</f>
        <v>BULA AVENE CLEAANCE BARRA</v>
      </c>
    </row>
    <row r="193" spans="1:3" x14ac:dyDescent="0.25">
      <c r="A193" s="1" t="s">
        <v>163</v>
      </c>
      <c r="B193">
        <f t="shared" si="2"/>
        <v>16298748</v>
      </c>
      <c r="C193" t="str">
        <f>VLOOKUP(A193,inusmos_desc!$A:$B,2,0)</f>
        <v>CAIXA AV CLEANANCE SAB BARRA 80G</v>
      </c>
    </row>
    <row r="194" spans="1:3" x14ac:dyDescent="0.25">
      <c r="A194" s="1" t="s">
        <v>165</v>
      </c>
      <c r="B194">
        <f t="shared" si="2"/>
        <v>16298749</v>
      </c>
      <c r="C194" t="str">
        <f>VLOOKUP(A194,inusmos_desc!$A:$B,2,0)</f>
        <v>GRANEL KLINSE SHAMPOO</v>
      </c>
    </row>
    <row r="195" spans="1:3" x14ac:dyDescent="0.25">
      <c r="A195" s="1" t="s">
        <v>1362</v>
      </c>
      <c r="B195">
        <f t="shared" ref="B195:B258" si="3">+B194+1</f>
        <v>16298750</v>
      </c>
      <c r="C195" t="str">
        <f>VLOOKUP(A195,inusmos_desc!$A:$B,2,0)</f>
        <v>FRASCO PET AZUL KLINSE 140ML</v>
      </c>
    </row>
    <row r="196" spans="1:3" x14ac:dyDescent="0.25">
      <c r="A196" s="1" t="s">
        <v>1363</v>
      </c>
      <c r="B196">
        <f t="shared" si="3"/>
        <v>16298751</v>
      </c>
      <c r="C196" t="str">
        <f>VLOOKUP(A196,inusmos_desc!$A:$B,2,0)</f>
        <v>TAMPA FLIP TOP AZUL KLINSE</v>
      </c>
    </row>
    <row r="197" spans="1:3" x14ac:dyDescent="0.25">
      <c r="A197" s="1" t="s">
        <v>1364</v>
      </c>
      <c r="B197">
        <f t="shared" si="3"/>
        <v>16298752</v>
      </c>
      <c r="C197" t="str">
        <f>VLOOKUP(A197,inusmos_desc!$A:$B,2,0)</f>
        <v>ROT KLINSE SHAMPOO FRENTE</v>
      </c>
    </row>
    <row r="198" spans="1:3" x14ac:dyDescent="0.25">
      <c r="A198" s="1" t="s">
        <v>1365</v>
      </c>
      <c r="B198">
        <f t="shared" si="3"/>
        <v>16298753</v>
      </c>
      <c r="C198" t="str">
        <f>VLOOKUP(A198,inusmos_desc!$A:$B,2,0)</f>
        <v>ROT KLINSE SHAMPOO VERSO</v>
      </c>
    </row>
    <row r="199" spans="1:3" x14ac:dyDescent="0.25">
      <c r="A199" s="1" t="s">
        <v>166</v>
      </c>
      <c r="B199">
        <f t="shared" si="3"/>
        <v>16298754</v>
      </c>
      <c r="C199" t="str">
        <f>VLOOKUP(A199,inusmos_desc!$A:$B,2,0)</f>
        <v>GRANEL KLINSE SHAMPOO NEUTRO</v>
      </c>
    </row>
    <row r="200" spans="1:3" x14ac:dyDescent="0.25">
      <c r="A200" s="1" t="s">
        <v>1367</v>
      </c>
      <c r="B200">
        <f t="shared" si="3"/>
        <v>16298755</v>
      </c>
      <c r="C200" t="str">
        <f>VLOOKUP(A200,inusmos_desc!$A:$B,2,0)</f>
        <v>FRASCO PET BRANCO 140ML</v>
      </c>
    </row>
    <row r="201" spans="1:3" x14ac:dyDescent="0.25">
      <c r="A201" s="1" t="s">
        <v>1370</v>
      </c>
      <c r="B201">
        <f t="shared" si="3"/>
        <v>16298756</v>
      </c>
      <c r="C201" t="str">
        <f>VLOOKUP(A201,inusmos_desc!$A:$B,2,0)</f>
        <v>ROT KLINSE SHAMPOO NEUTRO FR</v>
      </c>
    </row>
    <row r="202" spans="1:3" x14ac:dyDescent="0.25">
      <c r="A202" s="1" t="s">
        <v>1371</v>
      </c>
      <c r="B202">
        <f t="shared" si="3"/>
        <v>16298757</v>
      </c>
      <c r="C202" t="str">
        <f>VLOOKUP(A202,inusmos_desc!$A:$B,2,0)</f>
        <v>ROT KLINSE SHAMPOO NEUTRO VER</v>
      </c>
    </row>
    <row r="203" spans="1:3" x14ac:dyDescent="0.25">
      <c r="A203" s="1" t="s">
        <v>1373</v>
      </c>
      <c r="B203">
        <f t="shared" si="3"/>
        <v>16298758</v>
      </c>
      <c r="C203" t="str">
        <f>VLOOKUP(A203,inusmos_desc!$A:$B,2,0)</f>
        <v>TRICLOROCARBANILIDA - TCC</v>
      </c>
    </row>
    <row r="204" spans="1:3" x14ac:dyDescent="0.25">
      <c r="A204" s="1" t="s">
        <v>177</v>
      </c>
      <c r="B204">
        <f t="shared" si="3"/>
        <v>16298759</v>
      </c>
      <c r="C204" t="str">
        <f>VLOOKUP(A204,inusmos_desc!$A:$B,2,0)</f>
        <v>CARTUCHO SOAPELLE  SABONETE BARRA 80G P DW</v>
      </c>
    </row>
    <row r="205" spans="1:3" x14ac:dyDescent="0.25">
      <c r="A205" s="1" t="s">
        <v>1376</v>
      </c>
      <c r="B205">
        <f t="shared" si="3"/>
        <v>16298760</v>
      </c>
      <c r="C205" t="str">
        <f>VLOOKUP(A205,inusmos_desc!$A:$B,2,0)</f>
        <v>MANTEIGA DE KARITE</v>
      </c>
    </row>
    <row r="206" spans="1:3" x14ac:dyDescent="0.25">
      <c r="A206" s="1" t="s">
        <v>1377</v>
      </c>
      <c r="B206">
        <f t="shared" si="3"/>
        <v>16298761</v>
      </c>
      <c r="C206" t="str">
        <f>VLOOKUP(A206,inusmos_desc!$A:$B,2,0)</f>
        <v>OLEO DE AMENDOAS</v>
      </c>
    </row>
    <row r="207" spans="1:3" x14ac:dyDescent="0.25">
      <c r="A207" s="1" t="s">
        <v>1378</v>
      </c>
      <c r="B207">
        <f t="shared" si="3"/>
        <v>16298762</v>
      </c>
      <c r="C207" t="str">
        <f>VLOOKUP(A207,inusmos_desc!$A:$B,2,0)</f>
        <v>AMIDO DE MILHO</v>
      </c>
    </row>
    <row r="208" spans="1:3" x14ac:dyDescent="0.25">
      <c r="A208" s="1" t="s">
        <v>1379</v>
      </c>
      <c r="B208">
        <f t="shared" si="3"/>
        <v>16298763</v>
      </c>
      <c r="C208" t="str">
        <f>VLOOKUP(A208,inusmos_desc!$A:$B,2,0)</f>
        <v>TITANIUM DIOXIDE</v>
      </c>
    </row>
    <row r="209" spans="1:3" x14ac:dyDescent="0.25">
      <c r="A209" s="1" t="s">
        <v>1380</v>
      </c>
      <c r="B209">
        <f t="shared" si="3"/>
        <v>16298764</v>
      </c>
      <c r="C209" t="str">
        <f>VLOOKUP(A209,inusmos_desc!$A:$B,2,0)</f>
        <v>PVP K-30</v>
      </c>
    </row>
    <row r="210" spans="1:3" x14ac:dyDescent="0.25">
      <c r="A210" s="1" t="s">
        <v>1381</v>
      </c>
      <c r="B210">
        <f t="shared" si="3"/>
        <v>16298765</v>
      </c>
      <c r="C210" t="str">
        <f>VLOOKUP(A210,inusmos_desc!$A:$B,2,0)</f>
        <v>PATIONIC 138C</v>
      </c>
    </row>
    <row r="211" spans="1:3" x14ac:dyDescent="0.25">
      <c r="A211" s="1" t="s">
        <v>1382</v>
      </c>
      <c r="B211">
        <f t="shared" si="3"/>
        <v>16298766</v>
      </c>
      <c r="C211" t="str">
        <f>VLOOKUP(A211,inusmos_desc!$A:$B,2,0)</f>
        <v>SODIUM COCOYL ISETHIONATE</v>
      </c>
    </row>
    <row r="212" spans="1:3" x14ac:dyDescent="0.25">
      <c r="A212" s="1" t="s">
        <v>1383</v>
      </c>
      <c r="B212">
        <f t="shared" si="3"/>
        <v>16298767</v>
      </c>
      <c r="C212" t="str">
        <f>VLOOKUP(A212,inusmos_desc!$A:$B,2,0)</f>
        <v>ANTI-OXIDANTE FENOLICO</v>
      </c>
    </row>
    <row r="213" spans="1:3" x14ac:dyDescent="0.25">
      <c r="A213" s="1" t="s">
        <v>1385</v>
      </c>
      <c r="B213">
        <f t="shared" si="3"/>
        <v>16298768</v>
      </c>
      <c r="C213" t="str">
        <f>VLOOKUP(A213,inusmos_desc!$A:$B,2,0)</f>
        <v>D PANTENOL</v>
      </c>
    </row>
    <row r="214" spans="1:3" x14ac:dyDescent="0.25">
      <c r="A214" s="1" t="s">
        <v>1386</v>
      </c>
      <c r="B214">
        <f t="shared" si="3"/>
        <v>16298769</v>
      </c>
      <c r="C214" t="str">
        <f>VLOOKUP(A214,inusmos_desc!$A:$B,2,0)</f>
        <v>CERAMIDAS SH1%</v>
      </c>
    </row>
    <row r="215" spans="1:3" x14ac:dyDescent="0.25">
      <c r="A215" s="1" t="s">
        <v>1387</v>
      </c>
      <c r="B215">
        <f t="shared" si="3"/>
        <v>16298770</v>
      </c>
      <c r="C215" t="str">
        <f>VLOOKUP(A215,inusmos_desc!$A:$B,2,0)</f>
        <v>CART SKINSEC SAB BARRA 80G NF</v>
      </c>
    </row>
    <row r="216" spans="1:3" x14ac:dyDescent="0.25">
      <c r="A216" s="1" t="s">
        <v>186</v>
      </c>
      <c r="B216">
        <f t="shared" si="3"/>
        <v>16298771</v>
      </c>
      <c r="C216" t="str">
        <f>VLOOKUP(A216,inusmos_desc!$A:$B,2,0)</f>
        <v>GRANEL SKINSEC SAB LIQ</v>
      </c>
    </row>
    <row r="217" spans="1:3" x14ac:dyDescent="0.25">
      <c r="A217" s="1" t="s">
        <v>1392</v>
      </c>
      <c r="B217">
        <f t="shared" si="3"/>
        <v>16298772</v>
      </c>
      <c r="C217" t="str">
        <f>VLOOKUP(A217,inusmos_desc!$A:$B,2,0)</f>
        <v>ROT SKIN SEC SAB. LIQ. FRENTE</v>
      </c>
    </row>
    <row r="218" spans="1:3" x14ac:dyDescent="0.25">
      <c r="A218" s="1" t="s">
        <v>1394</v>
      </c>
      <c r="B218">
        <f t="shared" si="3"/>
        <v>16298773</v>
      </c>
      <c r="C218" t="str">
        <f>VLOOKUP(A218,inusmos_desc!$A:$B,2,0)</f>
        <v>ROT SKIN SEC SAB. LIQ. VERSO</v>
      </c>
    </row>
    <row r="219" spans="1:3" x14ac:dyDescent="0.25">
      <c r="A219" s="1" t="s">
        <v>1143</v>
      </c>
      <c r="B219">
        <f t="shared" si="3"/>
        <v>16298774</v>
      </c>
      <c r="C219" t="str">
        <f>VLOOKUP(A219,inusmos_desc!$A:$B,2,0)</f>
        <v>SKIN SEC LOÇAO HIDRAT. GRANEL</v>
      </c>
    </row>
    <row r="220" spans="1:3" x14ac:dyDescent="0.25">
      <c r="A220" s="1" t="s">
        <v>1396</v>
      </c>
      <c r="B220">
        <f t="shared" si="3"/>
        <v>16298775</v>
      </c>
      <c r="C220" t="str">
        <f>VLOOKUP(A220,inusmos_desc!$A:$B,2,0)</f>
        <v>VALV. ARC8 PLP24/410 BCA 240ML</v>
      </c>
    </row>
    <row r="221" spans="1:3" x14ac:dyDescent="0.25">
      <c r="A221" s="1" t="s">
        <v>1397</v>
      </c>
      <c r="B221">
        <f t="shared" si="3"/>
        <v>16298776</v>
      </c>
      <c r="C221" t="str">
        <f>VLOOKUP(A221,inusmos_desc!$A:$B,2,0)</f>
        <v>RÓTULO SKIN SEC LOÇAO HIDRATAN</v>
      </c>
    </row>
    <row r="222" spans="1:3" x14ac:dyDescent="0.25">
      <c r="A222" s="1" t="s">
        <v>1399</v>
      </c>
      <c r="B222">
        <f t="shared" si="3"/>
        <v>16298777</v>
      </c>
      <c r="C222" t="str">
        <f>VLOOKUP(A222,inusmos_desc!$A:$B,2,0)</f>
        <v>CONTRA RÓTULO SKIN SEC LOÇAO</v>
      </c>
    </row>
    <row r="223" spans="1:3" x14ac:dyDescent="0.25">
      <c r="A223" s="1" t="s">
        <v>1400</v>
      </c>
      <c r="B223">
        <f t="shared" si="3"/>
        <v>16298778</v>
      </c>
      <c r="C223" t="str">
        <f>VLOOKUP(A223,inusmos_desc!$A:$B,2,0)</f>
        <v>FRASCO PET BRANCO 240ML</v>
      </c>
    </row>
    <row r="224" spans="1:3" x14ac:dyDescent="0.25">
      <c r="A224" s="1" t="s">
        <v>1403</v>
      </c>
      <c r="B224">
        <f t="shared" si="3"/>
        <v>16298779</v>
      </c>
      <c r="C224" t="str">
        <f>VLOOKUP(A224,inusmos_desc!$A:$B,2,0)</f>
        <v>TAMPA FLIP TOP BRANCA</v>
      </c>
    </row>
    <row r="225" spans="1:3" x14ac:dyDescent="0.25">
      <c r="A225" s="1" t="s">
        <v>1405</v>
      </c>
      <c r="B225">
        <f t="shared" si="3"/>
        <v>16298780</v>
      </c>
      <c r="C225" t="str">
        <f>VLOOKUP(A225,inusmos_desc!$A:$B,2,0)</f>
        <v>RÓTULO SKIN SEC LOÇAO HIDRATAN</v>
      </c>
    </row>
    <row r="226" spans="1:3" x14ac:dyDescent="0.25">
      <c r="A226" s="1" t="s">
        <v>1407</v>
      </c>
      <c r="B226">
        <f t="shared" si="3"/>
        <v>16298781</v>
      </c>
      <c r="C226" t="str">
        <f>VLOOKUP(A226,inusmos_desc!$A:$B,2,0)</f>
        <v>CONTRA RÓTULO SKIN SEC LOÇÃO</v>
      </c>
    </row>
    <row r="227" spans="1:3" x14ac:dyDescent="0.25">
      <c r="A227" s="1" t="s">
        <v>1408</v>
      </c>
      <c r="B227">
        <f t="shared" si="3"/>
        <v>16298782</v>
      </c>
      <c r="C227" t="str">
        <f>VLOOKUP(A227,inusmos_desc!$A:$B,2,0)</f>
        <v>FRS PET BRANCO OPACO 60ML</v>
      </c>
    </row>
    <row r="228" spans="1:3" x14ac:dyDescent="0.25">
      <c r="A228" s="1" t="s">
        <v>192</v>
      </c>
      <c r="B228">
        <f t="shared" si="3"/>
        <v>16298783</v>
      </c>
      <c r="C228" t="str">
        <f>VLOOKUP(A228,inusmos_desc!$A:$B,2,0)</f>
        <v>INDUST. SKIN SEC LOÇÃO 60 ML</v>
      </c>
    </row>
    <row r="229" spans="1:3" x14ac:dyDescent="0.25">
      <c r="A229" s="1" t="s">
        <v>193</v>
      </c>
      <c r="B229">
        <f t="shared" si="3"/>
        <v>16298784</v>
      </c>
      <c r="C229" t="str">
        <f>VLOOKUP(A229,inusmos_desc!$A:$B,2,0)</f>
        <v>GRANEL SUAVIE SAB LIQUIDO</v>
      </c>
    </row>
    <row r="230" spans="1:3" x14ac:dyDescent="0.25">
      <c r="A230" s="1" t="s">
        <v>194</v>
      </c>
      <c r="B230">
        <f t="shared" si="3"/>
        <v>16298785</v>
      </c>
      <c r="C230" t="str">
        <f>VLOOKUP(A230,inusmos_desc!$A:$B,2,0)</f>
        <v>ROTULO SUAVIE SAB LIQ 140ML P DW</v>
      </c>
    </row>
    <row r="231" spans="1:3" x14ac:dyDescent="0.25">
      <c r="A231" s="1" t="s">
        <v>195</v>
      </c>
      <c r="B231">
        <f t="shared" si="3"/>
        <v>16298786</v>
      </c>
      <c r="C231" t="str">
        <f>VLOOKUP(A231,inusmos_desc!$A:$B,2,0)</f>
        <v>CONTRA ROTULO SUAVIE SAB LIQ 140ML P DW</v>
      </c>
    </row>
    <row r="232" spans="1:3" x14ac:dyDescent="0.25">
      <c r="A232" s="1" t="s">
        <v>197</v>
      </c>
      <c r="B232">
        <f t="shared" si="3"/>
        <v>16298787</v>
      </c>
      <c r="C232" t="str">
        <f>VLOOKUP(A232,inusmos_desc!$A:$B,2,0)</f>
        <v>BISNAGA SUAVIE SAB LIQ  60ML P DW</v>
      </c>
    </row>
    <row r="233" spans="1:3" x14ac:dyDescent="0.25">
      <c r="A233" s="1" t="s">
        <v>1413</v>
      </c>
      <c r="B233">
        <f t="shared" si="3"/>
        <v>16298788</v>
      </c>
      <c r="C233" t="str">
        <f>VLOOKUP(A233,inusmos_desc!$A:$B,2,0)</f>
        <v>ROTULO SKINSEC LOC SEM PERFUME</v>
      </c>
    </row>
    <row r="234" spans="1:3" x14ac:dyDescent="0.25">
      <c r="A234" s="1" t="s">
        <v>1414</v>
      </c>
      <c r="B234">
        <f t="shared" si="3"/>
        <v>16298789</v>
      </c>
      <c r="C234" t="str">
        <f>VLOOKUP(A234,inusmos_desc!$A:$B,2,0)</f>
        <v>C ROTULO SKINSEC LOC S/PERFUME</v>
      </c>
    </row>
    <row r="235" spans="1:3" x14ac:dyDescent="0.25">
      <c r="A235" s="1" t="s">
        <v>1162</v>
      </c>
      <c r="B235">
        <f t="shared" si="3"/>
        <v>16298790</v>
      </c>
      <c r="C235" t="str">
        <f>VLOOKUP(A235,inusmos_desc!$A:$B,2,0)</f>
        <v>SKINSEC LOC SEM PERFUME GRANEL</v>
      </c>
    </row>
    <row r="236" spans="1:3" x14ac:dyDescent="0.25">
      <c r="A236" s="1" t="s">
        <v>1416</v>
      </c>
      <c r="B236">
        <f t="shared" si="3"/>
        <v>16298791</v>
      </c>
      <c r="C236" t="str">
        <f>VLOOKUP(A236,inusmos_desc!$A:$B,2,0)</f>
        <v>BISNAGA SUNSAFE FPS30</v>
      </c>
    </row>
    <row r="237" spans="1:3" x14ac:dyDescent="0.25">
      <c r="A237" s="1" t="s">
        <v>1418</v>
      </c>
      <c r="B237">
        <f t="shared" si="3"/>
        <v>16298792</v>
      </c>
      <c r="C237" t="str">
        <f>VLOOKUP(A237,inusmos_desc!$A:$B,2,0)</f>
        <v>CART SUNSAFE FPS30</v>
      </c>
    </row>
    <row r="238" spans="1:3" x14ac:dyDescent="0.25">
      <c r="A238" s="1" t="s">
        <v>1259</v>
      </c>
      <c r="B238">
        <f t="shared" si="3"/>
        <v>16298793</v>
      </c>
      <c r="C238" t="str">
        <f>VLOOKUP(A238,inusmos_desc!$A:$B,2,0)</f>
        <v>SUNSAFE P. SOLAR FPS30 GRANEL</v>
      </c>
    </row>
    <row r="239" spans="1:3" x14ac:dyDescent="0.25">
      <c r="A239" s="1" t="s">
        <v>1421</v>
      </c>
      <c r="B239">
        <f t="shared" si="3"/>
        <v>16298794</v>
      </c>
      <c r="C239" t="str">
        <f>VLOOKUP(A239,inusmos_desc!$A:$B,2,0)</f>
        <v>BISNAGA SUNSAFE FPS60 COLOR</v>
      </c>
    </row>
    <row r="240" spans="1:3" x14ac:dyDescent="0.25">
      <c r="A240" s="1" t="s">
        <v>1423</v>
      </c>
      <c r="B240">
        <f t="shared" si="3"/>
        <v>16298795</v>
      </c>
      <c r="C240" t="str">
        <f>VLOOKUP(A240,inusmos_desc!$A:$B,2,0)</f>
        <v>CART SUNSAFE FPS60 COLOR</v>
      </c>
    </row>
    <row r="241" spans="1:3" x14ac:dyDescent="0.25">
      <c r="A241" s="1" t="s">
        <v>1241</v>
      </c>
      <c r="B241">
        <f t="shared" si="3"/>
        <v>16298796</v>
      </c>
      <c r="C241" t="str">
        <f>VLOOKUP(A241,inusmos_desc!$A:$B,2,0)</f>
        <v>SUNSAFE COLOR PS FPS60 GRANEL</v>
      </c>
    </row>
    <row r="242" spans="1:3" x14ac:dyDescent="0.25">
      <c r="A242" s="1" t="s">
        <v>1426</v>
      </c>
      <c r="B242">
        <f t="shared" si="3"/>
        <v>16298797</v>
      </c>
      <c r="C242" t="str">
        <f>VLOOKUP(A242,inusmos_desc!$A:$B,2,0)</f>
        <v>BISNAGA SUNSAFE FPS30 COLOR</v>
      </c>
    </row>
    <row r="243" spans="1:3" x14ac:dyDescent="0.25">
      <c r="A243" s="1" t="s">
        <v>1428</v>
      </c>
      <c r="B243">
        <f t="shared" si="3"/>
        <v>16298798</v>
      </c>
      <c r="C243" t="str">
        <f>VLOOKUP(A243,inusmos_desc!$A:$B,2,0)</f>
        <v>CART SUNSAFE FPS30 COLOR</v>
      </c>
    </row>
    <row r="244" spans="1:3" x14ac:dyDescent="0.25">
      <c r="A244" s="1" t="s">
        <v>1258</v>
      </c>
      <c r="B244">
        <f t="shared" si="3"/>
        <v>16298799</v>
      </c>
      <c r="C244" t="str">
        <f>VLOOKUP(A244,inusmos_desc!$A:$B,2,0)</f>
        <v>SUNSAFE COLOR PS FPS30 GRANEL</v>
      </c>
    </row>
    <row r="245" spans="1:3" x14ac:dyDescent="0.25">
      <c r="A245" s="1" t="s">
        <v>1431</v>
      </c>
      <c r="B245">
        <f t="shared" si="3"/>
        <v>16298800</v>
      </c>
      <c r="C245" t="str">
        <f>VLOOKUP(A245,inusmos_desc!$A:$B,2,0)</f>
        <v>AVENE SOLAR FPS30 COR GRANEL</v>
      </c>
    </row>
    <row r="246" spans="1:3" x14ac:dyDescent="0.25">
      <c r="A246" s="1" t="s">
        <v>1432</v>
      </c>
      <c r="B246">
        <f t="shared" si="3"/>
        <v>16298801</v>
      </c>
      <c r="C246" t="str">
        <f>VLOOKUP(A246,inusmos_desc!$A:$B,2,0)</f>
        <v>BISNAGA AVENE SOLAR FPS 30 TT</v>
      </c>
    </row>
    <row r="247" spans="1:3" x14ac:dyDescent="0.25">
      <c r="A247" s="1" t="s">
        <v>1434</v>
      </c>
      <c r="B247">
        <f t="shared" si="3"/>
        <v>16298802</v>
      </c>
      <c r="C247" t="str">
        <f>VLOOKUP(A247,inusmos_desc!$A:$B,2,0)</f>
        <v>CART AV SOLAR TQ FPS30 COLOR</v>
      </c>
    </row>
    <row r="248" spans="1:3" x14ac:dyDescent="0.25">
      <c r="A248" s="1" t="s">
        <v>206</v>
      </c>
      <c r="B248">
        <f t="shared" si="3"/>
        <v>16298803</v>
      </c>
      <c r="C248" t="str">
        <f>VLOOKUP(A248,inusmos_desc!$A:$B,2,0)</f>
        <v>CAIXA PAP SOLARES</v>
      </c>
    </row>
    <row r="249" spans="1:3" x14ac:dyDescent="0.25">
      <c r="A249" s="1" t="s">
        <v>1436</v>
      </c>
      <c r="B249">
        <f t="shared" si="3"/>
        <v>16298804</v>
      </c>
      <c r="C249" t="str">
        <f>VLOOKUP(A249,inusmos_desc!$A:$B,2,0)</f>
        <v>BULA AVENE SOLAR</v>
      </c>
    </row>
    <row r="250" spans="1:3" x14ac:dyDescent="0.25">
      <c r="A250" s="1" t="s">
        <v>1438</v>
      </c>
      <c r="B250">
        <f t="shared" si="3"/>
        <v>16298805</v>
      </c>
      <c r="C250" t="str">
        <f>VLOOKUP(A250,inusmos_desc!$A:$B,2,0)</f>
        <v>AVENE SOLAR FPS30 GRANEL</v>
      </c>
    </row>
    <row r="251" spans="1:3" x14ac:dyDescent="0.25">
      <c r="A251" s="1" t="s">
        <v>1439</v>
      </c>
      <c r="B251">
        <f t="shared" si="3"/>
        <v>16298806</v>
      </c>
      <c r="C251" t="str">
        <f>VLOOKUP(A251,inusmos_desc!$A:$B,2,0)</f>
        <v>BISNAGA AVENE SOLAR FPS 30</v>
      </c>
    </row>
    <row r="252" spans="1:3" x14ac:dyDescent="0.25">
      <c r="A252" s="1" t="s">
        <v>1440</v>
      </c>
      <c r="B252">
        <f t="shared" si="3"/>
        <v>16298807</v>
      </c>
      <c r="C252" t="str">
        <f>VLOOKUP(A252,inusmos_desc!$A:$B,2,0)</f>
        <v>CART AV SOLAR TQ FPS30</v>
      </c>
    </row>
    <row r="253" spans="1:3" x14ac:dyDescent="0.25">
      <c r="A253" s="1" t="s">
        <v>1442</v>
      </c>
      <c r="B253">
        <f t="shared" si="3"/>
        <v>16298808</v>
      </c>
      <c r="C253" t="str">
        <f>VLOOKUP(A253,inusmos_desc!$A:$B,2,0)</f>
        <v>ESTRUT. ACTINE PROTETOR SOLAR</v>
      </c>
    </row>
    <row r="254" spans="1:3" x14ac:dyDescent="0.25">
      <c r="A254" s="1" t="s">
        <v>1443</v>
      </c>
      <c r="B254">
        <f t="shared" si="3"/>
        <v>16298809</v>
      </c>
      <c r="C254" t="str">
        <f>VLOOKUP(A254,inusmos_desc!$A:$B,2,0)</f>
        <v>CAIXA 054</v>
      </c>
    </row>
    <row r="255" spans="1:3" x14ac:dyDescent="0.25">
      <c r="A255" s="1" t="s">
        <v>1445</v>
      </c>
      <c r="B255">
        <f t="shared" si="3"/>
        <v>16298810</v>
      </c>
      <c r="C255" t="str">
        <f>VLOOKUP(A255,inusmos_desc!$A:$B,2,0)</f>
        <v>ARTE SACHE ACTINE ESFOLIANTE F</v>
      </c>
    </row>
    <row r="256" spans="1:3" x14ac:dyDescent="0.25">
      <c r="A256" s="1" t="s">
        <v>221</v>
      </c>
      <c r="B256">
        <f t="shared" si="3"/>
        <v>16298811</v>
      </c>
      <c r="C256" t="str">
        <f>VLOOKUP(A256,inusmos_desc!$A:$B,2,0)</f>
        <v>FLOW PACK ACTINE SABONETE BARRA 16G P DW</v>
      </c>
    </row>
    <row r="257" spans="1:3" x14ac:dyDescent="0.25">
      <c r="A257" s="1" t="s">
        <v>1450</v>
      </c>
      <c r="B257">
        <f t="shared" si="3"/>
        <v>16298812</v>
      </c>
      <c r="C257" t="str">
        <f>VLOOKUP(A257,inusmos_desc!$A:$B,2,0)</f>
        <v>ARTE SACHE DOCTAR SHAMPOO 10ML</v>
      </c>
    </row>
    <row r="258" spans="1:3" x14ac:dyDescent="0.25">
      <c r="A258" s="1" t="s">
        <v>1452</v>
      </c>
      <c r="B258">
        <f t="shared" si="3"/>
        <v>16298813</v>
      </c>
      <c r="C258" t="str">
        <f>VLOOKUP(A258,inusmos_desc!$A:$B,2,0)</f>
        <v>ESTRUTURA DOCTAR CREME 10ML</v>
      </c>
    </row>
    <row r="259" spans="1:3" x14ac:dyDescent="0.25">
      <c r="A259" s="1" t="s">
        <v>234</v>
      </c>
      <c r="B259">
        <f t="shared" ref="B259:B322" si="4">+B258+1</f>
        <v>16298814</v>
      </c>
      <c r="C259" t="str">
        <f>VLOOKUP(A259,inusmos_desc!$A:$B,2,0)</f>
        <v>FLOW PACK CLEANANCE  SABONETE BARRA 16G P AV</v>
      </c>
    </row>
    <row r="260" spans="1:3" x14ac:dyDescent="0.25">
      <c r="A260" s="1" t="s">
        <v>236</v>
      </c>
      <c r="B260">
        <f t="shared" si="4"/>
        <v>16298815</v>
      </c>
      <c r="C260" t="str">
        <f>VLOOKUP(A260,inusmos_desc!$A:$B,2,0)</f>
        <v>AV CAIXA SAB BARRA AG AVENE</v>
      </c>
    </row>
    <row r="261" spans="1:3" x14ac:dyDescent="0.25">
      <c r="A261" s="1" t="s">
        <v>1456</v>
      </c>
      <c r="B261">
        <f t="shared" si="4"/>
        <v>16298816</v>
      </c>
      <c r="C261" t="str">
        <f>VLOOKUP(A261,inusmos_desc!$A:$B,2,0)</f>
        <v>ARTE SACHE ACTINE LÍQUIDO 5ML</v>
      </c>
    </row>
    <row r="262" spans="1:3" x14ac:dyDescent="0.25">
      <c r="A262" s="1" t="s">
        <v>1458</v>
      </c>
      <c r="B262">
        <f t="shared" si="4"/>
        <v>16298817</v>
      </c>
      <c r="C262" t="str">
        <f>VLOOKUP(A262,inusmos_desc!$A:$B,2,0)</f>
        <v>ESTRUTURA ACTINE FREE DAB LIQ</v>
      </c>
    </row>
    <row r="263" spans="1:3" x14ac:dyDescent="0.25">
      <c r="A263" s="1" t="s">
        <v>1460</v>
      </c>
      <c r="B263">
        <f t="shared" si="4"/>
        <v>16298818</v>
      </c>
      <c r="C263" t="str">
        <f>VLOOKUP(A263,inusmos_desc!$A:$B,2,0)</f>
        <v>FLOW PACK ACTINE FREE</v>
      </c>
    </row>
    <row r="264" spans="1:3" x14ac:dyDescent="0.25">
      <c r="A264" s="1" t="s">
        <v>252</v>
      </c>
      <c r="B264">
        <f t="shared" si="4"/>
        <v>16298819</v>
      </c>
      <c r="C264" t="str">
        <f>VLOOKUP(A264,inusmos_desc!$A:$B,2,0)</f>
        <v>ESTRUTURA ACTINE TRAT GEL ANTIACNE 5G P DW</v>
      </c>
    </row>
    <row r="265" spans="1:3" x14ac:dyDescent="0.25">
      <c r="A265" s="1" t="s">
        <v>1465</v>
      </c>
      <c r="B265">
        <f t="shared" si="4"/>
        <v>16298820</v>
      </c>
      <c r="C265" t="str">
        <f>VLOOKUP(A265,inusmos_desc!$A:$B,2,0)</f>
        <v>ARTE SACHE KLINSE SHAMPOO 10ML</v>
      </c>
    </row>
    <row r="266" spans="1:3" x14ac:dyDescent="0.25">
      <c r="A266" s="1" t="s">
        <v>1467</v>
      </c>
      <c r="B266">
        <f t="shared" si="4"/>
        <v>16298821</v>
      </c>
      <c r="C266" t="str">
        <f>VLOOKUP(A266,inusmos_desc!$A:$B,2,0)</f>
        <v>ARTE SACHE KLINSE N SHAMP 10ML</v>
      </c>
    </row>
    <row r="267" spans="1:3" x14ac:dyDescent="0.25">
      <c r="A267" s="1" t="s">
        <v>258</v>
      </c>
      <c r="B267">
        <f t="shared" si="4"/>
        <v>16298822</v>
      </c>
      <c r="C267" t="str">
        <f>VLOOKUP(A267,inusmos_desc!$A:$B,2,0)</f>
        <v>GRANEL SKIN SEC LOÇÃO COM PERFUME</v>
      </c>
    </row>
    <row r="268" spans="1:3" x14ac:dyDescent="0.25">
      <c r="A268" s="1" t="s">
        <v>1469</v>
      </c>
      <c r="B268">
        <f t="shared" si="4"/>
        <v>16298823</v>
      </c>
      <c r="C268" t="str">
        <f>VLOOKUP(A268,inusmos_desc!$A:$B,2,0)</f>
        <v>ESTRUTURA SACHE SKINSEC LOÇÃO</v>
      </c>
    </row>
    <row r="269" spans="1:3" x14ac:dyDescent="0.25">
      <c r="A269" s="1" t="s">
        <v>262</v>
      </c>
      <c r="B269">
        <f t="shared" si="4"/>
        <v>16298824</v>
      </c>
      <c r="C269" t="str">
        <f>VLOOKUP(A269,inusmos_desc!$A:$B,2,0)</f>
        <v>GRANEL SKIN SEC LOÇÃO SEM PERFUME</v>
      </c>
    </row>
    <row r="270" spans="1:3" x14ac:dyDescent="0.25">
      <c r="A270" s="1" t="s">
        <v>1471</v>
      </c>
      <c r="B270">
        <f t="shared" si="4"/>
        <v>16298825</v>
      </c>
      <c r="C270" t="str">
        <f>VLOOKUP(A270,inusmos_desc!$A:$B,2,0)</f>
        <v>ESTRUTURA SKISEC LOCAO S/PERF.</v>
      </c>
    </row>
    <row r="271" spans="1:3" x14ac:dyDescent="0.25">
      <c r="A271" s="1" t="s">
        <v>269</v>
      </c>
      <c r="B271">
        <f t="shared" si="4"/>
        <v>16298826</v>
      </c>
      <c r="C271" t="str">
        <f>VLOOKUP(A271,inusmos_desc!$A:$B,2,0)</f>
        <v>FLOW PACK SOAPELLE  SABONETE BARRA 16G P DW</v>
      </c>
    </row>
    <row r="272" spans="1:3" x14ac:dyDescent="0.25">
      <c r="A272" s="1" t="s">
        <v>272</v>
      </c>
      <c r="B272">
        <f t="shared" si="4"/>
        <v>16298827</v>
      </c>
      <c r="C272" t="str">
        <f>VLOOKUP(A272,inusmos_desc!$A:$B,2,0)</f>
        <v>GRANEL SOAPELLE SAB LIQ</v>
      </c>
    </row>
    <row r="273" spans="1:3" x14ac:dyDescent="0.25">
      <c r="A273" s="1" t="s">
        <v>1475</v>
      </c>
      <c r="B273">
        <f t="shared" si="4"/>
        <v>16298828</v>
      </c>
      <c r="C273" t="str">
        <f>VLOOKUP(A273,inusmos_desc!$A:$B,2,0)</f>
        <v>ARTE SACHE SOAPELLE LÍQUID 5ML</v>
      </c>
    </row>
    <row r="274" spans="1:3" x14ac:dyDescent="0.25">
      <c r="A274" s="1" t="s">
        <v>1477</v>
      </c>
      <c r="B274">
        <f t="shared" si="4"/>
        <v>16298829</v>
      </c>
      <c r="C274" t="str">
        <f>VLOOKUP(A274,inusmos_desc!$A:$B,2,0)</f>
        <v>ARTE SACHE SKINSEC LÍQUID 5ML</v>
      </c>
    </row>
    <row r="275" spans="1:3" x14ac:dyDescent="0.25">
      <c r="A275" s="1" t="s">
        <v>1481</v>
      </c>
      <c r="B275">
        <f t="shared" si="4"/>
        <v>16298830</v>
      </c>
      <c r="C275" t="str">
        <f>VLOOKUP(A275,inusmos_desc!$A:$B,2,0)</f>
        <v>FLOW PACK SKINSEC BARRA AG NF</v>
      </c>
    </row>
    <row r="276" spans="1:3" x14ac:dyDescent="0.25">
      <c r="A276" s="1" t="s">
        <v>286</v>
      </c>
      <c r="B276">
        <f t="shared" si="4"/>
        <v>16298831</v>
      </c>
      <c r="C276" t="str">
        <f>VLOOKUP(A276,inusmos_desc!$A:$B,2,0)</f>
        <v>FLOW PACK SUAVIE SABONETE BARRA 16G P DW</v>
      </c>
    </row>
    <row r="277" spans="1:3" x14ac:dyDescent="0.25">
      <c r="A277" s="1" t="s">
        <v>289</v>
      </c>
      <c r="B277">
        <f t="shared" si="4"/>
        <v>16298832</v>
      </c>
      <c r="C277" t="str">
        <f>VLOOKUP(A277,inusmos_desc!$A:$B,2,0)</f>
        <v>ESTRUTURA SUAVIE SAB LIQ 5ML P DW</v>
      </c>
    </row>
    <row r="278" spans="1:3" x14ac:dyDescent="0.25">
      <c r="A278" s="1" t="s">
        <v>1487</v>
      </c>
      <c r="B278">
        <f t="shared" si="4"/>
        <v>16298833</v>
      </c>
      <c r="C278" t="str">
        <f>VLOOKUP(A278,inusmos_desc!$A:$B,2,0)</f>
        <v>FRASCO ACTINE LOCAO ADSTR. AG</v>
      </c>
    </row>
    <row r="279" spans="1:3" x14ac:dyDescent="0.25">
      <c r="A279" s="1" t="s">
        <v>1489</v>
      </c>
      <c r="B279">
        <f t="shared" si="4"/>
        <v>16298834</v>
      </c>
      <c r="C279" t="str">
        <f>VLOOKUP(A279,inusmos_desc!$A:$B,2,0)</f>
        <v>TAMPA ACTINE LOCAO ADSTR. AG</v>
      </c>
    </row>
    <row r="280" spans="1:3" x14ac:dyDescent="0.25">
      <c r="A280" s="1" t="s">
        <v>1490</v>
      </c>
      <c r="B280">
        <f t="shared" si="4"/>
        <v>16298835</v>
      </c>
      <c r="C280" t="str">
        <f>VLOOKUP(A280,inusmos_desc!$A:$B,2,0)</f>
        <v>INDUST. ACTINE LOCAO ADSTR. AG</v>
      </c>
    </row>
    <row r="281" spans="1:3" x14ac:dyDescent="0.25">
      <c r="A281" s="1" t="s">
        <v>1257</v>
      </c>
      <c r="B281">
        <f t="shared" si="4"/>
        <v>16298836</v>
      </c>
      <c r="C281" t="str">
        <f>VLOOKUP(A281,inusmos_desc!$A:$B,2,0)</f>
        <v>SUNSAFE P. SOLAR FPS60 GRANEL</v>
      </c>
    </row>
    <row r="282" spans="1:3" x14ac:dyDescent="0.25">
      <c r="A282" s="1" t="s">
        <v>1492</v>
      </c>
      <c r="B282">
        <f t="shared" si="4"/>
        <v>16298837</v>
      </c>
      <c r="C282" t="str">
        <f>VLOOKUP(A282,inusmos_desc!$A:$B,2,0)</f>
        <v>ESTR SACHET SUNSAFE FPS60</v>
      </c>
    </row>
    <row r="283" spans="1:3" x14ac:dyDescent="0.25">
      <c r="A283" s="1" t="s">
        <v>1494</v>
      </c>
      <c r="B283">
        <f t="shared" si="4"/>
        <v>16298838</v>
      </c>
      <c r="C283" t="str">
        <f>VLOOKUP(A283,inusmos_desc!$A:$B,2,0)</f>
        <v>ESTR SACHET SUNSAFE FPS30</v>
      </c>
    </row>
    <row r="284" spans="1:3" x14ac:dyDescent="0.25">
      <c r="A284" s="1" t="s">
        <v>1496</v>
      </c>
      <c r="B284">
        <f t="shared" si="4"/>
        <v>16298839</v>
      </c>
      <c r="C284" t="str">
        <f>VLOOKUP(A284,inusmos_desc!$A:$B,2,0)</f>
        <v>EST SACHET SUNSAFE FPS30 COLOR</v>
      </c>
    </row>
    <row r="285" spans="1:3" x14ac:dyDescent="0.25">
      <c r="A285" s="1" t="s">
        <v>1498</v>
      </c>
      <c r="B285">
        <f t="shared" si="4"/>
        <v>16298840</v>
      </c>
      <c r="C285" t="str">
        <f>VLOOKUP(A285,inusmos_desc!$A:$B,2,0)</f>
        <v>EST SACHET SUNSAFE FPS60 COLOR</v>
      </c>
    </row>
    <row r="286" spans="1:3" x14ac:dyDescent="0.25">
      <c r="A286" s="1" t="s">
        <v>1500</v>
      </c>
      <c r="B286">
        <f t="shared" si="4"/>
        <v>16298841</v>
      </c>
      <c r="C286" t="str">
        <f>VLOOKUP(A286,inusmos_desc!$A:$B,2,0)</f>
        <v>ESTR SACHET AV SOLAR FPS30</v>
      </c>
    </row>
    <row r="287" spans="1:3" x14ac:dyDescent="0.25">
      <c r="A287" s="1" t="s">
        <v>297</v>
      </c>
      <c r="B287">
        <f t="shared" si="4"/>
        <v>16298842</v>
      </c>
      <c r="C287" t="str">
        <f>VLOOKUP(A287,inusmos_desc!$A:$B,2,0)</f>
        <v>CAIXA PAP SOLARES  SACHET</v>
      </c>
    </row>
    <row r="288" spans="1:3" x14ac:dyDescent="0.25">
      <c r="A288" s="1" t="s">
        <v>1502</v>
      </c>
      <c r="B288">
        <f t="shared" si="4"/>
        <v>16298843</v>
      </c>
      <c r="C288" t="str">
        <f>VLOOKUP(A288,inusmos_desc!$A:$B,2,0)</f>
        <v>ESTR SACHET AV SOLAR FPS30 TT</v>
      </c>
    </row>
    <row r="289" spans="1:3" x14ac:dyDescent="0.25">
      <c r="A289" s="1" t="s">
        <v>1504</v>
      </c>
      <c r="B289">
        <f t="shared" si="4"/>
        <v>16298844</v>
      </c>
      <c r="C289" t="str">
        <f>VLOOKUP(A289,inusmos_desc!$A:$B,2,0)</f>
        <v>AVENE SOLAR FPS50 GRANEL</v>
      </c>
    </row>
    <row r="290" spans="1:3" x14ac:dyDescent="0.25">
      <c r="A290" s="1" t="s">
        <v>1505</v>
      </c>
      <c r="B290">
        <f t="shared" si="4"/>
        <v>16298845</v>
      </c>
      <c r="C290" t="str">
        <f>VLOOKUP(A290,inusmos_desc!$A:$B,2,0)</f>
        <v>ESTR SACHET AV SOLAR FPS50</v>
      </c>
    </row>
    <row r="291" spans="1:3" x14ac:dyDescent="0.25">
      <c r="A291" s="1" t="s">
        <v>1507</v>
      </c>
      <c r="B291">
        <f t="shared" si="4"/>
        <v>16298846</v>
      </c>
      <c r="C291" t="str">
        <f>VLOOKUP(A291,inusmos_desc!$A:$B,2,0)</f>
        <v>AVENE SOLAR FPS50 COR GRANEL</v>
      </c>
    </row>
    <row r="292" spans="1:3" x14ac:dyDescent="0.25">
      <c r="A292" s="1" t="s">
        <v>1508</v>
      </c>
      <c r="B292">
        <f t="shared" si="4"/>
        <v>16298847</v>
      </c>
      <c r="C292" t="str">
        <f>VLOOKUP(A292,inusmos_desc!$A:$B,2,0)</f>
        <v>ESTR SACHET AV SOLAR FPS50 TT</v>
      </c>
    </row>
    <row r="293" spans="1:3" x14ac:dyDescent="0.25">
      <c r="A293" s="1" t="s">
        <v>303</v>
      </c>
      <c r="B293">
        <f t="shared" si="4"/>
        <v>16298848</v>
      </c>
      <c r="C293" t="str">
        <f>VLOOKUP(A293,inusmos_desc!$A:$B,2,0)</f>
        <v>BISNAGA ACTINE SOLAR FPS30  120 ML SLEEVE</v>
      </c>
    </row>
    <row r="294" spans="1:3" x14ac:dyDescent="0.25">
      <c r="A294" s="1" t="s">
        <v>304</v>
      </c>
      <c r="B294">
        <f t="shared" si="4"/>
        <v>16298849</v>
      </c>
      <c r="C294" t="str">
        <f>VLOOKUP(A294,inusmos_desc!$A:$B,2,0)</f>
        <v>CAIXA PAPELAO 120</v>
      </c>
    </row>
    <row r="295" spans="1:3" x14ac:dyDescent="0.25">
      <c r="A295" s="1" t="s">
        <v>1510</v>
      </c>
      <c r="B295">
        <f t="shared" si="4"/>
        <v>16298850</v>
      </c>
      <c r="C295" t="str">
        <f>VLOOKUP(A295,inusmos_desc!$A:$B,2,0)</f>
        <v>DISODIUM COCOAMPHODIACETATE</v>
      </c>
    </row>
    <row r="296" spans="1:3" x14ac:dyDescent="0.25">
      <c r="A296" s="1" t="s">
        <v>1511</v>
      </c>
      <c r="B296">
        <f t="shared" si="4"/>
        <v>16298851</v>
      </c>
      <c r="C296" t="str">
        <f>VLOOKUP(A296,inusmos_desc!$A:$B,2,0)</f>
        <v>SODIUM LAUROYL SARCOSINATE</v>
      </c>
    </row>
    <row r="297" spans="1:3" x14ac:dyDescent="0.25">
      <c r="A297" s="1" t="s">
        <v>1512</v>
      </c>
      <c r="B297">
        <f t="shared" si="4"/>
        <v>16298852</v>
      </c>
      <c r="C297" t="str">
        <f>VLOOKUP(A297,inusmos_desc!$A:$B,2,0)</f>
        <v>CETEARETH 60 MYRISTYL GLYCOL</v>
      </c>
    </row>
    <row r="298" spans="1:3" x14ac:dyDescent="0.25">
      <c r="A298" s="1" t="s">
        <v>1513</v>
      </c>
      <c r="B298">
        <f t="shared" si="4"/>
        <v>16298853</v>
      </c>
      <c r="C298" t="str">
        <f>VLOOKUP(A298,inusmos_desc!$A:$B,2,0)</f>
        <v>POLYSORBATE 20</v>
      </c>
    </row>
    <row r="299" spans="1:3" x14ac:dyDescent="0.25">
      <c r="A299" s="1" t="s">
        <v>1514</v>
      </c>
      <c r="B299">
        <f t="shared" si="4"/>
        <v>16298854</v>
      </c>
      <c r="C299" t="str">
        <f>VLOOKUP(A299,inusmos_desc!$A:$B,2,0)</f>
        <v>DECIL GLUCOSIDEO</v>
      </c>
    </row>
    <row r="300" spans="1:3" x14ac:dyDescent="0.25">
      <c r="A300" s="1" t="s">
        <v>306</v>
      </c>
      <c r="B300">
        <f t="shared" si="4"/>
        <v>16298855</v>
      </c>
      <c r="C300" t="str">
        <f>VLOOKUP(A300,inusmos_desc!$A:$B,2,0)</f>
        <v>GRANEL ACTINE CONTROL SAB LIQ</v>
      </c>
    </row>
    <row r="301" spans="1:3" x14ac:dyDescent="0.25">
      <c r="A301" s="1" t="s">
        <v>309</v>
      </c>
      <c r="B301">
        <f t="shared" si="4"/>
        <v>16298856</v>
      </c>
      <c r="C301" t="str">
        <f>VLOOKUP(A301,inusmos_desc!$A:$B,2,0)</f>
        <v>ROTULO ACTINE CONTROL SAB LIQ</v>
      </c>
    </row>
    <row r="302" spans="1:3" x14ac:dyDescent="0.25">
      <c r="A302" s="1" t="s">
        <v>310</v>
      </c>
      <c r="B302">
        <f t="shared" si="4"/>
        <v>16298857</v>
      </c>
      <c r="C302" t="str">
        <f>VLOOKUP(A302,inusmos_desc!$A:$B,2,0)</f>
        <v>CONTRA RÓTULO ACTINE CONTROL SAB LIQ</v>
      </c>
    </row>
    <row r="303" spans="1:3" x14ac:dyDescent="0.25">
      <c r="A303" s="1" t="s">
        <v>314</v>
      </c>
      <c r="B303">
        <f t="shared" si="4"/>
        <v>16298858</v>
      </c>
      <c r="C303" t="str">
        <f>VLOOKUP(A303,inusmos_desc!$A:$B,2,0)</f>
        <v>ESTRUTURA ACTINE CONTROL SAB LIQ</v>
      </c>
    </row>
    <row r="304" spans="1:3" x14ac:dyDescent="0.25">
      <c r="A304" s="1" t="s">
        <v>327</v>
      </c>
      <c r="B304">
        <f t="shared" si="4"/>
        <v>16298859</v>
      </c>
      <c r="C304" t="str">
        <f>VLOOKUP(A304,inusmos_desc!$A:$B,2,0)</f>
        <v>CARTUCHO ACTINE CONTROL SAB BARRA 80G</v>
      </c>
    </row>
    <row r="305" spans="1:3" x14ac:dyDescent="0.25">
      <c r="A305" s="1" t="s">
        <v>335</v>
      </c>
      <c r="B305">
        <f t="shared" si="4"/>
        <v>16298860</v>
      </c>
      <c r="C305" t="str">
        <f>VLOOKUP(A305,inusmos_desc!$A:$B,2,0)</f>
        <v>FLOW PACK ACTINE CONTROL SAB BARRA 16G P DW</v>
      </c>
    </row>
    <row r="306" spans="1:3" x14ac:dyDescent="0.25">
      <c r="A306" s="1" t="s">
        <v>1519</v>
      </c>
      <c r="B306">
        <f t="shared" si="4"/>
        <v>16298861</v>
      </c>
      <c r="C306" t="str">
        <f>VLOOKUP(A306,inusmos_desc!$A:$B,2,0)</f>
        <v>GRANEL CLEANANCE SOLAR FPS 30</v>
      </c>
    </row>
    <row r="307" spans="1:3" x14ac:dyDescent="0.25">
      <c r="A307" s="1" t="s">
        <v>340</v>
      </c>
      <c r="B307">
        <f t="shared" si="4"/>
        <v>16298862</v>
      </c>
      <c r="C307" t="str">
        <f>VLOOKUP(A307,inusmos_desc!$A:$B,2,0)</f>
        <v>BISNAGA CLEANANCE SOLAR SPF 30</v>
      </c>
    </row>
    <row r="308" spans="1:3" x14ac:dyDescent="0.25">
      <c r="A308" s="1" t="s">
        <v>341</v>
      </c>
      <c r="B308">
        <f t="shared" si="4"/>
        <v>16298863</v>
      </c>
      <c r="C308" t="str">
        <f>VLOOKUP(A308,inusmos_desc!$A:$B,2,0)</f>
        <v>CARTUCHO CLEANANCE SOLAR SPF 30</v>
      </c>
    </row>
    <row r="309" spans="1:3" x14ac:dyDescent="0.25">
      <c r="A309" s="1" t="s">
        <v>344</v>
      </c>
      <c r="B309">
        <f t="shared" si="4"/>
        <v>16298864</v>
      </c>
      <c r="C309" t="str">
        <f>VLOOKUP(A309,inusmos_desc!$A:$B,2,0)</f>
        <v>SACHE CLEANANCE SOLAR FPS30 3ML PF AV</v>
      </c>
    </row>
    <row r="310" spans="1:3" x14ac:dyDescent="0.25">
      <c r="A310" s="1" t="s">
        <v>1521</v>
      </c>
      <c r="B310">
        <f t="shared" si="4"/>
        <v>16298865</v>
      </c>
      <c r="C310" t="str">
        <f>VLOOKUP(A310,inusmos_desc!$A:$B,2,0)</f>
        <v>GRANEL CLEANANCE SOLAR FPS 50</v>
      </c>
    </row>
    <row r="311" spans="1:3" x14ac:dyDescent="0.25">
      <c r="A311" s="1" t="s">
        <v>347</v>
      </c>
      <c r="B311">
        <f t="shared" si="4"/>
        <v>16298866</v>
      </c>
      <c r="C311" t="str">
        <f>VLOOKUP(A311,inusmos_desc!$A:$B,2,0)</f>
        <v>SACHE CLEANANCE SOLAR FPS50+ 3ML PF AV</v>
      </c>
    </row>
    <row r="312" spans="1:3" x14ac:dyDescent="0.25">
      <c r="A312" s="1" t="s">
        <v>352</v>
      </c>
      <c r="B312">
        <f t="shared" si="4"/>
        <v>16298867</v>
      </c>
      <c r="C312" t="str">
        <f>VLOOKUP(A312,inusmos_desc!$A:$B,2,0)</f>
        <v>CARTUCHO CLEANANCE SOLAR FPS50+ 50ML PF AV</v>
      </c>
    </row>
    <row r="313" spans="1:3" x14ac:dyDescent="0.25">
      <c r="A313" s="1" t="s">
        <v>354</v>
      </c>
      <c r="B313">
        <f t="shared" si="4"/>
        <v>16298868</v>
      </c>
      <c r="C313" t="str">
        <f>VLOOKUP(A313,inusmos_desc!$A:$B,2,0)</f>
        <v>BISNAGA CLEANANCE SOLAR FPS 50</v>
      </c>
    </row>
    <row r="314" spans="1:3" x14ac:dyDescent="0.25">
      <c r="A314" s="1" t="s">
        <v>356</v>
      </c>
      <c r="B314">
        <f t="shared" si="4"/>
        <v>16298869</v>
      </c>
      <c r="C314" t="str">
        <f>VLOOKUP(A314,inusmos_desc!$A:$B,2,0)</f>
        <v>CLEANANCE GEL GRANEL 1T</v>
      </c>
    </row>
    <row r="315" spans="1:3" x14ac:dyDescent="0.25">
      <c r="A315" s="1" t="s">
        <v>358</v>
      </c>
      <c r="B315">
        <f t="shared" si="4"/>
        <v>16298870</v>
      </c>
      <c r="C315" t="str">
        <f>VLOOKUP(A315,inusmos_desc!$A:$B,2,0)</f>
        <v>ESTRUTURA CLEANANCE GEL 5</v>
      </c>
    </row>
    <row r="316" spans="1:3" x14ac:dyDescent="0.25">
      <c r="A316" s="1" t="s">
        <v>362</v>
      </c>
      <c r="B316">
        <f t="shared" si="4"/>
        <v>16298871</v>
      </c>
      <c r="C316" t="str">
        <f>VLOOKUP(A316,inusmos_desc!$A:$B,2,0)</f>
        <v>CLEANANCE GEL GRANEL 3T</v>
      </c>
    </row>
    <row r="317" spans="1:3" x14ac:dyDescent="0.25">
      <c r="A317" s="1" t="s">
        <v>364</v>
      </c>
      <c r="B317">
        <f t="shared" si="4"/>
        <v>16298872</v>
      </c>
      <c r="C317" t="str">
        <f>VLOOKUP(A317,inusmos_desc!$A:$B,2,0)</f>
        <v>BISNAGA CLEANANCE GEL 60ML PF AV</v>
      </c>
    </row>
    <row r="318" spans="1:3" x14ac:dyDescent="0.25">
      <c r="A318" s="1" t="s">
        <v>367</v>
      </c>
      <c r="B318">
        <f t="shared" si="4"/>
        <v>16298873</v>
      </c>
      <c r="C318" t="str">
        <f>VLOOKUP(A318,inusmos_desc!$A:$B,2,0)</f>
        <v>BISNAGA CLEANANCE GEL 150</v>
      </c>
    </row>
    <row r="319" spans="1:3" x14ac:dyDescent="0.25">
      <c r="A319" s="1" t="s">
        <v>368</v>
      </c>
      <c r="B319">
        <f t="shared" si="4"/>
        <v>16298874</v>
      </c>
      <c r="C319" t="str">
        <f>VLOOKUP(A319,inusmos_desc!$A:$B,2,0)</f>
        <v>CAIXA PAP 150</v>
      </c>
    </row>
    <row r="320" spans="1:3" x14ac:dyDescent="0.25">
      <c r="A320" s="1" t="s">
        <v>373</v>
      </c>
      <c r="B320">
        <f t="shared" si="4"/>
        <v>16298875</v>
      </c>
      <c r="C320" t="str">
        <f>VLOOKUP(A320,inusmos_desc!$A:$B,2,0)</f>
        <v>FRASCO CLEANANCE GEL 300</v>
      </c>
    </row>
    <row r="321" spans="1:3" x14ac:dyDescent="0.25">
      <c r="A321" s="1" t="s">
        <v>1527</v>
      </c>
      <c r="B321">
        <f t="shared" si="4"/>
        <v>16298876</v>
      </c>
      <c r="C321" t="str">
        <f>VLOOKUP(A321,inusmos_desc!$A:$B,2,0)</f>
        <v>CAPS DUOCAP JANVIER</v>
      </c>
    </row>
    <row r="322" spans="1:3" x14ac:dyDescent="0.25">
      <c r="A322" s="1" t="s">
        <v>374</v>
      </c>
      <c r="B322">
        <f t="shared" si="4"/>
        <v>16298877</v>
      </c>
      <c r="C322" t="str">
        <f>VLOOKUP(A322,inusmos_desc!$A:$B,2,0)</f>
        <v>CAIXA PAP 300</v>
      </c>
    </row>
    <row r="323" spans="1:3" x14ac:dyDescent="0.25">
      <c r="A323" s="1" t="s">
        <v>378</v>
      </c>
      <c r="B323">
        <f t="shared" ref="B323:B386" si="5">+B322+1</f>
        <v>16298878</v>
      </c>
      <c r="C323" t="str">
        <f>VLOOKUP(A323,inusmos_desc!$A:$B,2,0)</f>
        <v>HUILE AMANDE DOUCE RAFFINEE</v>
      </c>
    </row>
    <row r="324" spans="1:3" x14ac:dyDescent="0.25">
      <c r="A324" s="1" t="s">
        <v>1528</v>
      </c>
      <c r="B324">
        <f t="shared" si="5"/>
        <v>16298879</v>
      </c>
      <c r="C324" t="str">
        <f>VLOOKUP(A324,inusmos_desc!$A:$B,2,0)</f>
        <v>L - SERINE</v>
      </c>
    </row>
    <row r="325" spans="1:3" x14ac:dyDescent="0.25">
      <c r="A325" s="1" t="s">
        <v>380</v>
      </c>
      <c r="B325">
        <f t="shared" si="5"/>
        <v>16298880</v>
      </c>
      <c r="C325" t="str">
        <f>VLOOKUP(A325,inusmos_desc!$A:$B,2,0)</f>
        <v>BASE SYNDET MI HS 27/21</v>
      </c>
    </row>
    <row r="326" spans="1:3" x14ac:dyDescent="0.25">
      <c r="A326" s="1" t="s">
        <v>382</v>
      </c>
      <c r="B326">
        <f t="shared" si="5"/>
        <v>16298881</v>
      </c>
      <c r="C326" t="str">
        <f>VLOOKUP(A326,inusmos_desc!$A:$B,2,0)</f>
        <v>NOYAU ETA GLYCERINE</v>
      </c>
    </row>
    <row r="327" spans="1:3" x14ac:dyDescent="0.25">
      <c r="A327" s="1" t="s">
        <v>383</v>
      </c>
      <c r="B327">
        <f t="shared" si="5"/>
        <v>16298882</v>
      </c>
      <c r="C327" t="str">
        <f>VLOOKUP(A327,inusmos_desc!$A:$B,2,0)</f>
        <v>FLOW PACK CLEANANCE HYDRA PAIN  SAB BARRA</v>
      </c>
    </row>
    <row r="328" spans="1:3" x14ac:dyDescent="0.25">
      <c r="A328" s="1" t="s">
        <v>386</v>
      </c>
      <c r="B328">
        <f t="shared" si="5"/>
        <v>16298883</v>
      </c>
      <c r="C328" t="str">
        <f>VLOOKUP(A328,inusmos_desc!$A:$B,2,0)</f>
        <v>ZINC COCETH SULFATE</v>
      </c>
    </row>
    <row r="329" spans="1:3" x14ac:dyDescent="0.25">
      <c r="A329" s="1" t="s">
        <v>1530</v>
      </c>
      <c r="B329">
        <f t="shared" si="5"/>
        <v>16298884</v>
      </c>
      <c r="C329" t="str">
        <f>VLOOKUP(A329,inusmos_desc!$A:$B,2,0)</f>
        <v>NA LAUROYL METHYL ISETHIONATE</v>
      </c>
    </row>
    <row r="330" spans="1:3" x14ac:dyDescent="0.25">
      <c r="A330" s="1" t="s">
        <v>1531</v>
      </c>
      <c r="B330">
        <f t="shared" si="5"/>
        <v>16298885</v>
      </c>
      <c r="C330" t="str">
        <f>VLOOKUP(A330,inusmos_desc!$A:$B,2,0)</f>
        <v>SODIUM COCOAMPHOACETATE</v>
      </c>
    </row>
    <row r="331" spans="1:3" x14ac:dyDescent="0.25">
      <c r="A331" s="1" t="s">
        <v>389</v>
      </c>
      <c r="B331">
        <f t="shared" si="5"/>
        <v>16298886</v>
      </c>
      <c r="C331" t="str">
        <f>VLOOKUP(A331,inusmos_desc!$A:$B,2,0)</f>
        <v>BENZOATE SODIUM</v>
      </c>
    </row>
    <row r="332" spans="1:3" x14ac:dyDescent="0.25">
      <c r="A332" s="1" t="s">
        <v>390</v>
      </c>
      <c r="B332">
        <f t="shared" si="5"/>
        <v>16298887</v>
      </c>
      <c r="C332" t="str">
        <f>VLOOKUP(A332,inusmos_desc!$A:$B,2,0)</f>
        <v>PARF. PF617565 E1302515/01 AV</v>
      </c>
    </row>
    <row r="333" spans="1:3" x14ac:dyDescent="0.25">
      <c r="A333" s="1" t="s">
        <v>391</v>
      </c>
      <c r="B333">
        <f t="shared" si="5"/>
        <v>16298888</v>
      </c>
      <c r="C333" t="str">
        <f>VLOOKUP(A333,inusmos_desc!$A:$B,2,0)</f>
        <v>COL JAUNE CI 19410</v>
      </c>
    </row>
    <row r="334" spans="1:3" x14ac:dyDescent="0.25">
      <c r="A334" s="1" t="s">
        <v>393</v>
      </c>
      <c r="B334">
        <f t="shared" si="5"/>
        <v>16298889</v>
      </c>
      <c r="C334" t="str">
        <f>VLOOKUP(A334,inusmos_desc!$A:$B,2,0)</f>
        <v>1707 - ÁCIDO CÍTRICO MONOHIDRATADO</v>
      </c>
    </row>
    <row r="335" spans="1:3" x14ac:dyDescent="0.25">
      <c r="A335" s="1" t="s">
        <v>395</v>
      </c>
      <c r="B335">
        <f t="shared" si="5"/>
        <v>16298890</v>
      </c>
      <c r="C335" t="str">
        <f>VLOOKUP(A335,inusmos_desc!$A:$B,2,0)</f>
        <v>COL VERT TURQUOISE CI 61570</v>
      </c>
    </row>
    <row r="336" spans="1:3" x14ac:dyDescent="0.25">
      <c r="A336" s="1" t="s">
        <v>400</v>
      </c>
      <c r="B336">
        <f t="shared" si="5"/>
        <v>16298891</v>
      </c>
      <c r="C336" t="str">
        <f>VLOOKUP(A336,inusmos_desc!$A:$B,2,0)</f>
        <v>BISNAGA ACTINE CONTROL SAB LIQ 60ML SLEEVE</v>
      </c>
    </row>
    <row r="337" spans="1:3" x14ac:dyDescent="0.25">
      <c r="A337" s="1" t="s">
        <v>403</v>
      </c>
      <c r="B337">
        <f t="shared" si="5"/>
        <v>16298892</v>
      </c>
      <c r="C337" t="str">
        <f>VLOOKUP(A337,inusmos_desc!$A:$B,2,0)</f>
        <v>BISNAGA SKIN SEC LOÇÃO PERFUME SUAVE</v>
      </c>
    </row>
    <row r="338" spans="1:3" x14ac:dyDescent="0.25">
      <c r="A338" s="1" t="s">
        <v>404</v>
      </c>
      <c r="B338">
        <f t="shared" si="5"/>
        <v>16298893</v>
      </c>
      <c r="C338" t="str">
        <f>VLOOKUP(A338,inusmos_desc!$A:$B,2,0)</f>
        <v>CAIXA PAP 200</v>
      </c>
    </row>
    <row r="339" spans="1:3" x14ac:dyDescent="0.25">
      <c r="A339" s="1" t="s">
        <v>407</v>
      </c>
      <c r="B339">
        <f t="shared" si="5"/>
        <v>16298894</v>
      </c>
      <c r="C339" t="str">
        <f>VLOOKUP(A339,inusmos_desc!$A:$B,2,0)</f>
        <v>BISNAGA SKIN SEC LOÇÃO S/ PARF</v>
      </c>
    </row>
    <row r="340" spans="1:3" x14ac:dyDescent="0.25">
      <c r="A340" s="1" t="s">
        <v>409</v>
      </c>
      <c r="B340">
        <f t="shared" si="5"/>
        <v>16298895</v>
      </c>
      <c r="C340" t="str">
        <f>VLOOKUP(A340,inusmos_desc!$A:$B,2,0)</f>
        <v>FRASCO SKIN SEC LOÇÃO</v>
      </c>
    </row>
    <row r="341" spans="1:3" x14ac:dyDescent="0.25">
      <c r="A341" s="1" t="s">
        <v>410</v>
      </c>
      <c r="B341">
        <f t="shared" si="5"/>
        <v>16298896</v>
      </c>
      <c r="C341" t="str">
        <f>VLOOKUP(A341,inusmos_desc!$A:$B,2,0)</f>
        <v>VALVULA SKIN SEC LOÇÃO</v>
      </c>
    </row>
    <row r="342" spans="1:3" x14ac:dyDescent="0.25">
      <c r="A342" s="1" t="s">
        <v>411</v>
      </c>
      <c r="B342">
        <f t="shared" si="5"/>
        <v>16298897</v>
      </c>
      <c r="C342" t="str">
        <f>VLOOKUP(A342,inusmos_desc!$A:$B,2,0)</f>
        <v>CAIXA PAP 400</v>
      </c>
    </row>
    <row r="343" spans="1:3" x14ac:dyDescent="0.25">
      <c r="A343" s="1" t="s">
        <v>1535</v>
      </c>
      <c r="B343">
        <f t="shared" si="5"/>
        <v>16298898</v>
      </c>
      <c r="C343" t="str">
        <f>VLOOKUP(A343,inusmos_desc!$A:$B,2,0)</f>
        <v>NEO HELIOPAN HYDRO</v>
      </c>
    </row>
    <row r="344" spans="1:3" x14ac:dyDescent="0.25">
      <c r="A344" s="1" t="s">
        <v>1536</v>
      </c>
      <c r="B344">
        <f t="shared" si="5"/>
        <v>16298899</v>
      </c>
      <c r="C344" t="str">
        <f>VLOOKUP(A344,inusmos_desc!$A:$B,2,0)</f>
        <v>EMULGINVL 75</v>
      </c>
    </row>
    <row r="345" spans="1:3" x14ac:dyDescent="0.25">
      <c r="A345" s="1" t="s">
        <v>1537</v>
      </c>
      <c r="B345">
        <f t="shared" si="5"/>
        <v>16298900</v>
      </c>
      <c r="C345" t="str">
        <f>VLOOKUP(A345,inusmos_desc!$A:$B,2,0)</f>
        <v>DUB ININ</v>
      </c>
    </row>
    <row r="346" spans="1:3" x14ac:dyDescent="0.25">
      <c r="A346" s="1" t="s">
        <v>1538</v>
      </c>
      <c r="B346">
        <f t="shared" si="5"/>
        <v>16298901</v>
      </c>
      <c r="C346" t="str">
        <f>VLOOKUP(A346,inusmos_desc!$A:$B,2,0)</f>
        <v>UVINUL A PLUS</v>
      </c>
    </row>
    <row r="347" spans="1:3" x14ac:dyDescent="0.25">
      <c r="A347" s="1" t="s">
        <v>1539</v>
      </c>
      <c r="B347">
        <f t="shared" si="5"/>
        <v>16298902</v>
      </c>
      <c r="C347" t="str">
        <f>VLOOKUP(A347,inusmos_desc!$A:$B,2,0)</f>
        <v>ETHYLHEXYL METHOXYCINNAMATE</v>
      </c>
    </row>
    <row r="348" spans="1:3" x14ac:dyDescent="0.25">
      <c r="A348" s="1" t="s">
        <v>1540</v>
      </c>
      <c r="B348">
        <f t="shared" si="5"/>
        <v>16298903</v>
      </c>
      <c r="C348" t="str">
        <f>VLOOKUP(A348,inusmos_desc!$A:$B,2,0)</f>
        <v>ESCALOL HMS</v>
      </c>
    </row>
    <row r="349" spans="1:3" x14ac:dyDescent="0.25">
      <c r="A349" s="1" t="s">
        <v>1541</v>
      </c>
      <c r="B349">
        <f t="shared" si="5"/>
        <v>16298904</v>
      </c>
      <c r="C349" t="str">
        <f>VLOOKUP(A349,inusmos_desc!$A:$B,2,0)</f>
        <v>BISETHYLHEXYLOXYPHENOL METHO.</v>
      </c>
    </row>
    <row r="350" spans="1:3" x14ac:dyDescent="0.25">
      <c r="A350" s="1" t="s">
        <v>1542</v>
      </c>
      <c r="B350">
        <f t="shared" si="5"/>
        <v>16298905</v>
      </c>
      <c r="C350" t="str">
        <f>VLOOKUP(A350,inusmos_desc!$A:$B,2,0)</f>
        <v>UVINUL T 150</v>
      </c>
    </row>
    <row r="351" spans="1:3" x14ac:dyDescent="0.25">
      <c r="A351" s="1" t="s">
        <v>1543</v>
      </c>
      <c r="B351">
        <f t="shared" si="5"/>
        <v>16298906</v>
      </c>
      <c r="C351" t="str">
        <f>VLOOKUP(A351,inusmos_desc!$A:$B,2,0)</f>
        <v>UVINUL N539T</v>
      </c>
    </row>
    <row r="352" spans="1:3" x14ac:dyDescent="0.25">
      <c r="A352" s="1" t="s">
        <v>1544</v>
      </c>
      <c r="B352">
        <f t="shared" si="5"/>
        <v>16298907</v>
      </c>
      <c r="C352" t="str">
        <f>VLOOKUP(A352,inusmos_desc!$A:$B,2,0)</f>
        <v>TINOGARD TS</v>
      </c>
    </row>
    <row r="353" spans="1:3" x14ac:dyDescent="0.25">
      <c r="A353" s="1" t="s">
        <v>1545</v>
      </c>
      <c r="B353">
        <f t="shared" si="5"/>
        <v>16298908</v>
      </c>
      <c r="C353" t="str">
        <f>VLOOKUP(A353,inusmos_desc!$A:$B,2,0)</f>
        <v>BTH</v>
      </c>
    </row>
    <row r="354" spans="1:3" x14ac:dyDescent="0.25">
      <c r="A354" s="1" t="s">
        <v>1546</v>
      </c>
      <c r="B354">
        <f t="shared" si="5"/>
        <v>16298909</v>
      </c>
      <c r="C354" t="str">
        <f>VLOOKUP(A354,inusmos_desc!$A:$B,2,0)</f>
        <v>PEMULEN TR2</v>
      </c>
    </row>
    <row r="355" spans="1:3" x14ac:dyDescent="0.25">
      <c r="A355" s="1" t="s">
        <v>1547</v>
      </c>
      <c r="B355">
        <f t="shared" si="5"/>
        <v>16298910</v>
      </c>
      <c r="C355" t="str">
        <f>VLOOKUP(A355,inusmos_desc!$A:$B,2,0)</f>
        <v>MSS 500 3H SILICA</v>
      </c>
    </row>
    <row r="356" spans="1:3" x14ac:dyDescent="0.25">
      <c r="A356" s="1" t="s">
        <v>1548</v>
      </c>
      <c r="B356">
        <f t="shared" si="5"/>
        <v>16298911</v>
      </c>
      <c r="C356" t="str">
        <f>VLOOKUP(A356,inusmos_desc!$A:$B,2,0)</f>
        <v>AMIDON MAIS MODIFIE DRY FLO PC</v>
      </c>
    </row>
    <row r="357" spans="1:3" x14ac:dyDescent="0.25">
      <c r="A357" s="1" t="s">
        <v>1549</v>
      </c>
      <c r="B357">
        <f t="shared" si="5"/>
        <v>16298912</v>
      </c>
      <c r="C357" t="str">
        <f>VLOOKUP(A357,inusmos_desc!$A:$B,2,0)</f>
        <v>SULF CHONDROITINE SOD AVIAIR</v>
      </c>
    </row>
    <row r="358" spans="1:3" x14ac:dyDescent="0.25">
      <c r="A358" s="1" t="s">
        <v>1550</v>
      </c>
      <c r="B358">
        <f t="shared" si="5"/>
        <v>16298913</v>
      </c>
      <c r="C358" t="str">
        <f>VLOOKUP(A358,inusmos_desc!$A:$B,2,0)</f>
        <v>EXTRAIT LIPIDIQUE DE SOJA</v>
      </c>
    </row>
    <row r="359" spans="1:3" x14ac:dyDescent="0.25">
      <c r="A359" s="1" t="s">
        <v>1551</v>
      </c>
      <c r="B359">
        <f t="shared" si="5"/>
        <v>16298914</v>
      </c>
      <c r="C359" t="str">
        <f>VLOOKUP(A359,inusmos_desc!$A:$B,2,0)</f>
        <v>SITOSTEROL (BETA) 95%</v>
      </c>
    </row>
    <row r="360" spans="1:3" x14ac:dyDescent="0.25">
      <c r="A360" s="1" t="s">
        <v>1552</v>
      </c>
      <c r="B360">
        <f t="shared" si="5"/>
        <v>16298915</v>
      </c>
      <c r="C360" t="str">
        <f>VLOOKUP(A360,inusmos_desc!$A:$B,2,0)</f>
        <v>POLOXAMER 188</v>
      </c>
    </row>
    <row r="361" spans="1:3" x14ac:dyDescent="0.25">
      <c r="A361" s="1" t="s">
        <v>1553</v>
      </c>
      <c r="B361">
        <f t="shared" si="5"/>
        <v>16298916</v>
      </c>
      <c r="C361" t="str">
        <f>VLOOKUP(A361,inusmos_desc!$A:$B,2,0)</f>
        <v>LECITHINE SOJA</v>
      </c>
    </row>
    <row r="362" spans="1:3" x14ac:dyDescent="0.25">
      <c r="A362" s="1" t="s">
        <v>1554</v>
      </c>
      <c r="B362">
        <f t="shared" si="5"/>
        <v>16298917</v>
      </c>
      <c r="C362" t="str">
        <f>VLOOKUP(A362,inusmos_desc!$A:$B,2,0)</f>
        <v>CAPRIC CAPRYLIC TRIGLY 30 70</v>
      </c>
    </row>
    <row r="363" spans="1:3" x14ac:dyDescent="0.25">
      <c r="A363" s="1" t="s">
        <v>1555</v>
      </c>
      <c r="B363">
        <f t="shared" si="5"/>
        <v>16298918</v>
      </c>
      <c r="C363" t="str">
        <f>VLOOKUP(A363,inusmos_desc!$A:$B,2,0)</f>
        <v>GLYCERIDES COCO HYDROGENE</v>
      </c>
    </row>
    <row r="364" spans="1:3" x14ac:dyDescent="0.25">
      <c r="A364" s="1" t="s">
        <v>1556</v>
      </c>
      <c r="B364">
        <f t="shared" si="5"/>
        <v>16298919</v>
      </c>
      <c r="C364" t="str">
        <f>VLOOKUP(A364,inusmos_desc!$A:$B,2,0)</f>
        <v>TOCOPHERYL GLUCOSIDE 50%</v>
      </c>
    </row>
    <row r="365" spans="1:3" x14ac:dyDescent="0.25">
      <c r="A365" s="1" t="s">
        <v>1557</v>
      </c>
      <c r="B365">
        <f t="shared" si="5"/>
        <v>16298920</v>
      </c>
      <c r="C365" t="str">
        <f>VLOOKUP(A365,inusmos_desc!$A:$B,2,0)</f>
        <v>METHOXYCINNAMATE(p)ETHYLHEXYL</v>
      </c>
    </row>
    <row r="366" spans="1:3" x14ac:dyDescent="0.25">
      <c r="A366" s="1" t="s">
        <v>1558</v>
      </c>
      <c r="B366">
        <f t="shared" si="5"/>
        <v>16298921</v>
      </c>
      <c r="C366" t="str">
        <f>VLOOKUP(A366,inusmos_desc!$A:$B,2,0)</f>
        <v>OCTOCRILENO</v>
      </c>
    </row>
    <row r="367" spans="1:3" x14ac:dyDescent="0.25">
      <c r="A367" s="1" t="s">
        <v>1559</v>
      </c>
      <c r="B367">
        <f t="shared" si="5"/>
        <v>16298922</v>
      </c>
      <c r="C367" t="str">
        <f>VLOOKUP(A367,inusmos_desc!$A:$B,2,0)</f>
        <v>DECAMETIL CICLOPENTASILOXANE</v>
      </c>
    </row>
    <row r="368" spans="1:3" x14ac:dyDescent="0.25">
      <c r="A368" s="1" t="s">
        <v>1560</v>
      </c>
      <c r="B368">
        <f t="shared" si="5"/>
        <v>16298923</v>
      </c>
      <c r="C368" t="str">
        <f>VLOOKUP(A368,inusmos_desc!$A:$B,2,0)</f>
        <v>CARBOMERE K</v>
      </c>
    </row>
    <row r="369" spans="1:3" x14ac:dyDescent="0.25">
      <c r="A369" s="1" t="s">
        <v>1561</v>
      </c>
      <c r="B369">
        <f t="shared" si="5"/>
        <v>16298924</v>
      </c>
      <c r="C369" t="str">
        <f>VLOOKUP(A369,inusmos_desc!$A:$B,2,0)</f>
        <v>ACRYLATE(POLYMETHYLMET)</v>
      </c>
    </row>
    <row r="370" spans="1:3" x14ac:dyDescent="0.25">
      <c r="A370" s="1" t="s">
        <v>1562</v>
      </c>
      <c r="B370">
        <f t="shared" si="5"/>
        <v>16298925</v>
      </c>
      <c r="C370" t="str">
        <f>VLOOKUP(A370,inusmos_desc!$A:$B,2,0)</f>
        <v>CHLORPHENESINE PURIFIEE</v>
      </c>
    </row>
    <row r="371" spans="1:3" x14ac:dyDescent="0.25">
      <c r="A371" s="1" t="s">
        <v>422</v>
      </c>
      <c r="B371">
        <f t="shared" si="5"/>
        <v>16298926</v>
      </c>
      <c r="C371" t="str">
        <f>VLOOKUP(A371,inusmos_desc!$A:$B,2,0)</f>
        <v>622384 ASCORBYL GLUCOSIDE</v>
      </c>
    </row>
    <row r="372" spans="1:3" x14ac:dyDescent="0.25">
      <c r="A372" s="1" t="s">
        <v>1563</v>
      </c>
      <c r="B372">
        <f t="shared" si="5"/>
        <v>16298927</v>
      </c>
      <c r="C372" t="str">
        <f>VLOOKUP(A372,inusmos_desc!$A:$B,2,0)</f>
        <v>PENTANOATE NEO ISODECYL</v>
      </c>
    </row>
    <row r="373" spans="1:3" x14ac:dyDescent="0.25">
      <c r="A373" s="1" t="s">
        <v>433</v>
      </c>
      <c r="B373">
        <f t="shared" si="5"/>
        <v>16298928</v>
      </c>
      <c r="C373" t="str">
        <f>VLOOKUP(A373,inusmos_desc!$A:$B,2,0)</f>
        <v>CETEARYL ISONONANOATE</v>
      </c>
    </row>
    <row r="374" spans="1:3" x14ac:dyDescent="0.25">
      <c r="A374" s="1" t="s">
        <v>1564</v>
      </c>
      <c r="B374">
        <f t="shared" si="5"/>
        <v>16298929</v>
      </c>
      <c r="C374" t="str">
        <f>VLOOKUP(A374,inusmos_desc!$A:$B,2,0)</f>
        <v>SILICE COLLOIDALE V300</v>
      </c>
    </row>
    <row r="375" spans="1:3" x14ac:dyDescent="0.25">
      <c r="A375" s="1" t="s">
        <v>435</v>
      </c>
      <c r="B375">
        <f t="shared" si="5"/>
        <v>16298930</v>
      </c>
      <c r="C375" t="str">
        <f>VLOOKUP(A375,inusmos_desc!$A:$B,2,0)</f>
        <v>PARF TROPIQUE 53259 ( 403929)</v>
      </c>
    </row>
    <row r="376" spans="1:3" x14ac:dyDescent="0.25">
      <c r="A376" s="1" t="s">
        <v>437</v>
      </c>
      <c r="B376">
        <f t="shared" si="5"/>
        <v>16298931</v>
      </c>
      <c r="C376" t="str">
        <f>VLOOKUP(A376,inusmos_desc!$A:$B,2,0)</f>
        <v>GRANEL AVENE TOQUE SECO FPS70</v>
      </c>
    </row>
    <row r="377" spans="1:3" x14ac:dyDescent="0.25">
      <c r="A377" s="1" t="s">
        <v>438</v>
      </c>
      <c r="B377">
        <f t="shared" si="5"/>
        <v>16298932</v>
      </c>
      <c r="C377" t="str">
        <f>VLOOKUP(A377,inusmos_desc!$A:$B,2,0)</f>
        <v>BISNAGA AVENE SOLAR TS FPS70</v>
      </c>
    </row>
    <row r="378" spans="1:3" x14ac:dyDescent="0.25">
      <c r="A378" s="1" t="s">
        <v>439</v>
      </c>
      <c r="B378">
        <f t="shared" si="5"/>
        <v>16298933</v>
      </c>
      <c r="C378" t="str">
        <f>VLOOKUP(A378,inusmos_desc!$A:$B,2,0)</f>
        <v>CARTUCHO AVENE SOLAR TS FPS70</v>
      </c>
    </row>
    <row r="379" spans="1:3" x14ac:dyDescent="0.25">
      <c r="A379" s="1" t="s">
        <v>441</v>
      </c>
      <c r="B379">
        <f t="shared" si="5"/>
        <v>16298934</v>
      </c>
      <c r="C379" t="str">
        <f>VLOOKUP(A379,inusmos_desc!$A:$B,2,0)</f>
        <v>GRANEL AVENE TOQUE SECO FPS70 COLOR</v>
      </c>
    </row>
    <row r="380" spans="1:3" x14ac:dyDescent="0.25">
      <c r="A380" s="1" t="s">
        <v>442</v>
      </c>
      <c r="B380">
        <f t="shared" si="5"/>
        <v>16298935</v>
      </c>
      <c r="C380" t="str">
        <f>VLOOKUP(A380,inusmos_desc!$A:$B,2,0)</f>
        <v>BISNAGA AVENE SOLAR TS FPS70 COLOR</v>
      </c>
    </row>
    <row r="381" spans="1:3" x14ac:dyDescent="0.25">
      <c r="A381" s="1" t="s">
        <v>443</v>
      </c>
      <c r="B381">
        <f t="shared" si="5"/>
        <v>16298936</v>
      </c>
      <c r="C381" t="str">
        <f>VLOOKUP(A381,inusmos_desc!$A:$B,2,0)</f>
        <v>CARTUCHO AVENE SOLAR TS FPS70 COLOR</v>
      </c>
    </row>
    <row r="382" spans="1:3" x14ac:dyDescent="0.25">
      <c r="A382" s="1" t="s">
        <v>444</v>
      </c>
      <c r="B382">
        <f t="shared" si="5"/>
        <v>16298937</v>
      </c>
      <c r="C382" t="str">
        <f>VLOOKUP(A382,inusmos_desc!$A:$B,2,0)</f>
        <v>ÁCIDO SALICÍLICO MERCK</v>
      </c>
    </row>
    <row r="383" spans="1:3" x14ac:dyDescent="0.25">
      <c r="A383" s="1" t="s">
        <v>453</v>
      </c>
      <c r="B383">
        <f t="shared" si="5"/>
        <v>16298938</v>
      </c>
      <c r="C383" t="str">
        <f>VLOOKUP(A383,inusmos_desc!$A:$B,2,0)</f>
        <v>ECOEXTRACT ALOE VERA</v>
      </c>
    </row>
    <row r="384" spans="1:3" x14ac:dyDescent="0.25">
      <c r="A384" s="1" t="s">
        <v>1565</v>
      </c>
      <c r="B384">
        <f t="shared" si="5"/>
        <v>16298939</v>
      </c>
      <c r="C384" t="str">
        <f>VLOOKUP(A384,inusmos_desc!$A:$B,2,0)</f>
        <v>OLEO DE MELALEUCA</v>
      </c>
    </row>
    <row r="385" spans="1:3" x14ac:dyDescent="0.25">
      <c r="A385" s="1" t="s">
        <v>454</v>
      </c>
      <c r="B385">
        <f t="shared" si="5"/>
        <v>16298940</v>
      </c>
      <c r="C385" t="str">
        <f>VLOOKUP(A385,inusmos_desc!$A:$B,2,0)</f>
        <v>691861 - Trisodiumethylenediamine Disuccinate</v>
      </c>
    </row>
    <row r="386" spans="1:3" x14ac:dyDescent="0.25">
      <c r="A386" s="1" t="s">
        <v>456</v>
      </c>
      <c r="B386">
        <f t="shared" si="5"/>
        <v>16298941</v>
      </c>
      <c r="C386" t="str">
        <f>VLOOKUP(A386,inusmos_desc!$A:$B,2,0)</f>
        <v>ESS. CALMING THERAPY EAF24392</v>
      </c>
    </row>
    <row r="387" spans="1:3" x14ac:dyDescent="0.25">
      <c r="A387" s="1" t="s">
        <v>457</v>
      </c>
      <c r="B387">
        <f t="shared" ref="B387:B450" si="6">+B386+1</f>
        <v>16298942</v>
      </c>
      <c r="C387" t="str">
        <f>VLOOKUP(A387,inusmos_desc!$A:$B,2,0)</f>
        <v>692539 - MIRACARE SLB 205 W</v>
      </c>
    </row>
    <row r="388" spans="1:3" x14ac:dyDescent="0.25">
      <c r="A388" s="1" t="s">
        <v>459</v>
      </c>
      <c r="B388">
        <f t="shared" si="6"/>
        <v>16298943</v>
      </c>
      <c r="C388" t="str">
        <f>VLOOKUP(A388,inusmos_desc!$A:$B,2,0)</f>
        <v>117318 - COCAMIDE MONOISOPROPOLAMIDE</v>
      </c>
    </row>
    <row r="389" spans="1:3" x14ac:dyDescent="0.25">
      <c r="A389" s="1" t="s">
        <v>1566</v>
      </c>
      <c r="B389">
        <f t="shared" si="6"/>
        <v>16298944</v>
      </c>
      <c r="C389" t="str">
        <f>VLOOKUP(A389,inusmos_desc!$A:$B,2,0)</f>
        <v>DIPROPILENOGLICOL</v>
      </c>
    </row>
    <row r="390" spans="1:3" x14ac:dyDescent="0.25">
      <c r="A390" s="1" t="s">
        <v>1567</v>
      </c>
      <c r="B390">
        <f t="shared" si="6"/>
        <v>16298945</v>
      </c>
      <c r="C390" t="str">
        <f>VLOOKUP(A390,inusmos_desc!$A:$B,2,0)</f>
        <v>ALKONIX SC</v>
      </c>
    </row>
    <row r="391" spans="1:3" x14ac:dyDescent="0.25">
      <c r="A391" s="1" t="s">
        <v>1568</v>
      </c>
      <c r="B391">
        <f t="shared" si="6"/>
        <v>16298946</v>
      </c>
      <c r="C391" t="str">
        <f>VLOOKUP(A391,inusmos_desc!$A:$B,2,0)</f>
        <v>HOSTAPON CCG</v>
      </c>
    </row>
    <row r="392" spans="1:3" x14ac:dyDescent="0.25">
      <c r="A392" s="1" t="s">
        <v>1569</v>
      </c>
      <c r="B392">
        <f t="shared" si="6"/>
        <v>16298947</v>
      </c>
      <c r="C392" t="str">
        <f>VLOOKUP(A392,inusmos_desc!$A:$B,2,0)</f>
        <v>GENAPOL EGL</v>
      </c>
    </row>
    <row r="393" spans="1:3" x14ac:dyDescent="0.25">
      <c r="A393" s="1" t="s">
        <v>1570</v>
      </c>
      <c r="B393">
        <f t="shared" si="6"/>
        <v>16298948</v>
      </c>
      <c r="C393" t="str">
        <f>VLOOKUP(A393,inusmos_desc!$A:$B,2,0)</f>
        <v>ESSENCIA CHA VERDE</v>
      </c>
    </row>
    <row r="394" spans="1:3" x14ac:dyDescent="0.25">
      <c r="A394" s="1" t="s">
        <v>1571</v>
      </c>
      <c r="B394">
        <f t="shared" si="6"/>
        <v>16298949</v>
      </c>
      <c r="C394" t="str">
        <f>VLOOKUP(A394,inusmos_desc!$A:$B,2,0)</f>
        <v>GENAMIN PQ7</v>
      </c>
    </row>
    <row r="395" spans="1:3" x14ac:dyDescent="0.25">
      <c r="A395" s="1" t="s">
        <v>1572</v>
      </c>
      <c r="B395">
        <f t="shared" si="6"/>
        <v>16298950</v>
      </c>
      <c r="C395" t="str">
        <f>VLOOKUP(A395,inusmos_desc!$A:$B,2,0)</f>
        <v>PHYTOLAIT CHA VERDE</v>
      </c>
    </row>
    <row r="396" spans="1:3" x14ac:dyDescent="0.25">
      <c r="A396" s="1" t="s">
        <v>468</v>
      </c>
      <c r="B396">
        <f t="shared" si="6"/>
        <v>16298951</v>
      </c>
      <c r="C396" t="str">
        <f>VLOOKUP(A396,inusmos_desc!$A:$B,2,0)</f>
        <v>CARTUCHO CLEANANCE HYDRA PAIN SAB BARRA</v>
      </c>
    </row>
    <row r="397" spans="1:3" x14ac:dyDescent="0.25">
      <c r="A397" s="1" t="s">
        <v>1574</v>
      </c>
      <c r="B397">
        <f t="shared" si="6"/>
        <v>16298952</v>
      </c>
      <c r="C397" t="str">
        <f>VLOOKUP(A397,inusmos_desc!$A:$B,2,0)</f>
        <v>SODIUM COCOYL ISETHIONATE MEL</v>
      </c>
    </row>
    <row r="398" spans="1:3" x14ac:dyDescent="0.25">
      <c r="A398" s="1" t="s">
        <v>1575</v>
      </c>
      <c r="B398">
        <f t="shared" si="6"/>
        <v>16298953</v>
      </c>
      <c r="C398" t="str">
        <f>VLOOKUP(A398,inusmos_desc!$A:$B,2,0)</f>
        <v>WHITE BEESWAX</v>
      </c>
    </row>
    <row r="399" spans="1:3" x14ac:dyDescent="0.25">
      <c r="A399" s="1" t="s">
        <v>1576</v>
      </c>
      <c r="B399">
        <f t="shared" si="6"/>
        <v>16298954</v>
      </c>
      <c r="C399" t="str">
        <f>VLOOKUP(A399,inusmos_desc!$A:$B,2,0)</f>
        <v>CETYL ALCOHOL</v>
      </c>
    </row>
    <row r="400" spans="1:3" x14ac:dyDescent="0.25">
      <c r="A400" s="1" t="s">
        <v>475</v>
      </c>
      <c r="B400">
        <f t="shared" si="6"/>
        <v>16298955</v>
      </c>
      <c r="C400" t="str">
        <f>VLOOKUP(A400,inusmos_desc!$A:$B,2,0)</f>
        <v>HUILE PALME ETHOXYLEE</v>
      </c>
    </row>
    <row r="401" spans="1:3" x14ac:dyDescent="0.25">
      <c r="A401" s="1" t="s">
        <v>478</v>
      </c>
      <c r="B401">
        <f t="shared" si="6"/>
        <v>16298956</v>
      </c>
      <c r="C401" t="str">
        <f>VLOOKUP(A401,inusmos_desc!$A:$B,2,0)</f>
        <v>PARF. SURGRAS 401439 E1301981</v>
      </c>
    </row>
    <row r="402" spans="1:3" x14ac:dyDescent="0.25">
      <c r="A402" s="1" t="s">
        <v>1579</v>
      </c>
      <c r="B402">
        <f t="shared" si="6"/>
        <v>16298957</v>
      </c>
      <c r="C402" t="str">
        <f>VLOOKUP(A402,inusmos_desc!$A:$B,2,0)</f>
        <v>FLOW PACK CLEANANCE BARRA 80G</v>
      </c>
    </row>
    <row r="403" spans="1:3" x14ac:dyDescent="0.25">
      <c r="A403" s="1" t="s">
        <v>480</v>
      </c>
      <c r="B403">
        <f t="shared" si="6"/>
        <v>16298958</v>
      </c>
      <c r="C403" t="str">
        <f>VLOOKUP(A403,inusmos_desc!$A:$B,2,0)</f>
        <v>CARTUCHO TRIXERA SABONETE BARRA FAMILIA 80G P AV</v>
      </c>
    </row>
    <row r="404" spans="1:3" x14ac:dyDescent="0.25">
      <c r="A404" s="1" t="s">
        <v>482</v>
      </c>
      <c r="B404">
        <f t="shared" si="6"/>
        <v>16298959</v>
      </c>
      <c r="C404" t="str">
        <f>VLOOKUP(A404,inusmos_desc!$A:$B,2,0)</f>
        <v>BULA TRIXERA SABONETE BARRA AV P</v>
      </c>
    </row>
    <row r="405" spans="1:3" x14ac:dyDescent="0.25">
      <c r="A405" s="1" t="s">
        <v>488</v>
      </c>
      <c r="B405">
        <f t="shared" si="6"/>
        <v>16298960</v>
      </c>
      <c r="C405" t="str">
        <f>VLOOKUP(A405,inusmos_desc!$A:$B,2,0)</f>
        <v>FLOW PACK TRIXERA SABONETE BARRA 16G P AV</v>
      </c>
    </row>
    <row r="406" spans="1:3" x14ac:dyDescent="0.25">
      <c r="A406" s="1" t="s">
        <v>493</v>
      </c>
      <c r="B406">
        <f t="shared" si="6"/>
        <v>16298961</v>
      </c>
      <c r="C406" t="str">
        <f>VLOOKUP(A406,inusmos_desc!$A:$B,2,0)</f>
        <v>ESTRUTURA AVENE SOLAR TS FPS70</v>
      </c>
    </row>
    <row r="407" spans="1:3" x14ac:dyDescent="0.25">
      <c r="A407" s="1" t="s">
        <v>496</v>
      </c>
      <c r="B407">
        <f t="shared" si="6"/>
        <v>16298962</v>
      </c>
      <c r="C407" t="str">
        <f>VLOOKUP(A407,inusmos_desc!$A:$B,2,0)</f>
        <v>ESTRUTURA AVENE SOLAR TS FPS70 COLOR</v>
      </c>
    </row>
    <row r="408" spans="1:3" x14ac:dyDescent="0.25">
      <c r="A408" s="1" t="s">
        <v>499</v>
      </c>
      <c r="B408">
        <f t="shared" si="6"/>
        <v>16298963</v>
      </c>
      <c r="C408" t="str">
        <f>VLOOKUP(A408,inusmos_desc!$A:$B,2,0)</f>
        <v>1702 VASELINA BRANCA QUALIDADE A</v>
      </c>
    </row>
    <row r="409" spans="1:3" x14ac:dyDescent="0.25">
      <c r="A409" s="1" t="s">
        <v>1585</v>
      </c>
      <c r="B409">
        <f t="shared" si="6"/>
        <v>16298964</v>
      </c>
      <c r="C409" t="str">
        <f>VLOOKUP(A409,inusmos_desc!$A:$B,2,0)</f>
        <v>PARAFINA LIQUIDA</v>
      </c>
    </row>
    <row r="410" spans="1:3" x14ac:dyDescent="0.25">
      <c r="A410" s="1" t="s">
        <v>500</v>
      </c>
      <c r="B410">
        <f t="shared" si="6"/>
        <v>16298965</v>
      </c>
      <c r="C410" t="str">
        <f>VLOOKUP(A410,inusmos_desc!$A:$B,2,0)</f>
        <v>12748 ÁCIDO ESTEÁRICO 50 PASTILHAS</v>
      </c>
    </row>
    <row r="411" spans="1:3" x14ac:dyDescent="0.25">
      <c r="A411" s="1" t="s">
        <v>501</v>
      </c>
      <c r="B411">
        <f t="shared" si="6"/>
        <v>16298966</v>
      </c>
      <c r="C411" t="str">
        <f>VLOOKUP(A411,inusmos_desc!$A:$B,2,0)</f>
        <v>1826 HUILE SILICONE DM350</v>
      </c>
    </row>
    <row r="412" spans="1:3" x14ac:dyDescent="0.25">
      <c r="A412" s="1" t="s">
        <v>502</v>
      </c>
      <c r="B412">
        <f t="shared" si="6"/>
        <v>16298967</v>
      </c>
      <c r="C412" t="str">
        <f>VLOOKUP(A412,inusmos_desc!$A:$B,2,0)</f>
        <v>6444 MACROGOL 600P</v>
      </c>
    </row>
    <row r="413" spans="1:3" x14ac:dyDescent="0.25">
      <c r="A413" s="1" t="s">
        <v>503</v>
      </c>
      <c r="B413">
        <f t="shared" si="6"/>
        <v>16298968</v>
      </c>
      <c r="C413" t="str">
        <f>VLOOKUP(A413,inusmos_desc!$A:$B,2,0)</f>
        <v>1836 TRIETANOLAMINA</v>
      </c>
    </row>
    <row r="414" spans="1:3" x14ac:dyDescent="0.25">
      <c r="A414" s="1" t="s">
        <v>504</v>
      </c>
      <c r="B414">
        <f t="shared" si="6"/>
        <v>16298969</v>
      </c>
      <c r="C414" t="str">
        <f>VLOOKUP(A414,inusmos_desc!$A:$B,2,0)</f>
        <v>110858 ETHYLHEXYLGLYCERINE</v>
      </c>
    </row>
    <row r="415" spans="1:3" x14ac:dyDescent="0.25">
      <c r="A415" s="1" t="s">
        <v>505</v>
      </c>
      <c r="B415">
        <f t="shared" si="6"/>
        <v>16298970</v>
      </c>
      <c r="C415" t="str">
        <f>VLOOKUP(A415,inusmos_desc!$A:$B,2,0)</f>
        <v>613925 PENTYLENE GLYCOL</v>
      </c>
    </row>
    <row r="416" spans="1:3" x14ac:dyDescent="0.25">
      <c r="A416" s="1" t="s">
        <v>506</v>
      </c>
      <c r="B416">
        <f t="shared" si="6"/>
        <v>16298971</v>
      </c>
      <c r="C416" t="str">
        <f>VLOOKUP(A416,inusmos_desc!$A:$B,2,0)</f>
        <v>SEPINEO P600</v>
      </c>
    </row>
    <row r="417" spans="1:3" x14ac:dyDescent="0.25">
      <c r="A417" s="1" t="s">
        <v>507</v>
      </c>
      <c r="B417">
        <f t="shared" si="6"/>
        <v>16298972</v>
      </c>
      <c r="C417" t="str">
        <f>VLOOKUP(A417,inusmos_desc!$A:$B,2,0)</f>
        <v>23462 CARBOPOL 980</v>
      </c>
    </row>
    <row r="418" spans="1:3" x14ac:dyDescent="0.25">
      <c r="A418" s="1" t="s">
        <v>510</v>
      </c>
      <c r="B418">
        <f t="shared" si="6"/>
        <v>16298973</v>
      </c>
      <c r="C418" t="str">
        <f>VLOOKUP(A418,inusmos_desc!$A:$B,2,0)</f>
        <v>ALANTOÍNA</v>
      </c>
    </row>
    <row r="419" spans="1:3" x14ac:dyDescent="0.25">
      <c r="A419" s="1" t="s">
        <v>511</v>
      </c>
      <c r="B419">
        <f t="shared" si="6"/>
        <v>16298974</v>
      </c>
      <c r="C419" t="str">
        <f>VLOOKUP(A419,inusmos_desc!$A:$B,2,0)</f>
        <v>CARBOPOL U20</v>
      </c>
    </row>
    <row r="420" spans="1:3" x14ac:dyDescent="0.25">
      <c r="A420" s="1" t="s">
        <v>512</v>
      </c>
      <c r="B420">
        <f t="shared" si="6"/>
        <v>16298975</v>
      </c>
      <c r="C420" t="str">
        <f>VLOOKUP(A420,inusmos_desc!$A:$B,2,0)</f>
        <v>DIBUTYL ADIPATE</v>
      </c>
    </row>
    <row r="421" spans="1:3" x14ac:dyDescent="0.25">
      <c r="A421" s="1" t="s">
        <v>513</v>
      </c>
      <c r="B421">
        <f t="shared" si="6"/>
        <v>16298976</v>
      </c>
      <c r="C421" t="str">
        <f>VLOOKUP(A421,inusmos_desc!$A:$B,2,0)</f>
        <v>DC EP 9801 HIDRO COSMETIC POWDER</v>
      </c>
    </row>
    <row r="422" spans="1:3" x14ac:dyDescent="0.25">
      <c r="A422" s="1" t="s">
        <v>514</v>
      </c>
      <c r="B422">
        <f t="shared" si="6"/>
        <v>16298977</v>
      </c>
      <c r="C422" t="str">
        <f>VLOOKUP(A422,inusmos_desc!$A:$B,2,0)</f>
        <v>DIÓXIDO DE TITÂNIO MICRO</v>
      </c>
    </row>
    <row r="423" spans="1:3" x14ac:dyDescent="0.25">
      <c r="A423" s="1" t="s">
        <v>515</v>
      </c>
      <c r="B423">
        <f t="shared" si="6"/>
        <v>16298978</v>
      </c>
      <c r="C423" t="str">
        <f>VLOOKUP(A423,inusmos_desc!$A:$B,2,0)</f>
        <v>COCO-CAPRYLATE/CAPRATE</v>
      </c>
    </row>
    <row r="424" spans="1:3" x14ac:dyDescent="0.25">
      <c r="A424" s="1" t="s">
        <v>516</v>
      </c>
      <c r="B424">
        <f t="shared" si="6"/>
        <v>16298979</v>
      </c>
      <c r="C424" t="str">
        <f>VLOOKUP(A424,inusmos_desc!$A:$B,2,0)</f>
        <v>SODIUM STEAROYL GLUTAMATE</v>
      </c>
    </row>
    <row r="425" spans="1:3" x14ac:dyDescent="0.25">
      <c r="A425" s="1" t="s">
        <v>517</v>
      </c>
      <c r="B425">
        <f t="shared" si="6"/>
        <v>16298980</v>
      </c>
      <c r="C425" t="str">
        <f>VLOOKUP(A425,inusmos_desc!$A:$B,2,0)</f>
        <v>METHILAN GMS AE</v>
      </c>
    </row>
    <row r="426" spans="1:3" x14ac:dyDescent="0.25">
      <c r="A426" s="1" t="s">
        <v>519</v>
      </c>
      <c r="B426">
        <f t="shared" si="6"/>
        <v>16298981</v>
      </c>
      <c r="C426" t="str">
        <f>VLOOKUP(A426,inusmos_desc!$A:$B,2,0)</f>
        <v>PEMULEN TR-1</v>
      </c>
    </row>
    <row r="427" spans="1:3" x14ac:dyDescent="0.25">
      <c r="A427" s="1" t="s">
        <v>520</v>
      </c>
      <c r="B427">
        <f t="shared" si="6"/>
        <v>16298982</v>
      </c>
      <c r="C427" t="str">
        <f>VLOOKUP(A427,inusmos_desc!$A:$B,2,0)</f>
        <v>SENSIVA SC 10</v>
      </c>
    </row>
    <row r="428" spans="1:3" x14ac:dyDescent="0.25">
      <c r="A428" s="1" t="s">
        <v>521</v>
      </c>
      <c r="B428">
        <f t="shared" si="6"/>
        <v>16298983</v>
      </c>
      <c r="C428" t="str">
        <f>VLOOKUP(A428,inusmos_desc!$A:$B,2,0)</f>
        <v>SEPICONTROL A5</v>
      </c>
    </row>
    <row r="429" spans="1:3" x14ac:dyDescent="0.25">
      <c r="A429" s="1" t="s">
        <v>522</v>
      </c>
      <c r="B429">
        <f t="shared" si="6"/>
        <v>16298984</v>
      </c>
      <c r="C429" t="str">
        <f>VLOOKUP(A429,inusmos_desc!$A:$B,2,0)</f>
        <v>SEPIMAT CP 5</v>
      </c>
    </row>
    <row r="430" spans="1:3" x14ac:dyDescent="0.25">
      <c r="A430" s="1" t="s">
        <v>523</v>
      </c>
      <c r="B430">
        <f t="shared" si="6"/>
        <v>16298985</v>
      </c>
      <c r="C430" t="str">
        <f>VLOOKUP(A430,inusmos_desc!$A:$B,2,0)</f>
        <v>SKIN COLOR AMARELO 6</v>
      </c>
    </row>
    <row r="431" spans="1:3" x14ac:dyDescent="0.25">
      <c r="A431" s="1" t="s">
        <v>524</v>
      </c>
      <c r="B431">
        <f t="shared" si="6"/>
        <v>16298986</v>
      </c>
      <c r="C431" t="str">
        <f>VLOOKUP(A431,inusmos_desc!$A:$B,2,0)</f>
        <v>SKIN COLOR CARAMELO</v>
      </c>
    </row>
    <row r="432" spans="1:3" x14ac:dyDescent="0.25">
      <c r="A432" s="1" t="s">
        <v>525</v>
      </c>
      <c r="B432">
        <f t="shared" si="6"/>
        <v>16298987</v>
      </c>
      <c r="C432" t="str">
        <f>VLOOKUP(A432,inusmos_desc!$A:$B,2,0)</f>
        <v>SKIN COLOR MÉDIO ESCURO</v>
      </c>
    </row>
    <row r="433" spans="1:3" x14ac:dyDescent="0.25">
      <c r="A433" s="1" t="s">
        <v>526</v>
      </c>
      <c r="B433">
        <f t="shared" si="6"/>
        <v>16298988</v>
      </c>
      <c r="C433" t="str">
        <f>VLOOKUP(A433,inusmos_desc!$A:$B,2,0)</f>
        <v>NYLON 12</v>
      </c>
    </row>
    <row r="434" spans="1:3" x14ac:dyDescent="0.25">
      <c r="A434" s="1" t="s">
        <v>532</v>
      </c>
      <c r="B434">
        <f t="shared" si="6"/>
        <v>16298989</v>
      </c>
      <c r="C434" t="str">
        <f>VLOOKUP(A434,inusmos_desc!$A:$B,2,0)</f>
        <v>P REFINYL BSP</v>
      </c>
    </row>
    <row r="435" spans="1:3" x14ac:dyDescent="0.25">
      <c r="A435" s="1" t="s">
        <v>533</v>
      </c>
      <c r="B435">
        <f t="shared" si="6"/>
        <v>16298990</v>
      </c>
      <c r="C435" t="str">
        <f>VLOOKUP(A435,inusmos_desc!$A:$B,2,0)</f>
        <v>TEGOSOFT GM6</v>
      </c>
    </row>
    <row r="436" spans="1:3" x14ac:dyDescent="0.25">
      <c r="A436" s="1" t="s">
        <v>534</v>
      </c>
      <c r="B436">
        <f t="shared" si="6"/>
        <v>16298991</v>
      </c>
      <c r="C436" t="str">
        <f>VLOOKUP(A436,inusmos_desc!$A:$B,2,0)</f>
        <v>HEXILENEGLICOL</v>
      </c>
    </row>
    <row r="437" spans="1:3" x14ac:dyDescent="0.25">
      <c r="A437" s="1" t="s">
        <v>420</v>
      </c>
      <c r="B437">
        <f t="shared" si="6"/>
        <v>16298992</v>
      </c>
      <c r="C437" t="str">
        <f>VLOOKUP(A437,inusmos_desc!$A:$B,2,0)</f>
        <v>GRANEL Aqua-fluido com cor MAT PERFECT FPS30 AV</v>
      </c>
    </row>
    <row r="438" spans="1:3" x14ac:dyDescent="0.25">
      <c r="A438" s="1" t="s">
        <v>539</v>
      </c>
      <c r="B438">
        <f t="shared" si="6"/>
        <v>16298993</v>
      </c>
      <c r="C438" t="str">
        <f>VLOOKUP(A438,inusmos_desc!$A:$B,2,0)</f>
        <v>SACHE AQUA-FLUIDO COM COR MAT PERFECT 30 3ML PF AV</v>
      </c>
    </row>
    <row r="439" spans="1:3" x14ac:dyDescent="0.25">
      <c r="A439" s="1" t="s">
        <v>543</v>
      </c>
      <c r="B439">
        <f t="shared" si="6"/>
        <v>16298994</v>
      </c>
      <c r="C439" t="str">
        <f>VLOOKUP(A439,inusmos_desc!$A:$B,2,0)</f>
        <v>BISNAGA AQUA-FLUIDO COM COR MAT PERFECT 30 50ML PF AV</v>
      </c>
    </row>
    <row r="440" spans="1:3" x14ac:dyDescent="0.25">
      <c r="A440" s="1" t="s">
        <v>544</v>
      </c>
      <c r="B440">
        <f t="shared" si="6"/>
        <v>16298995</v>
      </c>
      <c r="C440" t="str">
        <f>VLOOKUP(A440,inusmos_desc!$A:$B,2,0)</f>
        <v>CARTUCHO AQUA-FLUIDO COM COR MAT PERFECT 30 50ML PF AV</v>
      </c>
    </row>
    <row r="441" spans="1:3" x14ac:dyDescent="0.25">
      <c r="A441" s="1" t="s">
        <v>545</v>
      </c>
      <c r="B441">
        <f t="shared" si="6"/>
        <v>16298996</v>
      </c>
      <c r="C441" t="str">
        <f>VLOOKUP(A441,inusmos_desc!$A:$B,2,0)</f>
        <v>CAIXA BISNAGA 50ML D30 C/CART 12UN</v>
      </c>
    </row>
    <row r="442" spans="1:3" x14ac:dyDescent="0.25">
      <c r="A442" s="1" t="s">
        <v>425</v>
      </c>
      <c r="B442">
        <f t="shared" si="6"/>
        <v>16298997</v>
      </c>
      <c r="C442" t="str">
        <f>VLOOKUP(A442,inusmos_desc!$A:$B,2,0)</f>
        <v>GRANEL Aqua-fluido MAT PERFECT FPS30 AV</v>
      </c>
    </row>
    <row r="443" spans="1:3" x14ac:dyDescent="0.25">
      <c r="A443" s="1" t="s">
        <v>550</v>
      </c>
      <c r="B443">
        <f t="shared" si="6"/>
        <v>16298998</v>
      </c>
      <c r="C443" t="str">
        <f>VLOOKUP(A443,inusmos_desc!$A:$B,2,0)</f>
        <v>SACHE AQUA-FLUIDO MAT PERFECT 30 3ML PF AV</v>
      </c>
    </row>
    <row r="444" spans="1:3" x14ac:dyDescent="0.25">
      <c r="A444" s="1" t="s">
        <v>554</v>
      </c>
      <c r="B444">
        <f t="shared" si="6"/>
        <v>16298999</v>
      </c>
      <c r="C444" t="str">
        <f>VLOOKUP(A444,inusmos_desc!$A:$B,2,0)</f>
        <v>BISNAGA AQUA-FLUIDO MAT PERFECT 30 50ML PF AV</v>
      </c>
    </row>
    <row r="445" spans="1:3" x14ac:dyDescent="0.25">
      <c r="A445" s="1" t="s">
        <v>556</v>
      </c>
      <c r="B445">
        <f t="shared" si="6"/>
        <v>16299000</v>
      </c>
      <c r="C445" t="str">
        <f>VLOOKUP(A445,inusmos_desc!$A:$B,2,0)</f>
        <v>CARTUCHO AQUA-FLUIDO MAT PERFECT 30 50ML PF AV</v>
      </c>
    </row>
    <row r="446" spans="1:3" x14ac:dyDescent="0.25">
      <c r="A446" s="1" t="s">
        <v>560</v>
      </c>
      <c r="B446">
        <f t="shared" si="6"/>
        <v>16299001</v>
      </c>
      <c r="C446" t="str">
        <f>VLOOKUP(A446,inusmos_desc!$A:$B,2,0)</f>
        <v>ESTRUTURA CLEANANCE SOLAR FPS30</v>
      </c>
    </row>
    <row r="447" spans="1:3" x14ac:dyDescent="0.25">
      <c r="A447" s="1" t="s">
        <v>432</v>
      </c>
      <c r="B447">
        <f t="shared" si="6"/>
        <v>16299002</v>
      </c>
      <c r="C447" t="str">
        <f>VLOOKUP(A447,inusmos_desc!$A:$B,2,0)</f>
        <v>GRANEL CLEANANCE SOLAR FPS30 AV</v>
      </c>
    </row>
    <row r="448" spans="1:3" x14ac:dyDescent="0.25">
      <c r="A448" s="1" t="s">
        <v>562</v>
      </c>
      <c r="B448">
        <f t="shared" si="6"/>
        <v>16299003</v>
      </c>
      <c r="C448" t="str">
        <f>VLOOKUP(A448,inusmos_desc!$A:$B,2,0)</f>
        <v>BISNAGA CLEANANCE SOLAR FPS30 50ML PF AV</v>
      </c>
    </row>
    <row r="449" spans="1:3" x14ac:dyDescent="0.25">
      <c r="A449" s="1" t="s">
        <v>563</v>
      </c>
      <c r="B449">
        <f t="shared" si="6"/>
        <v>16299004</v>
      </c>
      <c r="C449" t="str">
        <f>VLOOKUP(A449,inusmos_desc!$A:$B,2,0)</f>
        <v>CARTUCHO CLEANANCE SOLAR FPS30 50ML PF AV</v>
      </c>
    </row>
    <row r="450" spans="1:3" x14ac:dyDescent="0.25">
      <c r="A450" s="1" t="s">
        <v>428</v>
      </c>
      <c r="B450">
        <f t="shared" si="6"/>
        <v>16299005</v>
      </c>
      <c r="C450" t="str">
        <f>VLOOKUP(A450,inusmos_desc!$A:$B,2,0)</f>
        <v>GRANEL Fluido com cor MAT PERFECT FPS60 AV</v>
      </c>
    </row>
    <row r="451" spans="1:3" x14ac:dyDescent="0.25">
      <c r="A451" s="1" t="s">
        <v>566</v>
      </c>
      <c r="B451">
        <f t="shared" ref="B451:B514" si="7">+B450+1</f>
        <v>16299006</v>
      </c>
      <c r="C451" t="str">
        <f>VLOOKUP(A451,inusmos_desc!$A:$B,2,0)</f>
        <v>SACHE FLUIDO COM COR MAT PERFECT 60 3ML PF AV</v>
      </c>
    </row>
    <row r="452" spans="1:3" x14ac:dyDescent="0.25">
      <c r="A452" s="1" t="s">
        <v>570</v>
      </c>
      <c r="B452">
        <f t="shared" si="7"/>
        <v>16299007</v>
      </c>
      <c r="C452" t="str">
        <f>VLOOKUP(A452,inusmos_desc!$A:$B,2,0)</f>
        <v>BISNAGA FLUIDO COM COR MAT PERFECT 60 50ML PF AV</v>
      </c>
    </row>
    <row r="453" spans="1:3" x14ac:dyDescent="0.25">
      <c r="A453" s="1" t="s">
        <v>571</v>
      </c>
      <c r="B453">
        <f t="shared" si="7"/>
        <v>16299008</v>
      </c>
      <c r="C453" t="str">
        <f>VLOOKUP(A453,inusmos_desc!$A:$B,2,0)</f>
        <v>CARTUCHO FLUIDO COM COR MAT PERFECT 60 50ML PF AV</v>
      </c>
    </row>
    <row r="454" spans="1:3" x14ac:dyDescent="0.25">
      <c r="A454" s="1" t="s">
        <v>430</v>
      </c>
      <c r="B454">
        <f t="shared" si="7"/>
        <v>16299009</v>
      </c>
      <c r="C454" t="str">
        <f>VLOOKUP(A454,inusmos_desc!$A:$B,2,0)</f>
        <v>GRANEL Fluido MAT PERFECT FPS60 AV</v>
      </c>
    </row>
    <row r="455" spans="1:3" x14ac:dyDescent="0.25">
      <c r="A455" s="1" t="s">
        <v>576</v>
      </c>
      <c r="B455">
        <f t="shared" si="7"/>
        <v>16299010</v>
      </c>
      <c r="C455" t="str">
        <f>VLOOKUP(A455,inusmos_desc!$A:$B,2,0)</f>
        <v>SACHE FLUIDO MAT PERFECT 60 3ML PF AV</v>
      </c>
    </row>
    <row r="456" spans="1:3" x14ac:dyDescent="0.25">
      <c r="A456" s="1" t="s">
        <v>580</v>
      </c>
      <c r="B456">
        <f t="shared" si="7"/>
        <v>16299011</v>
      </c>
      <c r="C456" t="str">
        <f>VLOOKUP(A456,inusmos_desc!$A:$B,2,0)</f>
        <v>BISNAGA FLUIDO MAT PERFECT 60 50ML PF AV</v>
      </c>
    </row>
    <row r="457" spans="1:3" x14ac:dyDescent="0.25">
      <c r="A457" s="1" t="s">
        <v>581</v>
      </c>
      <c r="B457">
        <f t="shared" si="7"/>
        <v>16299012</v>
      </c>
      <c r="C457" t="str">
        <f>VLOOKUP(A457,inusmos_desc!$A:$B,2,0)</f>
        <v>CARTUCHO FLUIDO MAT PERFECT 60 50ML PF AV</v>
      </c>
    </row>
    <row r="458" spans="1:3" x14ac:dyDescent="0.25">
      <c r="A458" s="1" t="s">
        <v>585</v>
      </c>
      <c r="B458">
        <f t="shared" si="7"/>
        <v>16299013</v>
      </c>
      <c r="C458" t="str">
        <f>VLOOKUP(A458,inusmos_desc!$A:$B,2,0)</f>
        <v>GRANEL AV TRIXERA BAUME</v>
      </c>
    </row>
    <row r="459" spans="1:3" x14ac:dyDescent="0.25">
      <c r="A459" s="1" t="s">
        <v>587</v>
      </c>
      <c r="B459">
        <f t="shared" si="7"/>
        <v>16299014</v>
      </c>
      <c r="C459" t="str">
        <f>VLOOKUP(A459,inusmos_desc!$A:$B,2,0)</f>
        <v>SACHE TRIXERA NUTRI-FLUIDA 10ML PF AV</v>
      </c>
    </row>
    <row r="460" spans="1:3" x14ac:dyDescent="0.25">
      <c r="A460" s="1" t="s">
        <v>591</v>
      </c>
      <c r="B460">
        <f t="shared" si="7"/>
        <v>16299015</v>
      </c>
      <c r="C460" t="str">
        <f>VLOOKUP(A460,inusmos_desc!$A:$B,2,0)</f>
        <v>FRASCO TRIXERA NUTRI-FLUIDA 400ML PF AV</v>
      </c>
    </row>
    <row r="461" spans="1:3" x14ac:dyDescent="0.25">
      <c r="A461" s="1" t="s">
        <v>592</v>
      </c>
      <c r="B461">
        <f t="shared" si="7"/>
        <v>16299016</v>
      </c>
      <c r="C461" t="str">
        <f>VLOOKUP(A461,inusmos_desc!$A:$B,2,0)</f>
        <v>VÁLVULA BICO DE PATO 28/410 BRANCA C/ CLIP</v>
      </c>
    </row>
    <row r="462" spans="1:3" x14ac:dyDescent="0.25">
      <c r="A462" s="1" t="s">
        <v>594</v>
      </c>
      <c r="B462">
        <f t="shared" si="7"/>
        <v>16299017</v>
      </c>
      <c r="C462" t="str">
        <f>VLOOKUP(A462,inusmos_desc!$A:$B,2,0)</f>
        <v>CAIXA FRASCO 400ML SEM CARTUCHO 12UN</v>
      </c>
    </row>
    <row r="463" spans="1:3" x14ac:dyDescent="0.25">
      <c r="A463" s="1" t="s">
        <v>598</v>
      </c>
      <c r="B463">
        <f t="shared" si="7"/>
        <v>16299018</v>
      </c>
      <c r="C463" t="str">
        <f>VLOOKUP(A463,inusmos_desc!$A:$B,2,0)</f>
        <v>BISNAGA TRIXERA NUTRI-FLUIDA 200ML PF AV</v>
      </c>
    </row>
    <row r="464" spans="1:3" x14ac:dyDescent="0.25">
      <c r="A464" s="1" t="s">
        <v>599</v>
      </c>
      <c r="B464">
        <f t="shared" si="7"/>
        <v>16299019</v>
      </c>
      <c r="C464" t="str">
        <f>VLOOKUP(A464,inusmos_desc!$A:$B,2,0)</f>
        <v>CAIXA BISNAGA 200ML SEM CARTUCHO 12UN</v>
      </c>
    </row>
    <row r="465" spans="1:3" x14ac:dyDescent="0.25">
      <c r="A465" s="1" t="s">
        <v>602</v>
      </c>
      <c r="B465">
        <f t="shared" si="7"/>
        <v>16299020</v>
      </c>
      <c r="C465" t="str">
        <f>VLOOKUP(A465,inusmos_desc!$A:$B,2,0)</f>
        <v>GRANEL AV TRIXERA LAIT</v>
      </c>
    </row>
    <row r="466" spans="1:3" x14ac:dyDescent="0.25">
      <c r="A466" s="1" t="s">
        <v>604</v>
      </c>
      <c r="B466">
        <f t="shared" si="7"/>
        <v>16299021</v>
      </c>
      <c r="C466" t="str">
        <f>VLOOKUP(A466,inusmos_desc!$A:$B,2,0)</f>
        <v>SACHE TRIXERA HYDRA-FLUIDA 10ML PF AV</v>
      </c>
    </row>
    <row r="467" spans="1:3" x14ac:dyDescent="0.25">
      <c r="A467" s="1" t="s">
        <v>608</v>
      </c>
      <c r="B467">
        <f t="shared" si="7"/>
        <v>16299022</v>
      </c>
      <c r="C467" t="str">
        <f>VLOOKUP(A467,inusmos_desc!$A:$B,2,0)</f>
        <v>BISNAGA TRIXERA HYDRA-FLUIDA 200ML PF AV</v>
      </c>
    </row>
    <row r="468" spans="1:3" x14ac:dyDescent="0.25">
      <c r="A468" s="1" t="s">
        <v>612</v>
      </c>
      <c r="B468">
        <f t="shared" si="7"/>
        <v>16299023</v>
      </c>
      <c r="C468" t="str">
        <f>VLOOKUP(A468,inusmos_desc!$A:$B,2,0)</f>
        <v>FRASCO TRIXERA HYDRA-FLUIDA 400ML PF AV</v>
      </c>
    </row>
    <row r="469" spans="1:3" x14ac:dyDescent="0.25">
      <c r="A469" s="1" t="s">
        <v>613</v>
      </c>
      <c r="B469">
        <f t="shared" si="7"/>
        <v>16299024</v>
      </c>
      <c r="C469" t="str">
        <f>VLOOKUP(A469,inusmos_desc!$A:$B,2,0)</f>
        <v>VÁLVULA TRIXERA HYDRA-FLUIDA CORAL PF AV</v>
      </c>
    </row>
    <row r="470" spans="1:3" x14ac:dyDescent="0.25">
      <c r="A470" s="1" t="s">
        <v>616</v>
      </c>
      <c r="B470">
        <f t="shared" si="7"/>
        <v>16299025</v>
      </c>
      <c r="C470" t="str">
        <f>VLOOKUP(A470,inusmos_desc!$A:$B,2,0)</f>
        <v>FRASCO ACTINE MICELAR 10ML AG P DW</v>
      </c>
    </row>
    <row r="471" spans="1:3" x14ac:dyDescent="0.25">
      <c r="A471" s="1" t="s">
        <v>531</v>
      </c>
      <c r="B471">
        <f t="shared" si="7"/>
        <v>16299026</v>
      </c>
      <c r="C471" t="str">
        <f>VLOOKUP(A471,inusmos_desc!$A:$B,2,0)</f>
        <v>ACTINE LOÇÃO MICELAR</v>
      </c>
    </row>
    <row r="472" spans="1:3" x14ac:dyDescent="0.25">
      <c r="A472" s="1" t="s">
        <v>619</v>
      </c>
      <c r="B472">
        <f t="shared" si="7"/>
        <v>16299027</v>
      </c>
      <c r="C472" t="str">
        <f>VLOOKUP(A472,inusmos_desc!$A:$B,2,0)</f>
        <v>INDUST ACTINE LOÇÃO MICELAR 10ML</v>
      </c>
    </row>
    <row r="473" spans="1:3" x14ac:dyDescent="0.25">
      <c r="A473" s="1" t="s">
        <v>621</v>
      </c>
      <c r="B473">
        <f t="shared" si="7"/>
        <v>16299028</v>
      </c>
      <c r="C473" t="str">
        <f>VLOOKUP(A473,inusmos_desc!$A:$B,2,0)</f>
        <v>FRASCO ACTINE MICELAR 200ML P DW</v>
      </c>
    </row>
    <row r="474" spans="1:3" x14ac:dyDescent="0.25">
      <c r="A474" s="1" t="s">
        <v>625</v>
      </c>
      <c r="B474">
        <f t="shared" si="7"/>
        <v>16299029</v>
      </c>
      <c r="C474" t="str">
        <f>VLOOKUP(A474,inusmos_desc!$A:$B,2,0)</f>
        <v>SACHE ACTINE SOLAR PELE CLARA FPS30 5ML</v>
      </c>
    </row>
    <row r="475" spans="1:3" x14ac:dyDescent="0.25">
      <c r="A475" s="1" t="s">
        <v>509</v>
      </c>
      <c r="B475">
        <f t="shared" si="7"/>
        <v>16299030</v>
      </c>
      <c r="C475" t="str">
        <f>VLOOKUP(A475,inusmos_desc!$A:$B,2,0)</f>
        <v>GRANEL ACTINE SOLAR FPS30 COLOR</v>
      </c>
    </row>
    <row r="476" spans="1:3" x14ac:dyDescent="0.25">
      <c r="A476" s="1" t="s">
        <v>630</v>
      </c>
      <c r="B476">
        <f t="shared" si="7"/>
        <v>16299031</v>
      </c>
      <c r="C476" t="str">
        <f>VLOOKUP(A476,inusmos_desc!$A:$B,2,0)</f>
        <v>BISNAGA ACTINE SOLAR PELE CLARA FPS30 50ML P DW</v>
      </c>
    </row>
    <row r="477" spans="1:3" x14ac:dyDescent="0.25">
      <c r="A477" s="1" t="s">
        <v>631</v>
      </c>
      <c r="B477">
        <f t="shared" si="7"/>
        <v>16299032</v>
      </c>
      <c r="C477" t="str">
        <f>VLOOKUP(A477,inusmos_desc!$A:$B,2,0)</f>
        <v>CARTUCHO ACTINE SOLAR PELE CLARA FPS30 50ML P DW</v>
      </c>
    </row>
    <row r="478" spans="1:3" x14ac:dyDescent="0.25">
      <c r="A478" s="1" t="s">
        <v>635</v>
      </c>
      <c r="B478">
        <f t="shared" si="7"/>
        <v>16299033</v>
      </c>
      <c r="C478" t="str">
        <f>VLOOKUP(A478,inusmos_desc!$A:$B,2,0)</f>
        <v>BISNAGA ACTINE SOLAR PELE MORENA FPS30 50ML P DW</v>
      </c>
    </row>
    <row r="479" spans="1:3" x14ac:dyDescent="0.25">
      <c r="A479" s="1" t="s">
        <v>636</v>
      </c>
      <c r="B479">
        <f t="shared" si="7"/>
        <v>16299034</v>
      </c>
      <c r="C479" t="str">
        <f>VLOOKUP(A479,inusmos_desc!$A:$B,2,0)</f>
        <v>CARTUCHO ACTINE SOLAR PELE MORENA FPS30 50ML P DW</v>
      </c>
    </row>
    <row r="480" spans="1:3" x14ac:dyDescent="0.25">
      <c r="A480" s="1" t="s">
        <v>530</v>
      </c>
      <c r="B480">
        <f t="shared" si="7"/>
        <v>16299035</v>
      </c>
      <c r="C480" t="str">
        <f>VLOOKUP(A480,inusmos_desc!$A:$B,2,0)</f>
        <v>GRANEL ACTINE SOLAR FPS30 COLOR PELE MORENA</v>
      </c>
    </row>
    <row r="481" spans="1:3" x14ac:dyDescent="0.25">
      <c r="A481" s="1" t="s">
        <v>638</v>
      </c>
      <c r="B481">
        <f t="shared" si="7"/>
        <v>16299036</v>
      </c>
      <c r="C481" t="str">
        <f>VLOOKUP(A481,inusmos_desc!$A:$B,2,0)</f>
        <v>SACHE ACTINE SOLAR PELE MORENA FPS30 5ML P DW</v>
      </c>
    </row>
    <row r="482" spans="1:3" x14ac:dyDescent="0.25">
      <c r="A482" s="1" t="s">
        <v>640</v>
      </c>
      <c r="B482">
        <f t="shared" si="7"/>
        <v>16299037</v>
      </c>
      <c r="C482" t="str">
        <f>VLOOKUP(A482,inusmos_desc!$A:$B,2,0)</f>
        <v>SACHE ACTINE SOLAR FPS70 5ML P DW</v>
      </c>
    </row>
    <row r="483" spans="1:3" x14ac:dyDescent="0.25">
      <c r="A483" s="1" t="s">
        <v>414</v>
      </c>
      <c r="B483">
        <f t="shared" si="7"/>
        <v>16299038</v>
      </c>
      <c r="C483" t="str">
        <f>VLOOKUP(A483,inusmos_desc!$A:$B,2,0)</f>
        <v>GRANEL ACTINE PROTETOR SOLAR FPS70</v>
      </c>
    </row>
    <row r="484" spans="1:3" x14ac:dyDescent="0.25">
      <c r="A484" s="1" t="s">
        <v>645</v>
      </c>
      <c r="B484">
        <f t="shared" si="7"/>
        <v>16299039</v>
      </c>
      <c r="C484" t="str">
        <f>VLOOKUP(A484,inusmos_desc!$A:$B,2,0)</f>
        <v>BISNAGA ACTINE SOLAR FPS70 50ML P DW</v>
      </c>
    </row>
    <row r="485" spans="1:3" x14ac:dyDescent="0.25">
      <c r="A485" s="1" t="s">
        <v>646</v>
      </c>
      <c r="B485">
        <f t="shared" si="7"/>
        <v>16299040</v>
      </c>
      <c r="C485" t="str">
        <f>VLOOKUP(A485,inusmos_desc!$A:$B,2,0)</f>
        <v>CARTUCHO ACTINE SOLAR FPS70 50ML P DW</v>
      </c>
    </row>
    <row r="486" spans="1:3" x14ac:dyDescent="0.25">
      <c r="A486" s="1" t="s">
        <v>452</v>
      </c>
      <c r="B486">
        <f t="shared" si="7"/>
        <v>16299041</v>
      </c>
      <c r="C486" t="str">
        <f>VLOOKUP(A486,inusmos_desc!$A:$B,2,0)</f>
        <v>DW GRANEL DOCTAR SENSI SHAMPOO</v>
      </c>
    </row>
    <row r="487" spans="1:3" x14ac:dyDescent="0.25">
      <c r="A487" s="1" t="s">
        <v>649</v>
      </c>
      <c r="B487">
        <f t="shared" si="7"/>
        <v>16299042</v>
      </c>
      <c r="C487" t="str">
        <f>VLOOKUP(A487,inusmos_desc!$A:$B,2,0)</f>
        <v>ESTRUTURA DOCTAR SENSI SHAMPOO 8ML P DW</v>
      </c>
    </row>
    <row r="488" spans="1:3" x14ac:dyDescent="0.25">
      <c r="A488" s="1" t="s">
        <v>654</v>
      </c>
      <c r="B488">
        <f t="shared" si="7"/>
        <v>16299043</v>
      </c>
      <c r="C488" t="str">
        <f>VLOOKUP(A488,inusmos_desc!$A:$B,2,0)</f>
        <v>BISNAGA DOCTAR SENSI SHAMPOO 120ML P DW</v>
      </c>
    </row>
    <row r="489" spans="1:3" x14ac:dyDescent="0.25">
      <c r="A489" s="1" t="s">
        <v>658</v>
      </c>
      <c r="B489">
        <f t="shared" si="7"/>
        <v>16299044</v>
      </c>
      <c r="C489" t="str">
        <f>VLOOKUP(A489,inusmos_desc!$A:$B,2,0)</f>
        <v>ESTRUTURA ANAPHASE SHAMPOO 8ML PF DU</v>
      </c>
    </row>
    <row r="490" spans="1:3" x14ac:dyDescent="0.25">
      <c r="A490" s="1" t="s">
        <v>660</v>
      </c>
      <c r="B490">
        <f t="shared" si="7"/>
        <v>16299045</v>
      </c>
      <c r="C490" t="str">
        <f>VLOOKUP(A490,inusmos_desc!$A:$B,2,0)</f>
        <v>DU GRANEL ANAPHASE SHAMPOO</v>
      </c>
    </row>
    <row r="491" spans="1:3" x14ac:dyDescent="0.25">
      <c r="A491" s="1" t="s">
        <v>664</v>
      </c>
      <c r="B491">
        <f t="shared" si="7"/>
        <v>16299046</v>
      </c>
      <c r="C491" t="str">
        <f>VLOOKUP(A491,inusmos_desc!$A:$B,2,0)</f>
        <v>ESTRUTURA EXTRA-DOUX SHAMPOO 8ML PF DU</v>
      </c>
    </row>
    <row r="492" spans="1:3" x14ac:dyDescent="0.25">
      <c r="A492" s="1" t="s">
        <v>666</v>
      </c>
      <c r="B492">
        <f t="shared" si="7"/>
        <v>16299047</v>
      </c>
      <c r="C492" t="str">
        <f>VLOOKUP(A492,inusmos_desc!$A:$B,2,0)</f>
        <v>DU GRANEL EXTRA DOUX   SHAMPOO</v>
      </c>
    </row>
    <row r="493" spans="1:3" x14ac:dyDescent="0.25">
      <c r="A493" s="1" t="s">
        <v>669</v>
      </c>
      <c r="B493">
        <f t="shared" si="7"/>
        <v>16299048</v>
      </c>
      <c r="C493" t="str">
        <f>VLOOKUP(A493,inusmos_desc!$A:$B,2,0)</f>
        <v>ESTRUTURA KELUAL DS SHAMPOO 8ML PF DU</v>
      </c>
    </row>
    <row r="494" spans="1:3" x14ac:dyDescent="0.25">
      <c r="A494" s="1" t="s">
        <v>670</v>
      </c>
      <c r="B494">
        <f t="shared" si="7"/>
        <v>16299049</v>
      </c>
      <c r="C494" t="str">
        <f>VLOOKUP(A494,inusmos_desc!$A:$B,2,0)</f>
        <v>DU GRANEL KELUAL DS SHAMPOO</v>
      </c>
    </row>
    <row r="495" spans="1:3" x14ac:dyDescent="0.25">
      <c r="A495" s="1" t="s">
        <v>672</v>
      </c>
      <c r="B495">
        <f t="shared" si="7"/>
        <v>16299050</v>
      </c>
      <c r="C495" t="str">
        <f>VLOOKUP(A495,inusmos_desc!$A:$B,2,0)</f>
        <v>GRANEL DUCRAY KERACNYL FOAMING GEL</v>
      </c>
    </row>
    <row r="496" spans="1:3" x14ac:dyDescent="0.25">
      <c r="A496" s="1" t="s">
        <v>675</v>
      </c>
      <c r="B496">
        <f t="shared" si="7"/>
        <v>16299051</v>
      </c>
      <c r="C496" t="str">
        <f>VLOOKUP(A496,inusmos_desc!$A:$B,2,0)</f>
        <v>ESTRUTURA KERACNYL GEL 5ML PF DU</v>
      </c>
    </row>
    <row r="497" spans="1:3" x14ac:dyDescent="0.25">
      <c r="A497" s="1" t="s">
        <v>679</v>
      </c>
      <c r="B497">
        <f t="shared" si="7"/>
        <v>16299052</v>
      </c>
      <c r="C497" t="str">
        <f>VLOOKUP(A497,inusmos_desc!$A:$B,2,0)</f>
        <v>BISNAGA KERACNYL GEL 60ML PF DU</v>
      </c>
    </row>
    <row r="498" spans="1:3" x14ac:dyDescent="0.25">
      <c r="A498" s="1" t="s">
        <v>683</v>
      </c>
      <c r="B498">
        <f t="shared" si="7"/>
        <v>16299053</v>
      </c>
      <c r="C498" t="str">
        <f>VLOOKUP(A498,inusmos_desc!$A:$B,2,0)</f>
        <v>BISNAGA KERACNYL GEL 150ML PF DU</v>
      </c>
    </row>
    <row r="499" spans="1:3" x14ac:dyDescent="0.25">
      <c r="A499" s="1" t="s">
        <v>686</v>
      </c>
      <c r="B499">
        <f t="shared" si="7"/>
        <v>16299054</v>
      </c>
      <c r="C499" t="str">
        <f>VLOOKUP(A499,inusmos_desc!$A:$B,2,0)</f>
        <v>ESTRUTURA KERTYOL PSO SHAMPOO 8ML PF DU</v>
      </c>
    </row>
    <row r="500" spans="1:3" x14ac:dyDescent="0.25">
      <c r="A500" s="1" t="s">
        <v>689</v>
      </c>
      <c r="B500">
        <f t="shared" si="7"/>
        <v>16299055</v>
      </c>
      <c r="C500" t="str">
        <f>VLOOKUP(A500,inusmos_desc!$A:$B,2,0)</f>
        <v>DU GRANEL KERTYOL PSO SHAMPOO</v>
      </c>
    </row>
    <row r="501" spans="1:3" x14ac:dyDescent="0.25">
      <c r="A501" s="1" t="s">
        <v>692</v>
      </c>
      <c r="B501">
        <f t="shared" si="7"/>
        <v>16299056</v>
      </c>
      <c r="C501" t="str">
        <f>VLOOKUP(A501,inusmos_desc!$A:$B,2,0)</f>
        <v>ESTRUTURA SENSINOL SHAMPOO 8ML PF DU</v>
      </c>
    </row>
    <row r="502" spans="1:3" x14ac:dyDescent="0.25">
      <c r="A502" s="1" t="s">
        <v>695</v>
      </c>
      <c r="B502">
        <f t="shared" si="7"/>
        <v>16299057</v>
      </c>
      <c r="C502" t="str">
        <f>VLOOKUP(A502,inusmos_desc!$A:$B,2,0)</f>
        <v>DU GRANEL SENSINOL SHAMPOO</v>
      </c>
    </row>
    <row r="503" spans="1:3" x14ac:dyDescent="0.25">
      <c r="A503" s="1" t="s">
        <v>699</v>
      </c>
      <c r="B503">
        <f t="shared" si="7"/>
        <v>16299058</v>
      </c>
      <c r="C503" t="str">
        <f>VLOOKUP(A503,inusmos_desc!$A:$B,2,0)</f>
        <v>ESTRUTURA SQUANORM SHAMPOO 8ML PF DU</v>
      </c>
    </row>
    <row r="504" spans="1:3" x14ac:dyDescent="0.25">
      <c r="A504" s="1" t="s">
        <v>701</v>
      </c>
      <c r="B504">
        <f t="shared" si="7"/>
        <v>16299059</v>
      </c>
      <c r="C504" t="str">
        <f>VLOOKUP(A504,inusmos_desc!$A:$B,2,0)</f>
        <v>DU GRANEL SQUANORM  SHAMPOO PELLICULES SÈCHES</v>
      </c>
    </row>
    <row r="505" spans="1:3" x14ac:dyDescent="0.25">
      <c r="A505" s="1" t="s">
        <v>705</v>
      </c>
      <c r="B505">
        <f t="shared" si="7"/>
        <v>16299060</v>
      </c>
      <c r="C505" t="str">
        <f>VLOOKUP(A505,inusmos_desc!$A:$B,2,0)</f>
        <v>SACHE SUNSAFE PROT SOLAR FPS60 3ML P DW</v>
      </c>
    </row>
    <row r="506" spans="1:3" x14ac:dyDescent="0.25">
      <c r="A506" s="1" t="s">
        <v>710</v>
      </c>
      <c r="B506">
        <f t="shared" si="7"/>
        <v>16299061</v>
      </c>
      <c r="C506" t="str">
        <f>VLOOKUP(A506,inusmos_desc!$A:$B,2,0)</f>
        <v>SACHE SUNSAFE PROT SOLAR FPS60 COLOR 3ML P DW</v>
      </c>
    </row>
    <row r="507" spans="1:3" x14ac:dyDescent="0.25">
      <c r="A507" s="1" t="s">
        <v>716</v>
      </c>
      <c r="B507">
        <f t="shared" si="7"/>
        <v>16299062</v>
      </c>
      <c r="C507" t="str">
        <f>VLOOKUP(A507,inusmos_desc!$A:$B,2,0)</f>
        <v>SACHE NUTRIOL LOÇÃO HIDRATANTE C/ PERF 8ML NCG18 P DW</v>
      </c>
    </row>
    <row r="508" spans="1:3" x14ac:dyDescent="0.25">
      <c r="A508" s="1" t="s">
        <v>719</v>
      </c>
      <c r="B508">
        <f t="shared" si="7"/>
        <v>16299063</v>
      </c>
      <c r="C508" t="str">
        <f>VLOOKUP(A508,inusmos_desc!$A:$B,2,0)</f>
        <v>GRANEL NUTRIOL LOÇÃO HIDRATANTE COM PERFUME E PARABENOS</v>
      </c>
    </row>
    <row r="509" spans="1:3" x14ac:dyDescent="0.25">
      <c r="A509" s="1" t="s">
        <v>722</v>
      </c>
      <c r="B509">
        <f t="shared" si="7"/>
        <v>16299064</v>
      </c>
      <c r="C509" t="str">
        <f>VLOOKUP(A509,inusmos_desc!$A:$B,2,0)</f>
        <v>BISNAGA NUTRIOL LOÇÃO HIDRATANTE C/ PERF 200ML NCG18 P DW</v>
      </c>
    </row>
    <row r="510" spans="1:3" x14ac:dyDescent="0.25">
      <c r="A510" s="1" t="s">
        <v>726</v>
      </c>
      <c r="B510">
        <f t="shared" si="7"/>
        <v>16299065</v>
      </c>
      <c r="C510" t="str">
        <f>VLOOKUP(A510,inusmos_desc!$A:$B,2,0)</f>
        <v>SACHE NUTRIOL LOÇÃO HIDRATANTE S/ PERF 8ML NCG18 P DW</v>
      </c>
    </row>
    <row r="511" spans="1:3" x14ac:dyDescent="0.25">
      <c r="A511" s="1" t="s">
        <v>727</v>
      </c>
      <c r="B511">
        <f t="shared" si="7"/>
        <v>16299066</v>
      </c>
      <c r="C511" t="str">
        <f>VLOOKUP(A511,inusmos_desc!$A:$B,2,0)</f>
        <v>GRANEL NUTRIOL LOÇÃO HIDRATANTE SEM PERFUME</v>
      </c>
    </row>
    <row r="512" spans="1:3" x14ac:dyDescent="0.25">
      <c r="A512" s="1" t="s">
        <v>729</v>
      </c>
      <c r="B512">
        <f t="shared" si="7"/>
        <v>16299067</v>
      </c>
      <c r="C512" t="str">
        <f>VLOOKUP(A512,inusmos_desc!$A:$B,2,0)</f>
        <v>BISNAGA NUTRIOL LOÇÃO HIDRATANTE S/ PERF 200ML NCG18 P DW</v>
      </c>
    </row>
    <row r="513" spans="1:3" x14ac:dyDescent="0.25">
      <c r="A513" s="1" t="s">
        <v>731</v>
      </c>
      <c r="B513">
        <f t="shared" si="7"/>
        <v>16299068</v>
      </c>
      <c r="C513" t="str">
        <f>VLOOKUP(A513,inusmos_desc!$A:$B,2,0)</f>
        <v>FRASCO NUTRIOL LOÇÃO HIDRATANTE S/ PERF 400ML NCG18 P DW</v>
      </c>
    </row>
    <row r="514" spans="1:3" x14ac:dyDescent="0.25">
      <c r="A514" s="1" t="s">
        <v>732</v>
      </c>
      <c r="B514">
        <f t="shared" si="7"/>
        <v>16299069</v>
      </c>
      <c r="C514" t="str">
        <f>VLOOKUP(A514,inusmos_desc!$A:$B,2,0)</f>
        <v>VÁLVULA BICO DE PATO 28/410 AZUL C/CLIP</v>
      </c>
    </row>
    <row r="515" spans="1:3" x14ac:dyDescent="0.25">
      <c r="A515" s="1" t="s">
        <v>736</v>
      </c>
      <c r="B515">
        <f t="shared" ref="B515:B578" si="8">+B514+1</f>
        <v>16299070</v>
      </c>
      <c r="C515" t="str">
        <f>VLOOKUP(A515,inusmos_desc!$A:$B,2,0)</f>
        <v>SACHE DOCTAR SHAMPOO 8ML NCG18 P DW</v>
      </c>
    </row>
    <row r="516" spans="1:3" x14ac:dyDescent="0.25">
      <c r="A516" s="1" t="s">
        <v>529</v>
      </c>
      <c r="B516">
        <f t="shared" si="8"/>
        <v>16299071</v>
      </c>
      <c r="C516" t="str">
        <f>VLOOKUP(A516,inusmos_desc!$A:$B,2,0)</f>
        <v>GRANEL DOCTAR SHAMPOO REFORMULAÇÃO</v>
      </c>
    </row>
    <row r="517" spans="1:3" x14ac:dyDescent="0.25">
      <c r="A517" s="1" t="s">
        <v>741</v>
      </c>
      <c r="B517">
        <f t="shared" si="8"/>
        <v>16299072</v>
      </c>
      <c r="C517" t="str">
        <f>VLOOKUP(A517,inusmos_desc!$A:$B,2,0)</f>
        <v>TAMPA FLIP TOP 24/410 BRANCA LUPLASTIC DARROW 140ML DW</v>
      </c>
    </row>
    <row r="518" spans="1:3" x14ac:dyDescent="0.25">
      <c r="A518" s="1" t="s">
        <v>742</v>
      </c>
      <c r="B518">
        <f t="shared" si="8"/>
        <v>16299073</v>
      </c>
      <c r="C518" t="str">
        <f>VLOOKUP(A518,inusmos_desc!$A:$B,2,0)</f>
        <v>ROTULO DOCTAR SHAMPOO 140ML NCG18 P DW</v>
      </c>
    </row>
    <row r="519" spans="1:3" x14ac:dyDescent="0.25">
      <c r="A519" s="1" t="s">
        <v>743</v>
      </c>
      <c r="B519">
        <f t="shared" si="8"/>
        <v>16299074</v>
      </c>
      <c r="C519" t="str">
        <f>VLOOKUP(A519,inusmos_desc!$A:$B,2,0)</f>
        <v>CONTRA-ROTULO DOCTAR SHAMPOO 140ML NCG18 P DW</v>
      </c>
    </row>
    <row r="520" spans="1:3" x14ac:dyDescent="0.25">
      <c r="A520" s="1" t="s">
        <v>747</v>
      </c>
      <c r="B520">
        <f t="shared" si="8"/>
        <v>16299075</v>
      </c>
      <c r="C520" t="str">
        <f>VLOOKUP(A520,inusmos_desc!$A:$B,2,0)</f>
        <v>FLOW PACK SUAVIE SAB BARRA 16G NCG18 P DW</v>
      </c>
    </row>
    <row r="521" spans="1:3" x14ac:dyDescent="0.25">
      <c r="A521" s="1" t="s">
        <v>755</v>
      </c>
      <c r="B521">
        <f t="shared" si="8"/>
        <v>16299076</v>
      </c>
      <c r="C521" t="str">
        <f>VLOOKUP(A521,inusmos_desc!$A:$B,2,0)</f>
        <v>CARTUCHO SUAVIE SAB BARRA 80G NCG18 P DW</v>
      </c>
    </row>
    <row r="522" spans="1:3" x14ac:dyDescent="0.25">
      <c r="A522" s="1" t="s">
        <v>765</v>
      </c>
      <c r="B522">
        <f t="shared" si="8"/>
        <v>16299077</v>
      </c>
      <c r="C522" t="str">
        <f>VLOOKUP(A522,inusmos_desc!$A:$B,2,0)</f>
        <v>SACHE SUAVIE SAB LIQUIDO 5ML NCG18 P DW</v>
      </c>
    </row>
    <row r="523" spans="1:3" x14ac:dyDescent="0.25">
      <c r="A523" s="1" t="s">
        <v>770</v>
      </c>
      <c r="B523">
        <f t="shared" si="8"/>
        <v>16299078</v>
      </c>
      <c r="C523" t="str">
        <f>VLOOKUP(A523,inusmos_desc!$A:$B,2,0)</f>
        <v>BISNAGA SUAVIE SAB LIQUIDO 60ML NCG18 P DW</v>
      </c>
    </row>
    <row r="524" spans="1:3" x14ac:dyDescent="0.25">
      <c r="A524" s="1" t="s">
        <v>773</v>
      </c>
      <c r="B524">
        <f t="shared" si="8"/>
        <v>16299079</v>
      </c>
      <c r="C524" t="str">
        <f>VLOOKUP(A524,inusmos_desc!$A:$B,2,0)</f>
        <v>SLEEVE PET TRANSPARENTE</v>
      </c>
    </row>
    <row r="525" spans="1:3" x14ac:dyDescent="0.25">
      <c r="A525" s="1" t="s">
        <v>775</v>
      </c>
      <c r="B525">
        <f t="shared" si="8"/>
        <v>16299080</v>
      </c>
      <c r="C525" t="str">
        <f>VLOOKUP(A525,inusmos_desc!$A:$B,2,0)</f>
        <v>ROTULO SUAVIE SAB LIQUIDO 140ML NCG18 P DW</v>
      </c>
    </row>
    <row r="526" spans="1:3" x14ac:dyDescent="0.25">
      <c r="A526" s="1" t="s">
        <v>776</v>
      </c>
      <c r="B526">
        <f t="shared" si="8"/>
        <v>16299081</v>
      </c>
      <c r="C526" t="str">
        <f>VLOOKUP(A526,inusmos_desc!$A:$B,2,0)</f>
        <v>CONTRA-ROTULO SUAVIE SAB LIQUIDO 140ML NCG18 P DW</v>
      </c>
    </row>
    <row r="527" spans="1:3" x14ac:dyDescent="0.25">
      <c r="A527" s="1" t="s">
        <v>783</v>
      </c>
      <c r="B527">
        <f t="shared" si="8"/>
        <v>16299082</v>
      </c>
      <c r="C527" t="str">
        <f>VLOOKUP(A527,inusmos_desc!$A:$B,2,0)</f>
        <v>FLOW PACK NUTRIOL SAB BARRA 16G NCG18 P DW</v>
      </c>
    </row>
    <row r="528" spans="1:3" x14ac:dyDescent="0.25">
      <c r="A528" s="1" t="s">
        <v>788</v>
      </c>
      <c r="B528">
        <f t="shared" si="8"/>
        <v>16299083</v>
      </c>
      <c r="C528" t="str">
        <f>VLOOKUP(A528,inusmos_desc!$A:$B,2,0)</f>
        <v>CARTUCHO NUTRIOL SAB BARRA 80G NCG18 P DW</v>
      </c>
    </row>
    <row r="529" spans="1:3" x14ac:dyDescent="0.25">
      <c r="A529" s="1" t="s">
        <v>796</v>
      </c>
      <c r="B529">
        <f t="shared" si="8"/>
        <v>16299084</v>
      </c>
      <c r="C529" t="str">
        <f>VLOOKUP(A529,inusmos_desc!$A:$B,2,0)</f>
        <v>SACHE NUTRIOL SAB LIQUIDO 5ML NCG18 P DW</v>
      </c>
    </row>
    <row r="530" spans="1:3" x14ac:dyDescent="0.25">
      <c r="A530" s="1" t="s">
        <v>799</v>
      </c>
      <c r="B530">
        <f t="shared" si="8"/>
        <v>16299085</v>
      </c>
      <c r="C530" t="str">
        <f>VLOOKUP(A530,inusmos_desc!$A:$B,2,0)</f>
        <v>GRANEL NUTRIOL SABONETE LIQUIDO</v>
      </c>
    </row>
    <row r="531" spans="1:3" x14ac:dyDescent="0.25">
      <c r="A531" s="1" t="s">
        <v>803</v>
      </c>
      <c r="B531">
        <f t="shared" si="8"/>
        <v>16299086</v>
      </c>
      <c r="C531" t="str">
        <f>VLOOKUP(A531,inusmos_desc!$A:$B,2,0)</f>
        <v>CONTRA-ROTULO NUTRIOL SAB LIQUIDO 140ML NCG18 P DW</v>
      </c>
    </row>
    <row r="532" spans="1:3" x14ac:dyDescent="0.25">
      <c r="A532" s="1" t="s">
        <v>804</v>
      </c>
      <c r="B532">
        <f t="shared" si="8"/>
        <v>16299087</v>
      </c>
      <c r="C532" t="str">
        <f>VLOOKUP(A532,inusmos_desc!$A:$B,2,0)</f>
        <v>ROTULO NUTRIOL SAB LIQUIDO 140ML NCG18 P DW</v>
      </c>
    </row>
    <row r="533" spans="1:3" x14ac:dyDescent="0.25">
      <c r="A533" s="1" t="s">
        <v>807</v>
      </c>
      <c r="B533">
        <f t="shared" si="8"/>
        <v>16299088</v>
      </c>
      <c r="C533" t="str">
        <f>VLOOKUP(A533,inusmos_desc!$A:$B,2,0)</f>
        <v>BISNAGA ACTINE TRAT 30G NCG18 P DW</v>
      </c>
    </row>
    <row r="534" spans="1:3" x14ac:dyDescent="0.25">
      <c r="A534" s="1" t="s">
        <v>809</v>
      </c>
      <c r="B534">
        <f t="shared" si="8"/>
        <v>16299089</v>
      </c>
      <c r="C534" t="str">
        <f>VLOOKUP(A534,inusmos_desc!$A:$B,2,0)</f>
        <v>CARTUCHO ACTINE TRAT 30G NCG18 P DW</v>
      </c>
    </row>
    <row r="535" spans="1:3" x14ac:dyDescent="0.25">
      <c r="A535" s="1" t="s">
        <v>812</v>
      </c>
      <c r="B535">
        <f t="shared" si="8"/>
        <v>16299090</v>
      </c>
      <c r="C535" t="str">
        <f>VLOOKUP(A535,inusmos_desc!$A:$B,2,0)</f>
        <v>SACHE ACTINE TRAT 3G NCG18 P DW</v>
      </c>
    </row>
    <row r="536" spans="1:3" x14ac:dyDescent="0.25">
      <c r="A536" s="1" t="s">
        <v>817</v>
      </c>
      <c r="B536">
        <f t="shared" si="8"/>
        <v>16299091</v>
      </c>
      <c r="C536" t="str">
        <f>VLOOKUP(A536,inusmos_desc!$A:$B,2,0)</f>
        <v>SACHE SUNSAFE PROT SOLAR FPS30 3ML NCG18 P DW</v>
      </c>
    </row>
    <row r="537" spans="1:3" x14ac:dyDescent="0.25">
      <c r="A537" s="1" t="s">
        <v>821</v>
      </c>
      <c r="B537">
        <f t="shared" si="8"/>
        <v>16299092</v>
      </c>
      <c r="C537" t="str">
        <f>VLOOKUP(A537,inusmos_desc!$A:$B,2,0)</f>
        <v>CARTUCHO SUNSAFE PROT SOLAR FPS30 50ML NCG18 P DW</v>
      </c>
    </row>
    <row r="538" spans="1:3" x14ac:dyDescent="0.25">
      <c r="A538" s="1" t="s">
        <v>822</v>
      </c>
      <c r="B538">
        <f t="shared" si="8"/>
        <v>16299093</v>
      </c>
      <c r="C538" t="str">
        <f>VLOOKUP(A538,inusmos_desc!$A:$B,2,0)</f>
        <v>BISNAGA SUNSAFE PROT SOLAR FPS30 50ML NCG18 P DW</v>
      </c>
    </row>
    <row r="539" spans="1:3" x14ac:dyDescent="0.25">
      <c r="A539" s="1" t="s">
        <v>825</v>
      </c>
      <c r="B539">
        <f t="shared" si="8"/>
        <v>16299094</v>
      </c>
      <c r="C539" t="str">
        <f>VLOOKUP(A539,inusmos_desc!$A:$B,2,0)</f>
        <v>SACHE SUNSAFE PROT SOLAR FPS30 COLOR 3ML NCG18 P DW</v>
      </c>
    </row>
    <row r="540" spans="1:3" x14ac:dyDescent="0.25">
      <c r="A540" s="1" t="s">
        <v>829</v>
      </c>
      <c r="B540">
        <f t="shared" si="8"/>
        <v>16299095</v>
      </c>
      <c r="C540" t="str">
        <f>VLOOKUP(A540,inusmos_desc!$A:$B,2,0)</f>
        <v>CARTUCHO SUNSAFE PROT SOLAR FPS30 COLOR 50ML NCG18 P DW</v>
      </c>
    </row>
    <row r="541" spans="1:3" x14ac:dyDescent="0.25">
      <c r="A541" s="1" t="s">
        <v>830</v>
      </c>
      <c r="B541">
        <f t="shared" si="8"/>
        <v>16299096</v>
      </c>
      <c r="C541" t="str">
        <f>VLOOKUP(A541,inusmos_desc!$A:$B,2,0)</f>
        <v>BISNAGA SUNSAFE PROT SOLAR FPS30 COLOR 50ML NCG18 P DW</v>
      </c>
    </row>
    <row r="542" spans="1:3" x14ac:dyDescent="0.25">
      <c r="A542" s="1" t="s">
        <v>833</v>
      </c>
      <c r="B542">
        <f t="shared" si="8"/>
        <v>16299097</v>
      </c>
      <c r="C542" t="str">
        <f>VLOOKUP(A542,inusmos_desc!$A:$B,2,0)</f>
        <v>CARTUCHO SUNSAFE PROT SOLAR FPS60 50ML NCG18 P DW</v>
      </c>
    </row>
    <row r="543" spans="1:3" x14ac:dyDescent="0.25">
      <c r="A543" s="1" t="s">
        <v>834</v>
      </c>
      <c r="B543">
        <f t="shared" si="8"/>
        <v>16299098</v>
      </c>
      <c r="C543" t="str">
        <f>VLOOKUP(A543,inusmos_desc!$A:$B,2,0)</f>
        <v>BISNAGA SUNSAFE PROT SOLAR FPS60 50ML NCG18 P DW</v>
      </c>
    </row>
    <row r="544" spans="1:3" x14ac:dyDescent="0.25">
      <c r="A544" s="1" t="s">
        <v>837</v>
      </c>
      <c r="B544">
        <f t="shared" si="8"/>
        <v>16299099</v>
      </c>
      <c r="C544" t="str">
        <f>VLOOKUP(A544,inusmos_desc!$A:$B,2,0)</f>
        <v>CARTUCHO SUNSAFE PROT SOLAR FPS60 COLOR 50ML NCG18 P DW</v>
      </c>
    </row>
    <row r="545" spans="1:3" x14ac:dyDescent="0.25">
      <c r="A545" s="1" t="s">
        <v>838</v>
      </c>
      <c r="B545">
        <f t="shared" si="8"/>
        <v>16299100</v>
      </c>
      <c r="C545" t="str">
        <f>VLOOKUP(A545,inusmos_desc!$A:$B,2,0)</f>
        <v>BISNAGA SUNSAFE PROT SOLAR FPS60 COLOR 50ML NCG18 P DW</v>
      </c>
    </row>
    <row r="546" spans="1:3" x14ac:dyDescent="0.25">
      <c r="A546" s="1" t="s">
        <v>840</v>
      </c>
      <c r="B546">
        <f t="shared" si="8"/>
        <v>16299101</v>
      </c>
      <c r="C546" t="str">
        <f>VLOOKUP(A546,inusmos_desc!$A:$B,2,0)</f>
        <v>SACHE ACTINE ESFOLIANTE 5G NCG18 P DW</v>
      </c>
    </row>
    <row r="547" spans="1:3" x14ac:dyDescent="0.25">
      <c r="A547" s="1" t="s">
        <v>843</v>
      </c>
      <c r="B547">
        <f t="shared" si="8"/>
        <v>16299102</v>
      </c>
      <c r="C547" t="str">
        <f>VLOOKUP(A547,inusmos_desc!$A:$B,2,0)</f>
        <v>BISNAGA ACTINE ESFOLIANTE 60G NCG18 P DW</v>
      </c>
    </row>
    <row r="548" spans="1:3" x14ac:dyDescent="0.25">
      <c r="A548" s="1" t="s">
        <v>846</v>
      </c>
      <c r="B548">
        <f t="shared" si="8"/>
        <v>16299103</v>
      </c>
      <c r="C548" t="str">
        <f>VLOOKUP(A548,inusmos_desc!$A:$B,2,0)</f>
        <v>FLOW PACK ACTINE CONTROL SAB BARRA NF 16G P DW</v>
      </c>
    </row>
    <row r="549" spans="1:3" x14ac:dyDescent="0.25">
      <c r="A549" s="1" t="s">
        <v>851</v>
      </c>
      <c r="B549">
        <f t="shared" si="8"/>
        <v>16299104</v>
      </c>
      <c r="C549" t="str">
        <f>VLOOKUP(A549,inusmos_desc!$A:$B,2,0)</f>
        <v>NANOMELALEUCA LV N</v>
      </c>
    </row>
    <row r="550" spans="1:3" x14ac:dyDescent="0.25">
      <c r="A550" s="1" t="s">
        <v>855</v>
      </c>
      <c r="B550">
        <f t="shared" si="8"/>
        <v>16299105</v>
      </c>
      <c r="C550" t="str">
        <f>VLOOKUP(A550,inusmos_desc!$A:$B,2,0)</f>
        <v>SACHE ACTINE CONTROL SAB LIQUIDO 5ML NCG18 P DW</v>
      </c>
    </row>
    <row r="551" spans="1:3" x14ac:dyDescent="0.25">
      <c r="A551" s="1" t="s">
        <v>860</v>
      </c>
      <c r="B551">
        <f t="shared" si="8"/>
        <v>16299106</v>
      </c>
      <c r="C551" t="str">
        <f>VLOOKUP(A551,inusmos_desc!$A:$B,2,0)</f>
        <v>CARTUCHO ACTINE CONTROL SAB BARRA NF 80G P DW</v>
      </c>
    </row>
    <row r="552" spans="1:3" x14ac:dyDescent="0.25">
      <c r="A552" s="1" t="s">
        <v>870</v>
      </c>
      <c r="B552">
        <f t="shared" si="8"/>
        <v>16299107</v>
      </c>
      <c r="C552" t="str">
        <f>VLOOKUP(A552,inusmos_desc!$A:$B,2,0)</f>
        <v>BISNAGA ACTINE CONTROL SAB LIQUIDO 60ML NCG18 P DW</v>
      </c>
    </row>
    <row r="553" spans="1:3" x14ac:dyDescent="0.25">
      <c r="A553" s="1" t="s">
        <v>875</v>
      </c>
      <c r="B553">
        <f t="shared" si="8"/>
        <v>16299108</v>
      </c>
      <c r="C553" t="str">
        <f>VLOOKUP(A553,inusmos_desc!$A:$B,2,0)</f>
        <v>CONTRA-ROTULO ACTINE CONTROL SAB LIQUIDO 140ML NCG18 P DW</v>
      </c>
    </row>
    <row r="554" spans="1:3" x14ac:dyDescent="0.25">
      <c r="A554" s="1" t="s">
        <v>876</v>
      </c>
      <c r="B554">
        <f t="shared" si="8"/>
        <v>16299109</v>
      </c>
      <c r="C554" t="str">
        <f>VLOOKUP(A554,inusmos_desc!$A:$B,2,0)</f>
        <v>ROTULO ACTINE CONTROL SAB LIQUIDO 140ML NCG18 P DW</v>
      </c>
    </row>
    <row r="555" spans="1:3" x14ac:dyDescent="0.25">
      <c r="A555" s="1" t="s">
        <v>878</v>
      </c>
      <c r="B555">
        <f t="shared" si="8"/>
        <v>16299110</v>
      </c>
      <c r="C555" t="str">
        <f>VLOOKUP(A555,inusmos_desc!$A:$B,2,0)</f>
        <v>FLOW PACK ACTINE SAB BARRA 16G NCG18 P DW</v>
      </c>
    </row>
    <row r="556" spans="1:3" x14ac:dyDescent="0.25">
      <c r="A556" s="1" t="s">
        <v>895</v>
      </c>
      <c r="B556">
        <f t="shared" si="8"/>
        <v>16299111</v>
      </c>
      <c r="C556" t="str">
        <f>VLOOKUP(A556,inusmos_desc!$A:$B,2,0)</f>
        <v>CARTUCHO ACTINE SAB BARRA 80G NCG18 P DW</v>
      </c>
    </row>
    <row r="557" spans="1:3" x14ac:dyDescent="0.25">
      <c r="A557" s="1" t="s">
        <v>898</v>
      </c>
      <c r="B557">
        <f t="shared" si="8"/>
        <v>16299112</v>
      </c>
      <c r="C557" t="str">
        <f>VLOOKUP(A557,inusmos_desc!$A:$B,2,0)</f>
        <v>BISNAGA ACTINE SAB LIQUIDO 60ML NCG18 P DW</v>
      </c>
    </row>
    <row r="558" spans="1:3" x14ac:dyDescent="0.25">
      <c r="A558" s="1" t="s">
        <v>904</v>
      </c>
      <c r="B558">
        <f t="shared" si="8"/>
        <v>16299113</v>
      </c>
      <c r="C558" t="str">
        <f>VLOOKUP(A558,inusmos_desc!$A:$B,2,0)</f>
        <v>ROTULO ACTINE SAB LIQUIDO 140ML NCG18 P DW</v>
      </c>
    </row>
    <row r="559" spans="1:3" x14ac:dyDescent="0.25">
      <c r="A559" s="1" t="s">
        <v>905</v>
      </c>
      <c r="B559">
        <f t="shared" si="8"/>
        <v>16299114</v>
      </c>
      <c r="C559" t="str">
        <f>VLOOKUP(A559,inusmos_desc!$A:$B,2,0)</f>
        <v>CONTRA-ROTULO ACTINE SAB LIQUIDO 140ML NCG18 P DW</v>
      </c>
    </row>
    <row r="560" spans="1:3" x14ac:dyDescent="0.25">
      <c r="A560" s="1" t="s">
        <v>909</v>
      </c>
      <c r="B560">
        <f t="shared" si="8"/>
        <v>16299115</v>
      </c>
      <c r="C560" t="str">
        <f>VLOOKUP(A560,inusmos_desc!$A:$B,2,0)</f>
        <v>SACHE ACTINE SAB LIQUIDO 5ML NCG18 P DW</v>
      </c>
    </row>
    <row r="561" spans="1:3" x14ac:dyDescent="0.25">
      <c r="A561" s="1" t="s">
        <v>915</v>
      </c>
      <c r="B561">
        <f t="shared" si="8"/>
        <v>16299116</v>
      </c>
      <c r="C561" t="str">
        <f>VLOOKUP(A561,inusmos_desc!$A:$B,2,0)</f>
        <v>CONTRA-ROTULO ACTINE SAB LIQUIDO 240ML NCG18 P DW</v>
      </c>
    </row>
    <row r="562" spans="1:3" x14ac:dyDescent="0.25">
      <c r="A562" s="1" t="s">
        <v>916</v>
      </c>
      <c r="B562">
        <f t="shared" si="8"/>
        <v>16299117</v>
      </c>
      <c r="C562" t="str">
        <f>VLOOKUP(A562,inusmos_desc!$A:$B,2,0)</f>
        <v>ROTULO ACTINE SAB LIQUIDO 240ML NCG18 P DW</v>
      </c>
    </row>
    <row r="563" spans="1:3" x14ac:dyDescent="0.25">
      <c r="A563" s="1" t="s">
        <v>919</v>
      </c>
      <c r="B563">
        <f t="shared" si="8"/>
        <v>16299118</v>
      </c>
      <c r="C563" t="str">
        <f>VLOOKUP(A563,inusmos_desc!$A:$B,2,0)</f>
        <v>FRASCO ACTINE SAB LIQ 400ML P DW</v>
      </c>
    </row>
    <row r="564" spans="1:3" x14ac:dyDescent="0.25">
      <c r="A564" s="1" t="s">
        <v>922</v>
      </c>
      <c r="B564">
        <f t="shared" si="8"/>
        <v>16299119</v>
      </c>
      <c r="C564" t="str">
        <f>VLOOKUP(A564,inusmos_desc!$A:$B,2,0)</f>
        <v>FLOW PACK SOAPELLE SAB BARRA 16G NCG18 P DW</v>
      </c>
    </row>
    <row r="565" spans="1:3" x14ac:dyDescent="0.25">
      <c r="A565" s="1" t="s">
        <v>932</v>
      </c>
      <c r="B565">
        <f t="shared" si="8"/>
        <v>16299120</v>
      </c>
      <c r="C565" t="str">
        <f>VLOOKUP(A565,inusmos_desc!$A:$B,2,0)</f>
        <v>CARTUCHO SOAPELLE SAB BARRA 80G NCG18 P DW</v>
      </c>
    </row>
    <row r="566" spans="1:3" x14ac:dyDescent="0.25">
      <c r="A566" s="1" t="s">
        <v>944</v>
      </c>
      <c r="B566">
        <f t="shared" si="8"/>
        <v>16299121</v>
      </c>
      <c r="C566" t="str">
        <f>VLOOKUP(A566,inusmos_desc!$A:$B,2,0)</f>
        <v>SACHE SOAPELLE SAB LIQUIDO 5ML NCG18 P DW</v>
      </c>
    </row>
    <row r="567" spans="1:3" x14ac:dyDescent="0.25">
      <c r="A567" s="1" t="s">
        <v>950</v>
      </c>
      <c r="B567">
        <f t="shared" si="8"/>
        <v>16299122</v>
      </c>
      <c r="C567" t="str">
        <f>VLOOKUP(A567,inusmos_desc!$A:$B,2,0)</f>
        <v>CONTRA-ROTULO SOAPELLE SAB LIQUIDO 140ML NCG18 P DW</v>
      </c>
    </row>
    <row r="568" spans="1:3" x14ac:dyDescent="0.25">
      <c r="A568" s="1" t="s">
        <v>951</v>
      </c>
      <c r="B568">
        <f t="shared" si="8"/>
        <v>16299123</v>
      </c>
      <c r="C568" t="str">
        <f>VLOOKUP(A568,inusmos_desc!$A:$B,2,0)</f>
        <v>ROTULO SOAPELLE SAB LIQUIDO 140ML NCG18 P DW</v>
      </c>
    </row>
    <row r="569" spans="1:3" x14ac:dyDescent="0.25">
      <c r="A569" s="1" t="s">
        <v>953</v>
      </c>
      <c r="B569">
        <f t="shared" si="8"/>
        <v>16299124</v>
      </c>
      <c r="C569" t="str">
        <f>VLOOKUP(A569,inusmos_desc!$A:$B,2,0)</f>
        <v>GRANEL KLINSE SHP NF</v>
      </c>
    </row>
    <row r="570" spans="1:3" x14ac:dyDescent="0.25">
      <c r="A570" s="1" t="s">
        <v>955</v>
      </c>
      <c r="B570">
        <f t="shared" si="8"/>
        <v>16299125</v>
      </c>
      <c r="C570" t="str">
        <f>VLOOKUP(A570,inusmos_desc!$A:$B,2,0)</f>
        <v>SACHE KLINSE SHAMPOO 8ML NCG18 P DW</v>
      </c>
    </row>
    <row r="571" spans="1:3" x14ac:dyDescent="0.25">
      <c r="A571" s="1" t="s">
        <v>960</v>
      </c>
      <c r="B571">
        <f t="shared" si="8"/>
        <v>16299126</v>
      </c>
      <c r="C571" t="str">
        <f>VLOOKUP(A571,inusmos_desc!$A:$B,2,0)</f>
        <v>TAMPA FLIP TOP 24/410 AZUL LUPLASTIC DARROW 140ML DW</v>
      </c>
    </row>
    <row r="572" spans="1:3" x14ac:dyDescent="0.25">
      <c r="A572" s="1" t="s">
        <v>961</v>
      </c>
      <c r="B572">
        <f t="shared" si="8"/>
        <v>16299127</v>
      </c>
      <c r="C572" t="str">
        <f>VLOOKUP(A572,inusmos_desc!$A:$B,2,0)</f>
        <v>ROTULO KLINSE SHAMPOO 140ML NCG18 P DW</v>
      </c>
    </row>
    <row r="573" spans="1:3" x14ac:dyDescent="0.25">
      <c r="A573" s="1" t="s">
        <v>962</v>
      </c>
      <c r="B573">
        <f t="shared" si="8"/>
        <v>16299128</v>
      </c>
      <c r="C573" t="str">
        <f>VLOOKUP(A573,inusmos_desc!$A:$B,2,0)</f>
        <v>CONTRA-ROTULO KLINSE SHAMPOO 140ML NCG18 P DW</v>
      </c>
    </row>
    <row r="574" spans="1:3" x14ac:dyDescent="0.25">
      <c r="A574" s="1" t="s">
        <v>966</v>
      </c>
      <c r="B574">
        <f t="shared" si="8"/>
        <v>16299129</v>
      </c>
      <c r="C574" t="str">
        <f>VLOOKUP(A574,inusmos_desc!$A:$B,2,0)</f>
        <v>SACHE KLINSE NEUTRO SHAMPOO 8ML NCG18 P DW</v>
      </c>
    </row>
    <row r="575" spans="1:3" x14ac:dyDescent="0.25">
      <c r="A575" s="1" t="s">
        <v>971</v>
      </c>
      <c r="B575">
        <f t="shared" si="8"/>
        <v>16299130</v>
      </c>
      <c r="C575" t="str">
        <f>VLOOKUP(A575,inusmos_desc!$A:$B,2,0)</f>
        <v>ROTULO KLINSE NEUTRO SHAMPOO 140ML NCG18 P DW</v>
      </c>
    </row>
    <row r="576" spans="1:3" x14ac:dyDescent="0.25">
      <c r="A576" s="1" t="s">
        <v>972</v>
      </c>
      <c r="B576">
        <f t="shared" si="8"/>
        <v>16299131</v>
      </c>
      <c r="C576" t="str">
        <f>VLOOKUP(A576,inusmos_desc!$A:$B,2,0)</f>
        <v>CONTRA-ROTULO KLINSE NEUTRO SHAMPOO 140ML NCG18 P DW</v>
      </c>
    </row>
    <row r="577" spans="1:3" x14ac:dyDescent="0.25">
      <c r="A577" s="1" t="s">
        <v>976</v>
      </c>
      <c r="B577">
        <f t="shared" si="8"/>
        <v>16299132</v>
      </c>
      <c r="C577" t="str">
        <f>VLOOKUP(A577,inusmos_desc!$A:$B,2,0)</f>
        <v>SACHE ACTINE PROT SOLAR FPS30 3ML NR P DW</v>
      </c>
    </row>
    <row r="578" spans="1:3" x14ac:dyDescent="0.25">
      <c r="A578" s="1" t="s">
        <v>981</v>
      </c>
      <c r="B578">
        <f t="shared" si="8"/>
        <v>16299133</v>
      </c>
      <c r="C578" t="str">
        <f>VLOOKUP(A578,inusmos_desc!$A:$B,2,0)</f>
        <v>BISNAGA ACTINE PROT SOLAR FPS30 60ML NR P DW</v>
      </c>
    </row>
    <row r="579" spans="1:3" x14ac:dyDescent="0.25">
      <c r="A579" s="1" t="s">
        <v>982</v>
      </c>
      <c r="B579">
        <f t="shared" ref="B579:B642" si="9">+B578+1</f>
        <v>16299134</v>
      </c>
      <c r="C579" t="str">
        <f>VLOOKUP(A579,inusmos_desc!$A:$B,2,0)</f>
        <v>CARTUCHO ACTINE PROT SOLAR FPS30 60ML NR P DW</v>
      </c>
    </row>
    <row r="580" spans="1:3" x14ac:dyDescent="0.25">
      <c r="A580" s="1" t="s">
        <v>986</v>
      </c>
      <c r="B580">
        <f t="shared" si="9"/>
        <v>16299135</v>
      </c>
      <c r="C580" t="str">
        <f>VLOOKUP(A580,inusmos_desc!$A:$B,2,0)</f>
        <v>BISNAGA ACTINE PROT SOLAR FPS30 120ML NR P DW</v>
      </c>
    </row>
    <row r="581" spans="1:3" x14ac:dyDescent="0.25">
      <c r="A581" s="1" t="s">
        <v>989</v>
      </c>
      <c r="B581">
        <f t="shared" si="9"/>
        <v>16299136</v>
      </c>
      <c r="C581" t="str">
        <f>VLOOKUP(A581,inusmos_desc!$A:$B,2,0)</f>
        <v>SACHE DOCTAR CREME 5ML NCG18 P DW</v>
      </c>
    </row>
    <row r="582" spans="1:3" x14ac:dyDescent="0.25">
      <c r="A582" s="1" t="s">
        <v>995</v>
      </c>
      <c r="B582">
        <f t="shared" si="9"/>
        <v>16299137</v>
      </c>
      <c r="C582" t="str">
        <f>VLOOKUP(A582,inusmos_desc!$A:$B,2,0)</f>
        <v>BISNAGA DOCTAR CREME 100ML NCG18 P DW</v>
      </c>
    </row>
    <row r="583" spans="1:3" x14ac:dyDescent="0.25">
      <c r="A583" s="1" t="s">
        <v>996</v>
      </c>
      <c r="B583">
        <f t="shared" si="9"/>
        <v>16299138</v>
      </c>
      <c r="C583" t="str">
        <f>VLOOKUP(A583,inusmos_desc!$A:$B,2,0)</f>
        <v>CARTUCHO DOCTAR CREME 100ML NCG18 P DW</v>
      </c>
    </row>
    <row r="584" spans="1:3" x14ac:dyDescent="0.25">
      <c r="A584" s="1" t="s">
        <v>997</v>
      </c>
      <c r="B584">
        <f t="shared" si="9"/>
        <v>16299139</v>
      </c>
      <c r="C584" t="str">
        <f>VLOOKUP(A584,inusmos_desc!$A:$B,2,0)</f>
        <v>CAIXA BISNAGA 100ML C/CART 12UN</v>
      </c>
    </row>
    <row r="585" spans="1:3" x14ac:dyDescent="0.25">
      <c r="A585" s="1" t="s">
        <v>1001</v>
      </c>
      <c r="B585">
        <f t="shared" si="9"/>
        <v>16299140</v>
      </c>
      <c r="C585" t="str">
        <f>VLOOKUP(A585,inusmos_desc!$A:$B,2,0)</f>
        <v>FRASCO ACTINE LOÇÃO ADSTRINGENTE 190ML NCG18 P DW</v>
      </c>
    </row>
    <row r="586" spans="1:3" x14ac:dyDescent="0.25">
      <c r="A586" s="1" t="s">
        <v>1004</v>
      </c>
      <c r="B586">
        <f t="shared" si="9"/>
        <v>16299141</v>
      </c>
      <c r="C586" t="str">
        <f>VLOOKUP(A586,inusmos_desc!$A:$B,2,0)</f>
        <v>BISNAGA ANAPHASE SHAMPOO 200ML PEF DU</v>
      </c>
    </row>
    <row r="587" spans="1:3" x14ac:dyDescent="0.25">
      <c r="A587" s="1" t="s">
        <v>1008</v>
      </c>
      <c r="B587">
        <f t="shared" si="9"/>
        <v>16299142</v>
      </c>
      <c r="C587" t="str">
        <f>VLOOKUP(A587,inusmos_desc!$A:$B,2,0)</f>
        <v>BISNAGA ANAPHASE SHAMPOO 100ML PEF DU</v>
      </c>
    </row>
    <row r="588" spans="1:3" x14ac:dyDescent="0.25">
      <c r="A588" s="1" t="s">
        <v>1010</v>
      </c>
      <c r="B588">
        <f t="shared" si="9"/>
        <v>16299143</v>
      </c>
      <c r="C588" t="str">
        <f>VLOOKUP(A588,inusmos_desc!$A:$B,2,0)</f>
        <v>CAIXA BISNAGA 100ML D40 S/CART 12UN</v>
      </c>
    </row>
    <row r="589" spans="1:3" x14ac:dyDescent="0.25">
      <c r="A589" s="1" t="s">
        <v>1013</v>
      </c>
      <c r="B589">
        <f t="shared" si="9"/>
        <v>16299144</v>
      </c>
      <c r="C589" t="str">
        <f>VLOOKUP(A589,inusmos_desc!$A:$B,2,0)</f>
        <v>SACHE SUNSAFE PROT SOLAR FPS60 3ML NCG18 P DW</v>
      </c>
    </row>
    <row r="590" spans="1:3" x14ac:dyDescent="0.25">
      <c r="A590" s="1" t="s">
        <v>1015</v>
      </c>
      <c r="B590">
        <f t="shared" si="9"/>
        <v>16299145</v>
      </c>
      <c r="C590" t="str">
        <f>VLOOKUP(A590,inusmos_desc!$A:$B,2,0)</f>
        <v>SACHE SUNSAFE PROT SOLAR FPS60 COLOR 3ML NCG18 P DW</v>
      </c>
    </row>
    <row r="591" spans="1:3" x14ac:dyDescent="0.25">
      <c r="A591" s="1" t="s">
        <v>1024</v>
      </c>
      <c r="B591">
        <f t="shared" si="9"/>
        <v>16299146</v>
      </c>
      <c r="C591" t="str">
        <f>VLOOKUP(A591,inusmos_desc!$A:$B,2,0)</f>
        <v>CARTUCHO KELUAL DS SHAMPOO 100ML PEF DU</v>
      </c>
    </row>
    <row r="592" spans="1:3" x14ac:dyDescent="0.25">
      <c r="A592" s="1" t="s">
        <v>1025</v>
      </c>
      <c r="B592">
        <f t="shared" si="9"/>
        <v>16299147</v>
      </c>
      <c r="C592" t="str">
        <f>VLOOKUP(A592,inusmos_desc!$A:$B,2,0)</f>
        <v>BISNAGA KELUAL DS SHAMPOO 100ML PEF DU</v>
      </c>
    </row>
    <row r="593" spans="1:3" x14ac:dyDescent="0.25">
      <c r="A593" s="1" t="s">
        <v>1029</v>
      </c>
      <c r="B593">
        <f t="shared" si="9"/>
        <v>16299148</v>
      </c>
      <c r="C593" t="str">
        <f>VLOOKUP(A593,inusmos_desc!$A:$B,2,0)</f>
        <v>CARTUCHO KERTYOL PSO SHAMPOO 100ML PEF DU</v>
      </c>
    </row>
    <row r="594" spans="1:3" x14ac:dyDescent="0.25">
      <c r="A594" s="1" t="s">
        <v>1030</v>
      </c>
      <c r="B594">
        <f t="shared" si="9"/>
        <v>16299149</v>
      </c>
      <c r="C594" t="str">
        <f>VLOOKUP(A594,inusmos_desc!$A:$B,2,0)</f>
        <v>BISNAGA KERTYOL PSO SHAMPOO 100ML</v>
      </c>
    </row>
    <row r="595" spans="1:3" x14ac:dyDescent="0.25">
      <c r="A595" s="1" t="s">
        <v>1034</v>
      </c>
      <c r="B595">
        <f t="shared" si="9"/>
        <v>16299150</v>
      </c>
      <c r="C595" t="str">
        <f>VLOOKUP(A595,inusmos_desc!$A:$B,2,0)</f>
        <v>692920 OTZ 10</v>
      </c>
    </row>
    <row r="596" spans="1:3" x14ac:dyDescent="0.25">
      <c r="A596" s="1" t="s">
        <v>1035</v>
      </c>
      <c r="B596">
        <f t="shared" si="9"/>
        <v>16299151</v>
      </c>
      <c r="C596" t="str">
        <f>VLOOKUP(A596,inusmos_desc!$A:$B,2,0)</f>
        <v>25755 PVP/EICOSENE COPM 30-70</v>
      </c>
    </row>
    <row r="597" spans="1:3" x14ac:dyDescent="0.25">
      <c r="A597" s="1" t="s">
        <v>1036</v>
      </c>
      <c r="B597">
        <f t="shared" si="9"/>
        <v>16299152</v>
      </c>
      <c r="C597" t="str">
        <f>VLOOKUP(A597,inusmos_desc!$A:$B,2,0)</f>
        <v>692495 1,2 HEXANEDIOL</v>
      </c>
    </row>
    <row r="598" spans="1:3" x14ac:dyDescent="0.25">
      <c r="A598" s="1" t="s">
        <v>1037</v>
      </c>
      <c r="B598">
        <f t="shared" si="9"/>
        <v>16299153</v>
      </c>
      <c r="C598" t="str">
        <f>VLOOKUP(A598,inusmos_desc!$A:$B,2,0)</f>
        <v>692675 PARF. PF403929 E130277705</v>
      </c>
    </row>
    <row r="599" spans="1:3" x14ac:dyDescent="0.25">
      <c r="A599" s="1" t="s">
        <v>1038</v>
      </c>
      <c r="B599">
        <f t="shared" si="9"/>
        <v>16299154</v>
      </c>
      <c r="C599" t="str">
        <f>VLOOKUP(A599,inusmos_desc!$A:$B,2,0)</f>
        <v>693137 CAPR.GLY 1 / ETA 99</v>
      </c>
    </row>
    <row r="600" spans="1:3" x14ac:dyDescent="0.25">
      <c r="A600" s="1" t="s">
        <v>1039</v>
      </c>
      <c r="B600">
        <f t="shared" si="9"/>
        <v>16299155</v>
      </c>
      <c r="C600" t="str">
        <f>VLOOKUP(A600,inusmos_desc!$A:$B,2,0)</f>
        <v>INDUSTRIALIZAÇÃO GRANEL CLEANANCE 50+</v>
      </c>
    </row>
    <row r="601" spans="1:3" x14ac:dyDescent="0.25">
      <c r="A601" s="1" t="s">
        <v>1041</v>
      </c>
      <c r="B601">
        <f t="shared" si="9"/>
        <v>16299156</v>
      </c>
      <c r="C601" t="str">
        <f>VLOOKUP(A601,inusmos_desc!$A:$B,2,0)</f>
        <v>692542 ASCOPHYSCIENT</v>
      </c>
    </row>
    <row r="602" spans="1:3" x14ac:dyDescent="0.25">
      <c r="A602" s="1" t="s">
        <v>1042</v>
      </c>
      <c r="B602">
        <f t="shared" si="9"/>
        <v>16299157</v>
      </c>
      <c r="C602" t="str">
        <f>VLOOKUP(A602,inusmos_desc!$A:$B,2,0)</f>
        <v>INDUSTRIALIZAÇÃO AV GRANEL CREME 50+  ANTI AGE</v>
      </c>
    </row>
    <row r="603" spans="1:3" x14ac:dyDescent="0.25">
      <c r="A603" s="1" t="s">
        <v>1047</v>
      </c>
      <c r="B603">
        <f t="shared" si="9"/>
        <v>16299158</v>
      </c>
      <c r="C603" t="str">
        <f>VLOOKUP(A603,inusmos_desc!$A:$B,2,0)</f>
        <v>FLOW PACK TRIXERA SABONETE BARRA FAMILIA 16G P AV</v>
      </c>
    </row>
    <row r="604" spans="1:3" x14ac:dyDescent="0.25">
      <c r="A604" s="1" t="s">
        <v>1051</v>
      </c>
      <c r="B604">
        <f t="shared" si="9"/>
        <v>16299159</v>
      </c>
      <c r="C604" t="str">
        <f>VLOOKUP(A604,inusmos_desc!$A:$B,2,0)</f>
        <v>INDUSTRIALIZAÇÃO GRANEL ACTINE ANTI ACNE FPS30</v>
      </c>
    </row>
    <row r="605" spans="1:3" x14ac:dyDescent="0.25">
      <c r="A605" s="1" t="s">
        <v>1053</v>
      </c>
      <c r="B605">
        <f t="shared" si="9"/>
        <v>16299160</v>
      </c>
      <c r="C605" t="str">
        <f>VLOOKUP(A605,inusmos_desc!$A:$B,2,0)</f>
        <v>INDUSTRIALIZAÇÃO GRANEL ACTINE ANTI ACNE FPS60</v>
      </c>
    </row>
    <row r="606" spans="1:3" x14ac:dyDescent="0.25">
      <c r="A606" s="1" t="s">
        <v>1055</v>
      </c>
      <c r="B606">
        <f t="shared" si="9"/>
        <v>16299161</v>
      </c>
      <c r="C606" t="str">
        <f>VLOOKUP(A606,inusmos_desc!$A:$B,2,0)</f>
        <v>ROTULO ACTINE SAB LIQUIDO 240ML 20% P DW</v>
      </c>
    </row>
    <row r="607" spans="1:3" x14ac:dyDescent="0.25">
      <c r="A607" s="1" t="s">
        <v>1056</v>
      </c>
      <c r="B607">
        <f t="shared" si="9"/>
        <v>16299162</v>
      </c>
      <c r="C607" t="str">
        <f>VLOOKUP(A607,inusmos_desc!$A:$B,2,0)</f>
        <v>CONTRA-ROTULO ACTINE SAB LIQUIDO 240ML 20% P DW</v>
      </c>
    </row>
    <row r="608" spans="1:3" x14ac:dyDescent="0.25">
      <c r="A608" s="1" t="s">
        <v>1060</v>
      </c>
      <c r="B608">
        <f t="shared" si="9"/>
        <v>16299163</v>
      </c>
      <c r="C608" t="str">
        <f>VLOOKUP(A608,inusmos_desc!$A:$B,2,0)</f>
        <v>AV GRANEL PHYSIOLIFT CREME NOITE</v>
      </c>
    </row>
    <row r="609" spans="1:3" x14ac:dyDescent="0.25">
      <c r="A609" s="1" t="s">
        <v>1062</v>
      </c>
      <c r="B609">
        <f t="shared" si="9"/>
        <v>16299164</v>
      </c>
      <c r="C609" t="str">
        <f>VLOOKUP(A609,inusmos_desc!$A:$B,2,0)</f>
        <v>ESTRUTURA PHYSIOLIFT NUIT 2ML PF AV</v>
      </c>
    </row>
    <row r="610" spans="1:3" x14ac:dyDescent="0.25">
      <c r="A610" s="1" t="s">
        <v>1066</v>
      </c>
      <c r="B610">
        <f t="shared" si="9"/>
        <v>16299165</v>
      </c>
      <c r="C610" t="str">
        <f>VLOOKUP(A610,inusmos_desc!$A:$B,2,0)</f>
        <v>AV GRANEL PHYSIOLIFT CREME PARA OLHOS</v>
      </c>
    </row>
    <row r="611" spans="1:3" x14ac:dyDescent="0.25">
      <c r="A611" s="1" t="s">
        <v>1067</v>
      </c>
      <c r="B611">
        <f t="shared" si="9"/>
        <v>16299166</v>
      </c>
      <c r="C611" t="str">
        <f>VLOOKUP(A611,inusmos_desc!$A:$B,2,0)</f>
        <v>ESTRUTURA PHYSIOLIFT YEUX 2ML PF AV</v>
      </c>
    </row>
    <row r="612" spans="1:3" x14ac:dyDescent="0.25">
      <c r="A612" s="1" t="s">
        <v>1070</v>
      </c>
      <c r="B612">
        <f t="shared" si="9"/>
        <v>16299167</v>
      </c>
      <c r="C612" t="str">
        <f>VLOOKUP(A612,inusmos_desc!$A:$B,2,0)</f>
        <v>ESTRUTURA FLUIDO ANTI ACNE MAT P FPS60 3G PF AV</v>
      </c>
    </row>
    <row r="613" spans="1:3" x14ac:dyDescent="0.25">
      <c r="A613" s="1" t="s">
        <v>1033</v>
      </c>
      <c r="B613">
        <f t="shared" si="9"/>
        <v>16299168</v>
      </c>
      <c r="C613" t="str">
        <f>VLOOKUP(A613,inusmos_desc!$A:$B,2,0)</f>
        <v>AV GRANEL FLUIDO ANTI ACNE MAT PERFECT FPS50</v>
      </c>
    </row>
    <row r="614" spans="1:3" x14ac:dyDescent="0.25">
      <c r="A614" s="1" t="s">
        <v>1072</v>
      </c>
      <c r="B614">
        <f t="shared" si="9"/>
        <v>16299169</v>
      </c>
      <c r="C614" t="str">
        <f>VLOOKUP(A614,inusmos_desc!$A:$B,2,0)</f>
        <v>BISNAGA FLUIDO ANTI ACNE MAT P FPS60 40G PF AV</v>
      </c>
    </row>
    <row r="615" spans="1:3" x14ac:dyDescent="0.25">
      <c r="A615" s="1" t="s">
        <v>1073</v>
      </c>
      <c r="B615">
        <f t="shared" si="9"/>
        <v>16299170</v>
      </c>
      <c r="C615" t="str">
        <f>VLOOKUP(A615,inusmos_desc!$A:$B,2,0)</f>
        <v>CARTUCHO FLUIDO ANTI ACNE MAT P FPS60 40G PF AV</v>
      </c>
    </row>
    <row r="616" spans="1:3" x14ac:dyDescent="0.25">
      <c r="A616" s="1" t="s">
        <v>1076</v>
      </c>
      <c r="B616">
        <f t="shared" si="9"/>
        <v>16299171</v>
      </c>
      <c r="C616" t="str">
        <f>VLOOKUP(A616,inusmos_desc!$A:$B,2,0)</f>
        <v>12242 HUILE CARTHAME HYBRIDE</v>
      </c>
    </row>
    <row r="617" spans="1:3" x14ac:dyDescent="0.25">
      <c r="A617" s="1" t="s">
        <v>1077</v>
      </c>
      <c r="B617">
        <f t="shared" si="9"/>
        <v>16299172</v>
      </c>
      <c r="C617" t="str">
        <f>VLOOKUP(A617,inusmos_desc!$A:$B,2,0)</f>
        <v>113636 HUILE ONAGRE</v>
      </c>
    </row>
    <row r="618" spans="1:3" x14ac:dyDescent="0.25">
      <c r="A618" s="1" t="s">
        <v>1078</v>
      </c>
      <c r="B618">
        <f t="shared" si="9"/>
        <v>16299173</v>
      </c>
      <c r="C618" t="str">
        <f>VLOOKUP(A618,inusmos_desc!$A:$B,2,0)</f>
        <v>408000 HUILE OLIVE VIERGE</v>
      </c>
    </row>
    <row r="619" spans="1:3" x14ac:dyDescent="0.25">
      <c r="A619" s="1" t="s">
        <v>1079</v>
      </c>
      <c r="B619">
        <f t="shared" si="9"/>
        <v>16299174</v>
      </c>
      <c r="C619" t="str">
        <f>VLOOKUP(A619,inusmos_desc!$A:$B,2,0)</f>
        <v>620681 HUILE CAMELINE</v>
      </c>
    </row>
    <row r="620" spans="1:3" x14ac:dyDescent="0.25">
      <c r="A620" s="1" t="s">
        <v>1080</v>
      </c>
      <c r="B620">
        <f t="shared" si="9"/>
        <v>16299175</v>
      </c>
      <c r="C620" t="str">
        <f>VLOOKUP(A620,inusmos_desc!$A:$B,2,0)</f>
        <v>692531 PARF SOIN PRECIEUX E_1126170</v>
      </c>
    </row>
    <row r="621" spans="1:3" x14ac:dyDescent="0.25">
      <c r="A621" s="1" t="s">
        <v>1083</v>
      </c>
      <c r="B621">
        <f t="shared" si="9"/>
        <v>16299176</v>
      </c>
      <c r="C621" t="str">
        <f>VLOOKUP(A621,inusmos_desc!$A:$B,2,0)</f>
        <v>ESTRUTURA NUTRIOL HIDRAT C/ PERF SP 8ML P DW</v>
      </c>
    </row>
    <row r="622" spans="1:3" x14ac:dyDescent="0.25">
      <c r="A622" s="1" t="s">
        <v>1057</v>
      </c>
      <c r="B622">
        <f t="shared" si="9"/>
        <v>16299177</v>
      </c>
      <c r="C622" t="str">
        <f>VLOOKUP(A622,inusmos_desc!$A:$B,2,0)</f>
        <v>GRANEL NUTRIOL LOÇÃO COM PERFUME E SEM PARABENOS</v>
      </c>
    </row>
    <row r="623" spans="1:3" x14ac:dyDescent="0.25">
      <c r="A623" s="1" t="s">
        <v>1085</v>
      </c>
      <c r="B623">
        <f t="shared" si="9"/>
        <v>16299178</v>
      </c>
      <c r="C623" t="str">
        <f>VLOOKUP(A623,inusmos_desc!$A:$B,2,0)</f>
        <v>BISNAGA NUTRIOL HIDRAT C/ PERF SP 200ML P DW</v>
      </c>
    </row>
    <row r="624" spans="1:3" x14ac:dyDescent="0.25">
      <c r="A624" s="1" t="s">
        <v>1087</v>
      </c>
      <c r="B624">
        <f t="shared" si="9"/>
        <v>16299179</v>
      </c>
      <c r="C624" t="str">
        <f>VLOOKUP(A624,inusmos_desc!$A:$B,2,0)</f>
        <v>FRASCO NUTRIOL HIDRAT S/ PERF SP 400ML P DW</v>
      </c>
    </row>
    <row r="625" spans="1:3" x14ac:dyDescent="0.25">
      <c r="A625" s="1" t="s">
        <v>1058</v>
      </c>
      <c r="B625">
        <f t="shared" si="9"/>
        <v>16299180</v>
      </c>
      <c r="C625" t="str">
        <f>VLOOKUP(A625,inusmos_desc!$A:$B,2,0)</f>
        <v>GRANEL NUTRIOL LOÇÃO SEM PERFUME E SEM PARABENOS</v>
      </c>
    </row>
    <row r="626" spans="1:3" x14ac:dyDescent="0.25">
      <c r="A626" s="1" t="s">
        <v>1089</v>
      </c>
      <c r="B626">
        <f t="shared" si="9"/>
        <v>16299181</v>
      </c>
      <c r="C626" t="str">
        <f>VLOOKUP(A626,inusmos_desc!$A:$B,2,0)</f>
        <v>ESTRUTURA NUTRIOL HIDRAT S/ PERF SP 8ML P DW</v>
      </c>
    </row>
    <row r="627" spans="1:3" x14ac:dyDescent="0.25">
      <c r="A627" s="1" t="s">
        <v>1091</v>
      </c>
      <c r="B627">
        <f t="shared" si="9"/>
        <v>16299182</v>
      </c>
      <c r="C627" t="str">
        <f>VLOOKUP(A627,inusmos_desc!$A:$B,2,0)</f>
        <v>BISNAGA NUTRIOL HIDRAT S/ PERF SP 200ML P DW</v>
      </c>
    </row>
    <row r="628" spans="1:3" x14ac:dyDescent="0.25">
      <c r="A628" s="1" t="s">
        <v>1093</v>
      </c>
      <c r="B628">
        <f t="shared" si="9"/>
        <v>16299183</v>
      </c>
      <c r="C628" t="str">
        <f>VLOOKUP(A628,inusmos_desc!$A:$B,2,0)</f>
        <v>ESTRUTURA ACTINE MASCARA ESFOLIANTE 5ML P DW</v>
      </c>
    </row>
    <row r="629" spans="1:3" x14ac:dyDescent="0.25">
      <c r="A629" s="1" t="s">
        <v>1096</v>
      </c>
      <c r="B629">
        <f t="shared" si="9"/>
        <v>16299184</v>
      </c>
      <c r="C629" t="str">
        <f>VLOOKUP(A629,inusmos_desc!$A:$B,2,0)</f>
        <v>GRANEL ACTINE MASCARA ESFOLIANTE</v>
      </c>
    </row>
    <row r="630" spans="1:3" x14ac:dyDescent="0.25">
      <c r="A630" s="1" t="s">
        <v>1099</v>
      </c>
      <c r="B630">
        <f t="shared" si="9"/>
        <v>16299185</v>
      </c>
      <c r="C630" t="str">
        <f>VLOOKUP(A630,inusmos_desc!$A:$B,2,0)</f>
        <v>BISNAGA ACTINE SOLAR ANTI ACNE FPS60 40G P DW</v>
      </c>
    </row>
    <row r="631" spans="1:3" x14ac:dyDescent="0.25">
      <c r="A631" s="1" t="s">
        <v>1100</v>
      </c>
      <c r="B631">
        <f t="shared" si="9"/>
        <v>16299186</v>
      </c>
      <c r="C631" t="str">
        <f>VLOOKUP(A631,inusmos_desc!$A:$B,2,0)</f>
        <v>CARTUCHO ACTINE SOLAR ANTI ACNE FPS60 40G P DW</v>
      </c>
    </row>
    <row r="632" spans="1:3" x14ac:dyDescent="0.25">
      <c r="A632" s="1" t="s">
        <v>1052</v>
      </c>
      <c r="B632">
        <f t="shared" si="9"/>
        <v>16299187</v>
      </c>
      <c r="C632" t="str">
        <f>VLOOKUP(A632,inusmos_desc!$A:$B,2,0)</f>
        <v>GRANEL ACTINE ANTI ACNE FPS60</v>
      </c>
    </row>
    <row r="633" spans="1:3" x14ac:dyDescent="0.25">
      <c r="A633" s="1" t="s">
        <v>1104</v>
      </c>
      <c r="B633">
        <f t="shared" si="9"/>
        <v>16299188</v>
      </c>
      <c r="C633" t="str">
        <f>VLOOKUP(A633,inusmos_desc!$A:$B,2,0)</f>
        <v>ESTRUTURA ACTINE SOLAR ANTI ACNE FPS60 3G P DW</v>
      </c>
    </row>
    <row r="634" spans="1:3" x14ac:dyDescent="0.25">
      <c r="A634" s="1" t="s">
        <v>1106</v>
      </c>
      <c r="B634">
        <f t="shared" si="9"/>
        <v>16299189</v>
      </c>
      <c r="C634" t="str">
        <f>VLOOKUP(A634,inusmos_desc!$A:$B,2,0)</f>
        <v>BISNAGA ACTINE SOLAR ANTI ACNE FPS30 40G P DW</v>
      </c>
    </row>
    <row r="635" spans="1:3" x14ac:dyDescent="0.25">
      <c r="A635" s="1" t="s">
        <v>1107</v>
      </c>
      <c r="B635">
        <f t="shared" si="9"/>
        <v>16299190</v>
      </c>
      <c r="C635" t="str">
        <f>VLOOKUP(A635,inusmos_desc!$A:$B,2,0)</f>
        <v>CARTUCHO ACTINE SOLAR ANTI ACNE FPS30 40G P DW</v>
      </c>
    </row>
    <row r="636" spans="1:3" x14ac:dyDescent="0.25">
      <c r="A636" s="1" t="s">
        <v>1050</v>
      </c>
      <c r="B636">
        <f t="shared" si="9"/>
        <v>16299191</v>
      </c>
      <c r="C636" t="str">
        <f>VLOOKUP(A636,inusmos_desc!$A:$B,2,0)</f>
        <v>GRANEL ACTINE ANTI ACNE FPS30</v>
      </c>
    </row>
    <row r="637" spans="1:3" x14ac:dyDescent="0.25">
      <c r="A637" s="1" t="s">
        <v>1109</v>
      </c>
      <c r="B637">
        <f t="shared" si="9"/>
        <v>16299192</v>
      </c>
      <c r="C637" t="str">
        <f>VLOOKUP(A637,inusmos_desc!$A:$B,2,0)</f>
        <v>ESTRUTURA ACTINE SOLAR ANTI ACNE FPS30 3G P DW</v>
      </c>
    </row>
    <row r="638" spans="1:3" x14ac:dyDescent="0.25">
      <c r="A638" s="1" t="s">
        <v>1110</v>
      </c>
      <c r="B638">
        <f t="shared" si="9"/>
        <v>16299193</v>
      </c>
      <c r="C638" t="str">
        <f>VLOOKUP(A638,inusmos_desc!$A:$B,2,0)</f>
        <v>C47-060 SUNCROMA TITANIUM DIOXIDE</v>
      </c>
    </row>
    <row r="639" spans="1:3" x14ac:dyDescent="0.25">
      <c r="A639" s="1" t="s">
        <v>1111</v>
      </c>
      <c r="B639">
        <f t="shared" si="9"/>
        <v>16299194</v>
      </c>
      <c r="C639" t="str">
        <f>VLOOKUP(A639,inusmos_desc!$A:$B,2,0)</f>
        <v>8301 CETEARETH-20</v>
      </c>
    </row>
    <row r="640" spans="1:3" x14ac:dyDescent="0.25">
      <c r="A640" s="1" t="s">
        <v>1112</v>
      </c>
      <c r="B640">
        <f t="shared" si="9"/>
        <v>16299195</v>
      </c>
      <c r="C640" t="str">
        <f>VLOOKUP(A640,inusmos_desc!$A:$B,2,0)</f>
        <v>10101 HECTORITE</v>
      </c>
    </row>
    <row r="641" spans="1:3" x14ac:dyDescent="0.25">
      <c r="A641" s="1" t="s">
        <v>1113</v>
      </c>
      <c r="B641">
        <f t="shared" si="9"/>
        <v>16299196</v>
      </c>
      <c r="C641" t="str">
        <f>VLOOKUP(A641,inusmos_desc!$A:$B,2,0)</f>
        <v>IMERCARE 2KS</v>
      </c>
    </row>
    <row r="642" spans="1:3" x14ac:dyDescent="0.25">
      <c r="A642" s="1" t="s">
        <v>1114</v>
      </c>
      <c r="B642">
        <f t="shared" si="9"/>
        <v>16299197</v>
      </c>
      <c r="C642" t="str">
        <f>VLOOKUP(A642,inusmos_desc!$A:$B,2,0)</f>
        <v>119992 AMINO CHELATE ZINC 20%</v>
      </c>
    </row>
    <row r="643" spans="1:3" x14ac:dyDescent="0.25">
      <c r="A643" s="1" t="s">
        <v>1115</v>
      </c>
      <c r="B643">
        <f t="shared" ref="B643:B659" si="10">+B642+1</f>
        <v>16299198</v>
      </c>
      <c r="C643" t="str">
        <f>VLOOKUP(A643,inusmos_desc!$A:$B,2,0)</f>
        <v>603101 DEXPANTHENOL</v>
      </c>
    </row>
    <row r="644" spans="1:3" x14ac:dyDescent="0.25">
      <c r="A644" s="1" t="s">
        <v>1116</v>
      </c>
      <c r="B644">
        <f t="shared" si="10"/>
        <v>16299199</v>
      </c>
      <c r="C644" t="str">
        <f>VLOOKUP(A644,inusmos_desc!$A:$B,2,0)</f>
        <v>629928 EAU DISTILLEE HAMAMELIS</v>
      </c>
    </row>
    <row r="645" spans="1:3" x14ac:dyDescent="0.25">
      <c r="A645" s="1" t="s">
        <v>1117</v>
      </c>
      <c r="B645">
        <f t="shared" si="10"/>
        <v>16299200</v>
      </c>
      <c r="C645" t="str">
        <f>VLOOKUP(A645,inusmos_desc!$A:$B,2,0)</f>
        <v>692528 PARF.EVANESCENCE E_1116944/01</v>
      </c>
    </row>
    <row r="646" spans="1:3" x14ac:dyDescent="0.25">
      <c r="A646" s="1" t="s">
        <v>1118</v>
      </c>
      <c r="B646">
        <f t="shared" si="10"/>
        <v>16299201</v>
      </c>
      <c r="C646" t="str">
        <f>VLOOKUP(A646,inusmos_desc!$A:$B,2,0)</f>
        <v>692799 CELLULOSE ACETATE 300</v>
      </c>
    </row>
    <row r="647" spans="1:3" x14ac:dyDescent="0.25">
      <c r="A647" s="1" t="s">
        <v>1119</v>
      </c>
      <c r="B647">
        <f t="shared" si="10"/>
        <v>16299202</v>
      </c>
      <c r="C647" t="str">
        <f>VLOOKUP(A647,inusmos_desc!$A:$B,2,0)</f>
        <v>692800 CELLULOSE ACETATE 500</v>
      </c>
    </row>
    <row r="648" spans="1:3" x14ac:dyDescent="0.25">
      <c r="A648" s="1" t="s">
        <v>1120</v>
      </c>
      <c r="B648">
        <f t="shared" si="10"/>
        <v>16299203</v>
      </c>
      <c r="C648" t="str">
        <f>VLOOKUP(A648,inusmos_desc!$A:$B,2,0)</f>
        <v>692899 UNICERT BLUE 05601 J</v>
      </c>
    </row>
    <row r="649" spans="1:3" x14ac:dyDescent="0.25">
      <c r="A649" s="1" t="s">
        <v>1122</v>
      </c>
      <c r="B649">
        <f t="shared" si="10"/>
        <v>16299204</v>
      </c>
      <c r="C649" t="str">
        <f>VLOOKUP(A649,inusmos_desc!$A:$B,2,0)</f>
        <v>692900 UNICERT GREEN 06503-J</v>
      </c>
    </row>
    <row r="650" spans="1:3" x14ac:dyDescent="0.25">
      <c r="A650" s="1" t="s">
        <v>1124</v>
      </c>
      <c r="B650">
        <f t="shared" si="10"/>
        <v>16299205</v>
      </c>
      <c r="C650" t="str">
        <f>VLOOKUP(A650,inusmos_desc!$A:$B,2,0)</f>
        <v>692905 COL.FD&amp;C YELLOW 5 CI19140</v>
      </c>
    </row>
    <row r="651" spans="1:3" x14ac:dyDescent="0.25">
      <c r="A651" s="1" t="s">
        <v>1128</v>
      </c>
      <c r="B651">
        <f t="shared" si="10"/>
        <v>16299206</v>
      </c>
      <c r="C651" t="str">
        <f>VLOOKUP(A651,inusmos_desc!$A:$B,2,0)</f>
        <v>INDUSTRIALIZAÇÃO ACTINE MASCARA ESFOLIANTE</v>
      </c>
    </row>
    <row r="652" spans="1:3" x14ac:dyDescent="0.25">
      <c r="A652" s="1" t="s">
        <v>1130</v>
      </c>
      <c r="B652">
        <f t="shared" si="10"/>
        <v>16299207</v>
      </c>
      <c r="C652" t="str">
        <f>VLOOKUP(A652,inusmos_desc!$A:$B,2,0)</f>
        <v>CARTUCHO ACTINE SAB BARRA 20% 80G  DW</v>
      </c>
    </row>
    <row r="653" spans="1:3" x14ac:dyDescent="0.25">
      <c r="A653" s="1" t="s">
        <v>1132</v>
      </c>
      <c r="B653">
        <f t="shared" si="10"/>
        <v>16299208</v>
      </c>
      <c r="C653" t="str">
        <f>VLOOKUP(A653,inusmos_desc!$A:$B,2,0)</f>
        <v>ROTULO DOCTAR SHAMPOO 140ML 20% P DW</v>
      </c>
    </row>
    <row r="654" spans="1:3" x14ac:dyDescent="0.25">
      <c r="A654" s="1" t="s">
        <v>1133</v>
      </c>
      <c r="B654">
        <f t="shared" si="10"/>
        <v>16299209</v>
      </c>
      <c r="C654" t="str">
        <f>VLOOKUP(A654,inusmos_desc!$A:$B,2,0)</f>
        <v>CONTRA-ROTULO DOCTAR SHAMPOO 140ML 20% P DW</v>
      </c>
    </row>
    <row r="655" spans="1:3" x14ac:dyDescent="0.25">
      <c r="A655" s="1" t="s">
        <v>1135</v>
      </c>
      <c r="B655">
        <f t="shared" si="10"/>
        <v>16299210</v>
      </c>
      <c r="C655" t="str">
        <f>VLOOKUP(A655,inusmos_desc!$A:$B,2,0)</f>
        <v>BISNAGA EMULSÃO SOLAR TOQUE SECO COR FPS70 40G PF AV</v>
      </c>
    </row>
    <row r="656" spans="1:3" x14ac:dyDescent="0.25">
      <c r="A656" s="1" t="s">
        <v>1136</v>
      </c>
      <c r="B656">
        <f t="shared" si="10"/>
        <v>16299211</v>
      </c>
      <c r="C656" t="str">
        <f>VLOOKUP(A656,inusmos_desc!$A:$B,2,0)</f>
        <v>CARTUCHO EMULSÃO SOLAR TOQUE SECO COR FPS70 40G PF AV</v>
      </c>
    </row>
    <row r="657" spans="1:3" x14ac:dyDescent="0.25">
      <c r="A657" s="1" t="s">
        <v>1137</v>
      </c>
      <c r="B657">
        <f t="shared" si="10"/>
        <v>16299212</v>
      </c>
      <c r="C657" t="str">
        <f>VLOOKUP(A657,inusmos_desc!$A:$B,2,0)</f>
        <v>FOLHETO EXPLICATIVO AVENE SOLAR PEF AV</v>
      </c>
    </row>
    <row r="658" spans="1:3" x14ac:dyDescent="0.25">
      <c r="A658" s="1" t="s">
        <v>1141</v>
      </c>
      <c r="B658">
        <f t="shared" si="10"/>
        <v>16299213</v>
      </c>
      <c r="C658" t="str">
        <f>VLOOKUP(A658,inusmos_desc!$A:$B,2,0)</f>
        <v>BISNAGA EMULSÃO SOLAR TOQUE SECO FPS70 40G PF AV</v>
      </c>
    </row>
    <row r="659" spans="1:3" x14ac:dyDescent="0.25">
      <c r="A659" s="1" t="s">
        <v>1142</v>
      </c>
      <c r="B659">
        <f t="shared" si="10"/>
        <v>16299214</v>
      </c>
      <c r="C659" t="str">
        <f>VLOOKUP(A659,inusmos_desc!$A:$B,2,0)</f>
        <v>CARTUCHO EMULSÃO SOLAR TOQUE SECO FPS70 40G PF AV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3"/>
  <sheetViews>
    <sheetView workbookViewId="0">
      <selection activeCell="C2" sqref="C2:C113"/>
    </sheetView>
  </sheetViews>
  <sheetFormatPr defaultRowHeight="15" x14ac:dyDescent="0.25"/>
  <sheetData>
    <row r="1" spans="1:2" x14ac:dyDescent="0.25">
      <c r="A1" t="s">
        <v>1692</v>
      </c>
      <c r="B1" t="s">
        <v>1693</v>
      </c>
    </row>
    <row r="2" spans="1:2" x14ac:dyDescent="0.25">
      <c r="A2" t="s">
        <v>345</v>
      </c>
      <c r="B2">
        <v>16598556</v>
      </c>
    </row>
    <row r="3" spans="1:2" x14ac:dyDescent="0.25">
      <c r="A3" t="s">
        <v>350</v>
      </c>
      <c r="B3">
        <v>16598557</v>
      </c>
    </row>
    <row r="4" spans="1:2" x14ac:dyDescent="0.25">
      <c r="A4" t="s">
        <v>355</v>
      </c>
      <c r="B4">
        <v>16598558</v>
      </c>
    </row>
    <row r="5" spans="1:2" x14ac:dyDescent="0.25">
      <c r="A5" t="s">
        <v>361</v>
      </c>
      <c r="B5">
        <v>16598559</v>
      </c>
    </row>
    <row r="6" spans="1:2" x14ac:dyDescent="0.25">
      <c r="A6" t="s">
        <v>366</v>
      </c>
      <c r="B6">
        <v>16598560</v>
      </c>
    </row>
    <row r="7" spans="1:2" x14ac:dyDescent="0.25">
      <c r="A7" t="s">
        <v>371</v>
      </c>
      <c r="B7">
        <v>16598561</v>
      </c>
    </row>
    <row r="8" spans="1:2" x14ac:dyDescent="0.25">
      <c r="A8" t="s">
        <v>376</v>
      </c>
      <c r="B8">
        <v>16598562</v>
      </c>
    </row>
    <row r="9" spans="1:2" x14ac:dyDescent="0.25">
      <c r="A9" t="s">
        <v>436</v>
      </c>
      <c r="B9">
        <v>16598563</v>
      </c>
    </row>
    <row r="10" spans="1:2" x14ac:dyDescent="0.25">
      <c r="A10" t="s">
        <v>440</v>
      </c>
      <c r="B10">
        <v>16598564</v>
      </c>
    </row>
    <row r="11" spans="1:2" x14ac:dyDescent="0.25">
      <c r="A11" t="s">
        <v>463</v>
      </c>
      <c r="B11">
        <v>16598565</v>
      </c>
    </row>
    <row r="12" spans="1:2" x14ac:dyDescent="0.25">
      <c r="A12" t="s">
        <v>471</v>
      </c>
      <c r="B12">
        <v>16598566</v>
      </c>
    </row>
    <row r="13" spans="1:2" x14ac:dyDescent="0.25">
      <c r="A13" t="s">
        <v>483</v>
      </c>
      <c r="B13">
        <v>16598567</v>
      </c>
    </row>
    <row r="14" spans="1:2" x14ac:dyDescent="0.25">
      <c r="A14" t="s">
        <v>490</v>
      </c>
      <c r="B14">
        <v>16598568</v>
      </c>
    </row>
    <row r="15" spans="1:2" x14ac:dyDescent="0.25">
      <c r="A15" t="s">
        <v>495</v>
      </c>
      <c r="B15">
        <v>16598569</v>
      </c>
    </row>
    <row r="16" spans="1:2" x14ac:dyDescent="0.25">
      <c r="A16" t="s">
        <v>537</v>
      </c>
      <c r="B16">
        <v>16598570</v>
      </c>
    </row>
    <row r="17" spans="1:2" x14ac:dyDescent="0.25">
      <c r="A17" t="s">
        <v>542</v>
      </c>
      <c r="B17">
        <v>16598571</v>
      </c>
    </row>
    <row r="18" spans="1:2" x14ac:dyDescent="0.25">
      <c r="A18" t="s">
        <v>548</v>
      </c>
      <c r="B18">
        <v>16598572</v>
      </c>
    </row>
    <row r="19" spans="1:2" x14ac:dyDescent="0.25">
      <c r="A19" t="s">
        <v>553</v>
      </c>
      <c r="B19">
        <v>16598573</v>
      </c>
    </row>
    <row r="20" spans="1:2" x14ac:dyDescent="0.25">
      <c r="A20" t="s">
        <v>559</v>
      </c>
      <c r="B20">
        <v>16598574</v>
      </c>
    </row>
    <row r="21" spans="1:2" x14ac:dyDescent="0.25">
      <c r="A21" t="s">
        <v>561</v>
      </c>
      <c r="B21">
        <v>16598575</v>
      </c>
    </row>
    <row r="22" spans="1:2" x14ac:dyDescent="0.25">
      <c r="A22" t="s">
        <v>564</v>
      </c>
      <c r="B22">
        <v>16598576</v>
      </c>
    </row>
    <row r="23" spans="1:2" x14ac:dyDescent="0.25">
      <c r="A23" t="s">
        <v>569</v>
      </c>
      <c r="B23">
        <v>16598577</v>
      </c>
    </row>
    <row r="24" spans="1:2" x14ac:dyDescent="0.25">
      <c r="A24" t="s">
        <v>574</v>
      </c>
      <c r="B24">
        <v>16598578</v>
      </c>
    </row>
    <row r="25" spans="1:2" x14ac:dyDescent="0.25">
      <c r="A25" t="s">
        <v>579</v>
      </c>
      <c r="B25">
        <v>16598579</v>
      </c>
    </row>
    <row r="26" spans="1:2" x14ac:dyDescent="0.25">
      <c r="A26" t="s">
        <v>584</v>
      </c>
      <c r="B26">
        <v>16598580</v>
      </c>
    </row>
    <row r="27" spans="1:2" x14ac:dyDescent="0.25">
      <c r="A27" t="s">
        <v>590</v>
      </c>
      <c r="B27">
        <v>16598581</v>
      </c>
    </row>
    <row r="28" spans="1:2" x14ac:dyDescent="0.25">
      <c r="A28" t="s">
        <v>596</v>
      </c>
      <c r="B28">
        <v>16598582</v>
      </c>
    </row>
    <row r="29" spans="1:2" x14ac:dyDescent="0.25">
      <c r="A29" t="s">
        <v>601</v>
      </c>
      <c r="B29">
        <v>16598583</v>
      </c>
    </row>
    <row r="30" spans="1:2" x14ac:dyDescent="0.25">
      <c r="A30" t="s">
        <v>606</v>
      </c>
      <c r="B30">
        <v>16598584</v>
      </c>
    </row>
    <row r="31" spans="1:2" x14ac:dyDescent="0.25">
      <c r="A31" t="s">
        <v>610</v>
      </c>
      <c r="B31">
        <v>16598585</v>
      </c>
    </row>
    <row r="32" spans="1:2" x14ac:dyDescent="0.25">
      <c r="A32" t="s">
        <v>620</v>
      </c>
      <c r="B32">
        <v>16598586</v>
      </c>
    </row>
    <row r="33" spans="1:2" x14ac:dyDescent="0.25">
      <c r="A33" t="s">
        <v>624</v>
      </c>
      <c r="B33">
        <v>16598587</v>
      </c>
    </row>
    <row r="34" spans="1:2" x14ac:dyDescent="0.25">
      <c r="A34" t="s">
        <v>629</v>
      </c>
      <c r="B34">
        <v>16598588</v>
      </c>
    </row>
    <row r="35" spans="1:2" x14ac:dyDescent="0.25">
      <c r="A35" t="s">
        <v>634</v>
      </c>
      <c r="B35">
        <v>16598589</v>
      </c>
    </row>
    <row r="36" spans="1:2" x14ac:dyDescent="0.25">
      <c r="A36" t="s">
        <v>637</v>
      </c>
      <c r="B36">
        <v>16598590</v>
      </c>
    </row>
    <row r="37" spans="1:2" x14ac:dyDescent="0.25">
      <c r="A37" t="s">
        <v>639</v>
      </c>
      <c r="B37">
        <v>16598591</v>
      </c>
    </row>
    <row r="38" spans="1:2" x14ac:dyDescent="0.25">
      <c r="A38" t="s">
        <v>644</v>
      </c>
      <c r="B38">
        <v>16598592</v>
      </c>
    </row>
    <row r="39" spans="1:2" x14ac:dyDescent="0.25">
      <c r="A39" t="s">
        <v>1694</v>
      </c>
      <c r="B39">
        <v>16598593</v>
      </c>
    </row>
    <row r="40" spans="1:2" x14ac:dyDescent="0.25">
      <c r="A40" t="s">
        <v>1695</v>
      </c>
      <c r="B40">
        <v>16598594</v>
      </c>
    </row>
    <row r="41" spans="1:2" x14ac:dyDescent="0.25">
      <c r="A41" t="s">
        <v>1696</v>
      </c>
      <c r="B41">
        <v>16598595</v>
      </c>
    </row>
    <row r="42" spans="1:2" x14ac:dyDescent="0.25">
      <c r="A42" t="s">
        <v>647</v>
      </c>
      <c r="B42">
        <v>16598596</v>
      </c>
    </row>
    <row r="43" spans="1:2" x14ac:dyDescent="0.25">
      <c r="A43" t="s">
        <v>652</v>
      </c>
      <c r="B43">
        <v>16598597</v>
      </c>
    </row>
    <row r="44" spans="1:2" x14ac:dyDescent="0.25">
      <c r="A44" t="s">
        <v>656</v>
      </c>
      <c r="B44">
        <v>16598598</v>
      </c>
    </row>
    <row r="45" spans="1:2" x14ac:dyDescent="0.25">
      <c r="A45" t="s">
        <v>662</v>
      </c>
      <c r="B45">
        <v>16598599</v>
      </c>
    </row>
    <row r="46" spans="1:2" x14ac:dyDescent="0.25">
      <c r="A46" t="s">
        <v>668</v>
      </c>
      <c r="B46">
        <v>16598600</v>
      </c>
    </row>
    <row r="47" spans="1:2" x14ac:dyDescent="0.25">
      <c r="A47" t="s">
        <v>671</v>
      </c>
      <c r="B47">
        <v>16598601</v>
      </c>
    </row>
    <row r="48" spans="1:2" x14ac:dyDescent="0.25">
      <c r="A48" t="s">
        <v>677</v>
      </c>
      <c r="B48">
        <v>16598602</v>
      </c>
    </row>
    <row r="49" spans="1:2" x14ac:dyDescent="0.25">
      <c r="A49" t="s">
        <v>681</v>
      </c>
      <c r="B49">
        <v>16598603</v>
      </c>
    </row>
    <row r="50" spans="1:2" x14ac:dyDescent="0.25">
      <c r="A50" t="s">
        <v>685</v>
      </c>
      <c r="B50">
        <v>16598604</v>
      </c>
    </row>
    <row r="51" spans="1:2" x14ac:dyDescent="0.25">
      <c r="A51" t="s">
        <v>691</v>
      </c>
      <c r="B51">
        <v>16598605</v>
      </c>
    </row>
    <row r="52" spans="1:2" x14ac:dyDescent="0.25">
      <c r="A52" t="s">
        <v>697</v>
      </c>
      <c r="B52">
        <v>16598606</v>
      </c>
    </row>
    <row r="53" spans="1:2" x14ac:dyDescent="0.25">
      <c r="A53" t="s">
        <v>703</v>
      </c>
      <c r="B53">
        <v>16598607</v>
      </c>
    </row>
    <row r="54" spans="1:2" x14ac:dyDescent="0.25">
      <c r="A54" t="s">
        <v>708</v>
      </c>
      <c r="B54">
        <v>16598608</v>
      </c>
    </row>
    <row r="55" spans="1:2" x14ac:dyDescent="0.25">
      <c r="A55" t="s">
        <v>715</v>
      </c>
      <c r="B55">
        <v>16598609</v>
      </c>
    </row>
    <row r="56" spans="1:2" x14ac:dyDescent="0.25">
      <c r="A56" t="s">
        <v>721</v>
      </c>
      <c r="B56">
        <v>16598610</v>
      </c>
    </row>
    <row r="57" spans="1:2" x14ac:dyDescent="0.25">
      <c r="A57" t="s">
        <v>725</v>
      </c>
      <c r="B57">
        <v>16598611</v>
      </c>
    </row>
    <row r="58" spans="1:2" x14ac:dyDescent="0.25">
      <c r="A58" t="s">
        <v>728</v>
      </c>
      <c r="B58">
        <v>16598612</v>
      </c>
    </row>
    <row r="59" spans="1:2" x14ac:dyDescent="0.25">
      <c r="A59" t="s">
        <v>730</v>
      </c>
      <c r="B59">
        <v>16598613</v>
      </c>
    </row>
    <row r="60" spans="1:2" x14ac:dyDescent="0.25">
      <c r="A60" t="s">
        <v>735</v>
      </c>
      <c r="B60">
        <v>16598614</v>
      </c>
    </row>
    <row r="61" spans="1:2" x14ac:dyDescent="0.25">
      <c r="A61" t="s">
        <v>740</v>
      </c>
      <c r="B61">
        <v>16598615</v>
      </c>
    </row>
    <row r="62" spans="1:2" x14ac:dyDescent="0.25">
      <c r="A62" t="s">
        <v>746</v>
      </c>
      <c r="B62">
        <v>16598616</v>
      </c>
    </row>
    <row r="63" spans="1:2" x14ac:dyDescent="0.25">
      <c r="A63" t="s">
        <v>754</v>
      </c>
      <c r="B63">
        <v>16598617</v>
      </c>
    </row>
    <row r="64" spans="1:2" x14ac:dyDescent="0.25">
      <c r="A64" t="s">
        <v>763</v>
      </c>
      <c r="B64">
        <v>16598618</v>
      </c>
    </row>
    <row r="65" spans="1:2" x14ac:dyDescent="0.25">
      <c r="A65" t="s">
        <v>768</v>
      </c>
      <c r="B65">
        <v>16598619</v>
      </c>
    </row>
    <row r="66" spans="1:2" x14ac:dyDescent="0.25">
      <c r="A66" t="s">
        <v>772</v>
      </c>
      <c r="B66">
        <v>16598620</v>
      </c>
    </row>
    <row r="67" spans="1:2" x14ac:dyDescent="0.25">
      <c r="A67" t="s">
        <v>778</v>
      </c>
      <c r="B67">
        <v>16598621</v>
      </c>
    </row>
    <row r="68" spans="1:2" x14ac:dyDescent="0.25">
      <c r="A68" t="s">
        <v>786</v>
      </c>
      <c r="B68">
        <v>16598622</v>
      </c>
    </row>
    <row r="69" spans="1:2" x14ac:dyDescent="0.25">
      <c r="A69" t="s">
        <v>795</v>
      </c>
      <c r="B69">
        <v>16598623</v>
      </c>
    </row>
    <row r="70" spans="1:2" x14ac:dyDescent="0.25">
      <c r="A70" t="s">
        <v>801</v>
      </c>
      <c r="B70">
        <v>16598624</v>
      </c>
    </row>
    <row r="71" spans="1:2" x14ac:dyDescent="0.25">
      <c r="A71" t="s">
        <v>805</v>
      </c>
      <c r="B71">
        <v>16598625</v>
      </c>
    </row>
    <row r="72" spans="1:2" x14ac:dyDescent="0.25">
      <c r="A72" t="s">
        <v>810</v>
      </c>
      <c r="B72">
        <v>16598626</v>
      </c>
    </row>
    <row r="73" spans="1:2" x14ac:dyDescent="0.25">
      <c r="A73" t="s">
        <v>815</v>
      </c>
      <c r="B73">
        <v>16598627</v>
      </c>
    </row>
    <row r="74" spans="1:2" x14ac:dyDescent="0.25">
      <c r="A74" t="s">
        <v>820</v>
      </c>
      <c r="B74">
        <v>16598628</v>
      </c>
    </row>
    <row r="75" spans="1:2" x14ac:dyDescent="0.25">
      <c r="A75" t="s">
        <v>823</v>
      </c>
      <c r="B75">
        <v>16598629</v>
      </c>
    </row>
    <row r="76" spans="1:2" x14ac:dyDescent="0.25">
      <c r="A76" t="s">
        <v>828</v>
      </c>
      <c r="B76">
        <v>16598630</v>
      </c>
    </row>
    <row r="77" spans="1:2" x14ac:dyDescent="0.25">
      <c r="A77" t="s">
        <v>832</v>
      </c>
      <c r="B77">
        <v>16598631</v>
      </c>
    </row>
    <row r="78" spans="1:2" x14ac:dyDescent="0.25">
      <c r="A78" t="s">
        <v>836</v>
      </c>
      <c r="B78">
        <v>16598632</v>
      </c>
    </row>
    <row r="79" spans="1:2" x14ac:dyDescent="0.25">
      <c r="A79" t="s">
        <v>839</v>
      </c>
      <c r="B79">
        <v>16598633</v>
      </c>
    </row>
    <row r="80" spans="1:2" x14ac:dyDescent="0.25">
      <c r="A80" t="s">
        <v>841</v>
      </c>
      <c r="B80">
        <v>16598634</v>
      </c>
    </row>
    <row r="81" spans="1:2" x14ac:dyDescent="0.25">
      <c r="A81" t="s">
        <v>845</v>
      </c>
      <c r="B81">
        <v>16598635</v>
      </c>
    </row>
    <row r="82" spans="1:2" x14ac:dyDescent="0.25">
      <c r="A82" t="s">
        <v>853</v>
      </c>
      <c r="B82">
        <v>16598636</v>
      </c>
    </row>
    <row r="83" spans="1:2" x14ac:dyDescent="0.25">
      <c r="A83" t="s">
        <v>858</v>
      </c>
      <c r="B83">
        <v>16598637</v>
      </c>
    </row>
    <row r="84" spans="1:2" x14ac:dyDescent="0.25">
      <c r="A84" t="s">
        <v>868</v>
      </c>
      <c r="B84">
        <v>16598638</v>
      </c>
    </row>
    <row r="85" spans="1:2" x14ac:dyDescent="0.25">
      <c r="A85" t="s">
        <v>872</v>
      </c>
      <c r="B85">
        <v>16598639</v>
      </c>
    </row>
    <row r="86" spans="1:2" x14ac:dyDescent="0.25">
      <c r="A86" t="s">
        <v>877</v>
      </c>
      <c r="B86">
        <v>16598640</v>
      </c>
    </row>
    <row r="87" spans="1:2" x14ac:dyDescent="0.25">
      <c r="A87" t="s">
        <v>887</v>
      </c>
      <c r="B87">
        <v>16598641</v>
      </c>
    </row>
    <row r="88" spans="1:2" x14ac:dyDescent="0.25">
      <c r="A88" t="s">
        <v>897</v>
      </c>
      <c r="B88">
        <v>16598642</v>
      </c>
    </row>
    <row r="89" spans="1:2" x14ac:dyDescent="0.25">
      <c r="A89" t="s">
        <v>902</v>
      </c>
      <c r="B89">
        <v>16598643</v>
      </c>
    </row>
    <row r="90" spans="1:2" x14ac:dyDescent="0.25">
      <c r="A90" t="s">
        <v>907</v>
      </c>
      <c r="B90">
        <v>16598644</v>
      </c>
    </row>
    <row r="91" spans="1:2" x14ac:dyDescent="0.25">
      <c r="A91" t="s">
        <v>912</v>
      </c>
      <c r="B91">
        <v>16598645</v>
      </c>
    </row>
    <row r="92" spans="1:2" x14ac:dyDescent="0.25">
      <c r="A92" t="s">
        <v>917</v>
      </c>
      <c r="B92">
        <v>16598646</v>
      </c>
    </row>
    <row r="93" spans="1:2" x14ac:dyDescent="0.25">
      <c r="A93" t="s">
        <v>921</v>
      </c>
      <c r="B93">
        <v>16598647</v>
      </c>
    </row>
    <row r="94" spans="1:2" x14ac:dyDescent="0.25">
      <c r="A94" t="s">
        <v>931</v>
      </c>
      <c r="B94">
        <v>16598648</v>
      </c>
    </row>
    <row r="95" spans="1:2" x14ac:dyDescent="0.25">
      <c r="A95" t="s">
        <v>942</v>
      </c>
      <c r="B95">
        <v>16598649</v>
      </c>
    </row>
    <row r="96" spans="1:2" x14ac:dyDescent="0.25">
      <c r="A96" t="s">
        <v>947</v>
      </c>
      <c r="B96">
        <v>16598650</v>
      </c>
    </row>
    <row r="97" spans="1:2" x14ac:dyDescent="0.25">
      <c r="A97" t="s">
        <v>952</v>
      </c>
      <c r="B97">
        <v>16598651</v>
      </c>
    </row>
    <row r="98" spans="1:2" x14ac:dyDescent="0.25">
      <c r="A98" t="s">
        <v>958</v>
      </c>
      <c r="B98">
        <v>16598652</v>
      </c>
    </row>
    <row r="99" spans="1:2" x14ac:dyDescent="0.25">
      <c r="A99" t="s">
        <v>964</v>
      </c>
      <c r="B99">
        <v>16598653</v>
      </c>
    </row>
    <row r="100" spans="1:2" x14ac:dyDescent="0.25">
      <c r="A100" t="s">
        <v>969</v>
      </c>
      <c r="B100">
        <v>16598654</v>
      </c>
    </row>
    <row r="101" spans="1:2" x14ac:dyDescent="0.25">
      <c r="A101" t="s">
        <v>974</v>
      </c>
      <c r="B101">
        <v>16598655</v>
      </c>
    </row>
    <row r="102" spans="1:2" x14ac:dyDescent="0.25">
      <c r="A102" t="s">
        <v>979</v>
      </c>
      <c r="B102">
        <v>16598656</v>
      </c>
    </row>
    <row r="103" spans="1:2" x14ac:dyDescent="0.25">
      <c r="A103" t="s">
        <v>984</v>
      </c>
      <c r="B103">
        <v>16598657</v>
      </c>
    </row>
    <row r="104" spans="1:2" x14ac:dyDescent="0.25">
      <c r="A104" t="s">
        <v>988</v>
      </c>
      <c r="B104">
        <v>16598658</v>
      </c>
    </row>
    <row r="105" spans="1:2" x14ac:dyDescent="0.25">
      <c r="A105" t="s">
        <v>993</v>
      </c>
      <c r="B105">
        <v>16598659</v>
      </c>
    </row>
    <row r="106" spans="1:2" x14ac:dyDescent="0.25">
      <c r="A106" t="s">
        <v>999</v>
      </c>
      <c r="B106">
        <v>16598660</v>
      </c>
    </row>
    <row r="107" spans="1:2" x14ac:dyDescent="0.25">
      <c r="A107" t="s">
        <v>1003</v>
      </c>
      <c r="B107">
        <v>16598661</v>
      </c>
    </row>
    <row r="108" spans="1:2" x14ac:dyDescent="0.25">
      <c r="A108" t="s">
        <v>1007</v>
      </c>
      <c r="B108">
        <v>16598662</v>
      </c>
    </row>
    <row r="109" spans="1:2" x14ac:dyDescent="0.25">
      <c r="A109" t="s">
        <v>1012</v>
      </c>
      <c r="B109">
        <v>16598663</v>
      </c>
    </row>
    <row r="110" spans="1:2" x14ac:dyDescent="0.25">
      <c r="A110" t="s">
        <v>1014</v>
      </c>
      <c r="B110">
        <v>16598664</v>
      </c>
    </row>
    <row r="111" spans="1:2" x14ac:dyDescent="0.25">
      <c r="A111" t="s">
        <v>1016</v>
      </c>
      <c r="B111">
        <v>16598665</v>
      </c>
    </row>
    <row r="112" spans="1:2" x14ac:dyDescent="0.25">
      <c r="A112" t="s">
        <v>1023</v>
      </c>
      <c r="B112">
        <v>16598666</v>
      </c>
    </row>
    <row r="113" spans="1:2" x14ac:dyDescent="0.25">
      <c r="A113" t="s">
        <v>1028</v>
      </c>
      <c r="B113">
        <v>16598667</v>
      </c>
    </row>
  </sheetData>
  <autoFilter ref="A1:C113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47"/>
  <sheetViews>
    <sheetView workbookViewId="0">
      <selection activeCell="B1" sqref="B1:B1048576"/>
    </sheetView>
  </sheetViews>
  <sheetFormatPr defaultRowHeight="15" x14ac:dyDescent="0.25"/>
  <sheetData>
    <row r="1" spans="1:2" ht="25.5" x14ac:dyDescent="0.25">
      <c r="A1" s="2" t="s">
        <v>1697</v>
      </c>
      <c r="B1" s="2" t="s">
        <v>1698</v>
      </c>
    </row>
    <row r="2" spans="1:2" ht="51" x14ac:dyDescent="0.25">
      <c r="A2" s="3" t="s">
        <v>1144</v>
      </c>
      <c r="B2" s="3" t="s">
        <v>1699</v>
      </c>
    </row>
    <row r="3" spans="1:2" ht="25.5" x14ac:dyDescent="0.25">
      <c r="A3" s="3" t="s">
        <v>1145</v>
      </c>
      <c r="B3" s="3" t="s">
        <v>1700</v>
      </c>
    </row>
    <row r="4" spans="1:2" ht="51" x14ac:dyDescent="0.25">
      <c r="A4" s="3" t="s">
        <v>1146</v>
      </c>
      <c r="B4" s="3" t="s">
        <v>1701</v>
      </c>
    </row>
    <row r="5" spans="1:2" ht="51" x14ac:dyDescent="0.25">
      <c r="A5" s="3" t="s">
        <v>1147</v>
      </c>
      <c r="B5" s="3" t="s">
        <v>1702</v>
      </c>
    </row>
    <row r="6" spans="1:2" ht="38.25" x14ac:dyDescent="0.25">
      <c r="A6" s="3" t="s">
        <v>1148</v>
      </c>
      <c r="B6" s="3" t="s">
        <v>1703</v>
      </c>
    </row>
    <row r="7" spans="1:2" ht="63.75" x14ac:dyDescent="0.25">
      <c r="A7" s="3" t="s">
        <v>1149</v>
      </c>
      <c r="B7" s="3" t="s">
        <v>1704</v>
      </c>
    </row>
    <row r="8" spans="1:2" ht="51" x14ac:dyDescent="0.25">
      <c r="A8" s="3" t="s">
        <v>1151</v>
      </c>
      <c r="B8" s="3" t="s">
        <v>1705</v>
      </c>
    </row>
    <row r="9" spans="1:2" ht="38.25" x14ac:dyDescent="0.25">
      <c r="A9" s="3" t="s">
        <v>1152</v>
      </c>
      <c r="B9" s="3" t="s">
        <v>1706</v>
      </c>
    </row>
    <row r="10" spans="1:2" ht="38.25" x14ac:dyDescent="0.25">
      <c r="A10" s="3" t="s">
        <v>1153</v>
      </c>
      <c r="B10" s="3" t="s">
        <v>1707</v>
      </c>
    </row>
    <row r="11" spans="1:2" ht="51" x14ac:dyDescent="0.25">
      <c r="A11" s="3" t="s">
        <v>1154</v>
      </c>
      <c r="B11" s="3" t="s">
        <v>1708</v>
      </c>
    </row>
    <row r="12" spans="1:2" ht="76.5" x14ac:dyDescent="0.25">
      <c r="A12" s="3" t="s">
        <v>1155</v>
      </c>
      <c r="B12" s="3" t="s">
        <v>1709</v>
      </c>
    </row>
    <row r="13" spans="1:2" ht="63.75" x14ac:dyDescent="0.25">
      <c r="A13" s="3" t="s">
        <v>1156</v>
      </c>
      <c r="B13" s="3" t="s">
        <v>1710</v>
      </c>
    </row>
    <row r="14" spans="1:2" ht="51" x14ac:dyDescent="0.25">
      <c r="A14" s="3" t="s">
        <v>1157</v>
      </c>
      <c r="B14" s="3" t="s">
        <v>1711</v>
      </c>
    </row>
    <row r="15" spans="1:2" ht="38.25" x14ac:dyDescent="0.25">
      <c r="A15" s="3" t="s">
        <v>1158</v>
      </c>
      <c r="B15" s="3" t="s">
        <v>1712</v>
      </c>
    </row>
    <row r="16" spans="1:2" ht="63.75" x14ac:dyDescent="0.25">
      <c r="A16" s="3" t="s">
        <v>1159</v>
      </c>
      <c r="B16" s="3" t="s">
        <v>1713</v>
      </c>
    </row>
    <row r="17" spans="1:2" ht="25.5" x14ac:dyDescent="0.25">
      <c r="A17" s="3" t="s">
        <v>1160</v>
      </c>
      <c r="B17" s="3" t="s">
        <v>1714</v>
      </c>
    </row>
    <row r="18" spans="1:2" ht="63.75" x14ac:dyDescent="0.25">
      <c r="A18" s="3" t="s">
        <v>1161</v>
      </c>
      <c r="B18" s="3" t="s">
        <v>1715</v>
      </c>
    </row>
    <row r="19" spans="1:2" ht="38.25" x14ac:dyDescent="0.25">
      <c r="A19" s="3" t="s">
        <v>1153</v>
      </c>
      <c r="B19" s="3" t="s">
        <v>1707</v>
      </c>
    </row>
    <row r="20" spans="1:2" ht="38.25" x14ac:dyDescent="0.25">
      <c r="A20" s="3" t="s">
        <v>1152</v>
      </c>
      <c r="B20" s="3" t="s">
        <v>1706</v>
      </c>
    </row>
    <row r="21" spans="1:2" ht="63.75" x14ac:dyDescent="0.25">
      <c r="A21" s="3" t="s">
        <v>1163</v>
      </c>
      <c r="B21" s="3" t="s">
        <v>1716</v>
      </c>
    </row>
    <row r="22" spans="1:2" ht="38.25" x14ac:dyDescent="0.25">
      <c r="A22" s="3" t="s">
        <v>1148</v>
      </c>
      <c r="B22" s="3" t="s">
        <v>1703</v>
      </c>
    </row>
    <row r="23" spans="1:2" ht="76.5" x14ac:dyDescent="0.25">
      <c r="A23" s="3" t="s">
        <v>1155</v>
      </c>
      <c r="B23" s="3" t="s">
        <v>1709</v>
      </c>
    </row>
    <row r="24" spans="1:2" ht="63.75" x14ac:dyDescent="0.25">
      <c r="A24" s="3" t="s">
        <v>1156</v>
      </c>
      <c r="B24" s="3" t="s">
        <v>1710</v>
      </c>
    </row>
    <row r="25" spans="1:2" ht="51" x14ac:dyDescent="0.25">
      <c r="A25" s="3" t="s">
        <v>1151</v>
      </c>
      <c r="B25" s="3" t="s">
        <v>1705</v>
      </c>
    </row>
    <row r="26" spans="1:2" ht="51" x14ac:dyDescent="0.25">
      <c r="A26" s="3" t="s">
        <v>1147</v>
      </c>
      <c r="B26" s="3" t="s">
        <v>1702</v>
      </c>
    </row>
    <row r="27" spans="1:2" ht="51" x14ac:dyDescent="0.25">
      <c r="A27" s="3" t="s">
        <v>1146</v>
      </c>
      <c r="B27" s="3" t="s">
        <v>1701</v>
      </c>
    </row>
    <row r="28" spans="1:2" ht="25.5" x14ac:dyDescent="0.25">
      <c r="A28" s="3" t="s">
        <v>1145</v>
      </c>
      <c r="B28" s="3" t="s">
        <v>1700</v>
      </c>
    </row>
    <row r="29" spans="1:2" ht="51" x14ac:dyDescent="0.25">
      <c r="A29" s="3" t="s">
        <v>1144</v>
      </c>
      <c r="B29" s="3" t="s">
        <v>1699</v>
      </c>
    </row>
    <row r="30" spans="1:2" ht="63.75" x14ac:dyDescent="0.25">
      <c r="A30" s="3" t="s">
        <v>1161</v>
      </c>
      <c r="B30" s="3" t="s">
        <v>1715</v>
      </c>
    </row>
    <row r="31" spans="1:2" ht="25.5" x14ac:dyDescent="0.25">
      <c r="A31" s="3" t="s">
        <v>1160</v>
      </c>
      <c r="B31" s="3" t="s">
        <v>1714</v>
      </c>
    </row>
    <row r="32" spans="1:2" ht="63.75" x14ac:dyDescent="0.25">
      <c r="A32" s="3" t="s">
        <v>1159</v>
      </c>
      <c r="B32" s="3" t="s">
        <v>1713</v>
      </c>
    </row>
    <row r="33" spans="1:2" ht="38.25" x14ac:dyDescent="0.25">
      <c r="A33" s="3" t="s">
        <v>1158</v>
      </c>
      <c r="B33" s="3" t="s">
        <v>1712</v>
      </c>
    </row>
    <row r="34" spans="1:2" ht="51" x14ac:dyDescent="0.25">
      <c r="A34" s="3" t="s">
        <v>1157</v>
      </c>
      <c r="B34" s="3" t="s">
        <v>1711</v>
      </c>
    </row>
    <row r="35" spans="1:2" ht="38.25" x14ac:dyDescent="0.25">
      <c r="A35" s="3" t="s">
        <v>1165</v>
      </c>
      <c r="B35" s="3" t="s">
        <v>1717</v>
      </c>
    </row>
    <row r="36" spans="1:2" ht="38.25" x14ac:dyDescent="0.25">
      <c r="A36" s="3" t="s">
        <v>1166</v>
      </c>
      <c r="B36" s="3" t="s">
        <v>1718</v>
      </c>
    </row>
    <row r="37" spans="1:2" ht="51" x14ac:dyDescent="0.25">
      <c r="A37" s="3" t="s">
        <v>1167</v>
      </c>
      <c r="B37" s="3" t="s">
        <v>1719</v>
      </c>
    </row>
    <row r="38" spans="1:2" ht="63.75" x14ac:dyDescent="0.25">
      <c r="A38" s="3" t="s">
        <v>1168</v>
      </c>
      <c r="B38" s="3" t="s">
        <v>1720</v>
      </c>
    </row>
    <row r="39" spans="1:2" ht="25.5" x14ac:dyDescent="0.25">
      <c r="A39" s="3" t="s">
        <v>1169</v>
      </c>
      <c r="B39" s="3" t="s">
        <v>1721</v>
      </c>
    </row>
    <row r="40" spans="1:2" ht="51" x14ac:dyDescent="0.25">
      <c r="A40" s="3" t="s">
        <v>1170</v>
      </c>
      <c r="B40" s="3" t="s">
        <v>1722</v>
      </c>
    </row>
    <row r="41" spans="1:2" ht="38.25" x14ac:dyDescent="0.25">
      <c r="A41" s="3" t="s">
        <v>1171</v>
      </c>
      <c r="B41" s="3" t="s">
        <v>1723</v>
      </c>
    </row>
    <row r="42" spans="1:2" ht="38.25" x14ac:dyDescent="0.25">
      <c r="A42" s="3" t="s">
        <v>1172</v>
      </c>
      <c r="B42" s="3" t="s">
        <v>1724</v>
      </c>
    </row>
    <row r="43" spans="1:2" ht="38.25" x14ac:dyDescent="0.25">
      <c r="A43" s="3" t="s">
        <v>1173</v>
      </c>
      <c r="B43" s="3" t="s">
        <v>1725</v>
      </c>
    </row>
    <row r="44" spans="1:2" ht="38.25" x14ac:dyDescent="0.25">
      <c r="A44" s="3" t="s">
        <v>1174</v>
      </c>
      <c r="B44" s="3" t="s">
        <v>1726</v>
      </c>
    </row>
    <row r="45" spans="1:2" ht="63.75" x14ac:dyDescent="0.25">
      <c r="A45" s="3" t="s">
        <v>1175</v>
      </c>
      <c r="B45" s="3" t="s">
        <v>1727</v>
      </c>
    </row>
    <row r="46" spans="1:2" ht="25.5" x14ac:dyDescent="0.25">
      <c r="A46" s="3" t="s">
        <v>1176</v>
      </c>
      <c r="B46" s="3" t="s">
        <v>1728</v>
      </c>
    </row>
    <row r="47" spans="1:2" ht="38.25" x14ac:dyDescent="0.25">
      <c r="A47" s="3" t="s">
        <v>1177</v>
      </c>
      <c r="B47" s="3" t="s">
        <v>1729</v>
      </c>
    </row>
    <row r="48" spans="1:2" ht="25.5" x14ac:dyDescent="0.25">
      <c r="A48" s="3" t="s">
        <v>1179</v>
      </c>
      <c r="B48" s="3" t="s">
        <v>1730</v>
      </c>
    </row>
    <row r="49" spans="1:2" ht="51" x14ac:dyDescent="0.25">
      <c r="A49" s="3" t="s">
        <v>1180</v>
      </c>
      <c r="B49" s="3" t="s">
        <v>1731</v>
      </c>
    </row>
    <row r="50" spans="1:2" ht="38.25" x14ac:dyDescent="0.25">
      <c r="A50" s="3" t="s">
        <v>1181</v>
      </c>
      <c r="B50" s="3" t="s">
        <v>1732</v>
      </c>
    </row>
    <row r="51" spans="1:2" ht="63.75" x14ac:dyDescent="0.25">
      <c r="A51" s="3" t="s">
        <v>1183</v>
      </c>
      <c r="B51" s="3" t="s">
        <v>1733</v>
      </c>
    </row>
    <row r="52" spans="1:2" ht="38.25" x14ac:dyDescent="0.25">
      <c r="A52" s="3" t="s">
        <v>1185</v>
      </c>
      <c r="B52" s="3" t="s">
        <v>1734</v>
      </c>
    </row>
    <row r="53" spans="1:2" ht="51" x14ac:dyDescent="0.25">
      <c r="A53" s="3" t="s">
        <v>1186</v>
      </c>
      <c r="B53" s="3" t="s">
        <v>1735</v>
      </c>
    </row>
    <row r="54" spans="1:2" ht="51" x14ac:dyDescent="0.25">
      <c r="A54" s="3" t="s">
        <v>1187</v>
      </c>
      <c r="B54" s="3" t="s">
        <v>1736</v>
      </c>
    </row>
    <row r="55" spans="1:2" ht="51" x14ac:dyDescent="0.25">
      <c r="A55" s="3" t="s">
        <v>1188</v>
      </c>
      <c r="B55" s="3" t="s">
        <v>1737</v>
      </c>
    </row>
    <row r="56" spans="1:2" ht="38.25" x14ac:dyDescent="0.25">
      <c r="A56" s="3" t="s">
        <v>1189</v>
      </c>
      <c r="B56" s="3" t="s">
        <v>1738</v>
      </c>
    </row>
    <row r="57" spans="1:2" ht="38.25" x14ac:dyDescent="0.25">
      <c r="A57" s="3" t="s">
        <v>1190</v>
      </c>
      <c r="B57" s="3" t="s">
        <v>1739</v>
      </c>
    </row>
    <row r="58" spans="1:2" x14ac:dyDescent="0.25">
      <c r="A58" s="3" t="s">
        <v>1191</v>
      </c>
      <c r="B58" s="3" t="s">
        <v>1740</v>
      </c>
    </row>
    <row r="59" spans="1:2" ht="38.25" x14ac:dyDescent="0.25">
      <c r="A59" s="3" t="s">
        <v>1192</v>
      </c>
      <c r="B59" s="3" t="s">
        <v>1741</v>
      </c>
    </row>
    <row r="60" spans="1:2" ht="63.75" x14ac:dyDescent="0.25">
      <c r="A60" s="3" t="s">
        <v>1193</v>
      </c>
      <c r="B60" s="3" t="s">
        <v>1742</v>
      </c>
    </row>
    <row r="61" spans="1:2" ht="38.25" x14ac:dyDescent="0.25">
      <c r="A61" s="3" t="s">
        <v>1165</v>
      </c>
      <c r="B61" s="3" t="s">
        <v>1717</v>
      </c>
    </row>
    <row r="62" spans="1:2" ht="25.5" x14ac:dyDescent="0.25">
      <c r="A62" s="3" t="s">
        <v>1194</v>
      </c>
      <c r="B62" s="3" t="s">
        <v>1743</v>
      </c>
    </row>
    <row r="63" spans="1:2" ht="25.5" x14ac:dyDescent="0.25">
      <c r="A63" s="3" t="s">
        <v>1195</v>
      </c>
      <c r="B63" s="3" t="s">
        <v>1744</v>
      </c>
    </row>
    <row r="64" spans="1:2" ht="38.25" x14ac:dyDescent="0.25">
      <c r="A64" s="3" t="s">
        <v>1197</v>
      </c>
      <c r="B64" s="3" t="s">
        <v>1745</v>
      </c>
    </row>
    <row r="65" spans="1:2" ht="38.25" x14ac:dyDescent="0.25">
      <c r="A65" s="3" t="s">
        <v>1198</v>
      </c>
      <c r="B65" s="3" t="s">
        <v>1746</v>
      </c>
    </row>
    <row r="66" spans="1:2" ht="51" x14ac:dyDescent="0.25">
      <c r="A66" s="3" t="s">
        <v>1199</v>
      </c>
      <c r="B66" s="3" t="s">
        <v>1747</v>
      </c>
    </row>
    <row r="67" spans="1:2" ht="25.5" x14ac:dyDescent="0.25">
      <c r="A67" s="3" t="s">
        <v>1195</v>
      </c>
      <c r="B67" s="3" t="s">
        <v>1744</v>
      </c>
    </row>
    <row r="68" spans="1:2" ht="89.25" x14ac:dyDescent="0.25">
      <c r="A68" s="3" t="s">
        <v>1200</v>
      </c>
      <c r="B68" s="3" t="s">
        <v>1748</v>
      </c>
    </row>
    <row r="69" spans="1:2" ht="51" x14ac:dyDescent="0.25">
      <c r="A69" s="3" t="s">
        <v>1180</v>
      </c>
      <c r="B69" s="3" t="s">
        <v>1731</v>
      </c>
    </row>
    <row r="70" spans="1:2" ht="51" x14ac:dyDescent="0.25">
      <c r="A70" s="3" t="s">
        <v>1201</v>
      </c>
      <c r="B70" s="3" t="s">
        <v>1749</v>
      </c>
    </row>
    <row r="71" spans="1:2" ht="63.75" x14ac:dyDescent="0.25">
      <c r="A71" s="3" t="s">
        <v>1193</v>
      </c>
      <c r="B71" s="3" t="s">
        <v>1742</v>
      </c>
    </row>
    <row r="72" spans="1:2" ht="38.25" x14ac:dyDescent="0.25">
      <c r="A72" s="3" t="s">
        <v>1202</v>
      </c>
      <c r="B72" s="3" t="s">
        <v>1750</v>
      </c>
    </row>
    <row r="73" spans="1:2" ht="51" x14ac:dyDescent="0.25">
      <c r="A73" s="3" t="s">
        <v>1203</v>
      </c>
      <c r="B73" s="3" t="s">
        <v>1751</v>
      </c>
    </row>
    <row r="74" spans="1:2" ht="38.25" x14ac:dyDescent="0.25">
      <c r="A74" s="3" t="s">
        <v>1204</v>
      </c>
      <c r="B74" s="3" t="s">
        <v>1752</v>
      </c>
    </row>
    <row r="75" spans="1:2" ht="38.25" x14ac:dyDescent="0.25">
      <c r="A75" s="3" t="s">
        <v>1205</v>
      </c>
      <c r="B75" s="3" t="s">
        <v>1753</v>
      </c>
    </row>
    <row r="76" spans="1:2" ht="51" x14ac:dyDescent="0.25">
      <c r="A76" s="3" t="s">
        <v>1206</v>
      </c>
      <c r="B76" s="3" t="s">
        <v>1754</v>
      </c>
    </row>
    <row r="77" spans="1:2" ht="38.25" x14ac:dyDescent="0.25">
      <c r="A77" s="3" t="s">
        <v>35</v>
      </c>
      <c r="B77" s="3" t="s">
        <v>1755</v>
      </c>
    </row>
    <row r="78" spans="1:2" ht="25.5" x14ac:dyDescent="0.25">
      <c r="A78" s="3" t="s">
        <v>1194</v>
      </c>
      <c r="B78" s="3" t="s">
        <v>1743</v>
      </c>
    </row>
    <row r="79" spans="1:2" ht="38.25" x14ac:dyDescent="0.25">
      <c r="A79" s="3" t="s">
        <v>1207</v>
      </c>
      <c r="B79" s="3" t="s">
        <v>1756</v>
      </c>
    </row>
    <row r="80" spans="1:2" ht="51" x14ac:dyDescent="0.25">
      <c r="A80" s="3" t="s">
        <v>1208</v>
      </c>
      <c r="B80" s="3" t="s">
        <v>1757</v>
      </c>
    </row>
    <row r="81" spans="1:2" ht="25.5" x14ac:dyDescent="0.25">
      <c r="A81" s="3" t="s">
        <v>1210</v>
      </c>
      <c r="B81" s="3" t="s">
        <v>1758</v>
      </c>
    </row>
    <row r="82" spans="1:2" ht="38.25" x14ac:dyDescent="0.25">
      <c r="A82" s="3" t="s">
        <v>1185</v>
      </c>
      <c r="B82" s="3" t="s">
        <v>1734</v>
      </c>
    </row>
    <row r="83" spans="1:2" ht="51" x14ac:dyDescent="0.25">
      <c r="A83" s="3" t="s">
        <v>1211</v>
      </c>
      <c r="B83" s="3" t="s">
        <v>1759</v>
      </c>
    </row>
    <row r="84" spans="1:2" ht="38.25" x14ac:dyDescent="0.25">
      <c r="A84" s="3" t="s">
        <v>1212</v>
      </c>
      <c r="B84" s="3" t="s">
        <v>1760</v>
      </c>
    </row>
    <row r="85" spans="1:2" ht="25.5" x14ac:dyDescent="0.25">
      <c r="A85" s="3" t="s">
        <v>1194</v>
      </c>
      <c r="B85" s="3" t="s">
        <v>1743</v>
      </c>
    </row>
    <row r="86" spans="1:2" ht="25.5" x14ac:dyDescent="0.25">
      <c r="A86" s="3" t="s">
        <v>1213</v>
      </c>
      <c r="B86" s="3" t="s">
        <v>1761</v>
      </c>
    </row>
    <row r="87" spans="1:2" ht="63.75" x14ac:dyDescent="0.25">
      <c r="A87" s="3" t="s">
        <v>1214</v>
      </c>
      <c r="B87" s="3" t="s">
        <v>1762</v>
      </c>
    </row>
    <row r="88" spans="1:2" ht="38.25" x14ac:dyDescent="0.25">
      <c r="A88" s="3" t="s">
        <v>1165</v>
      </c>
      <c r="B88" s="3" t="s">
        <v>1717</v>
      </c>
    </row>
    <row r="89" spans="1:2" ht="51" x14ac:dyDescent="0.25">
      <c r="A89" s="3" t="s">
        <v>1187</v>
      </c>
      <c r="B89" s="3" t="s">
        <v>1736</v>
      </c>
    </row>
    <row r="90" spans="1:2" ht="51" x14ac:dyDescent="0.25">
      <c r="A90" s="3" t="s">
        <v>1180</v>
      </c>
      <c r="B90" s="3" t="s">
        <v>1731</v>
      </c>
    </row>
    <row r="91" spans="1:2" ht="38.25" x14ac:dyDescent="0.25">
      <c r="A91" s="3" t="s">
        <v>1192</v>
      </c>
      <c r="B91" s="3" t="s">
        <v>1741</v>
      </c>
    </row>
    <row r="92" spans="1:2" ht="89.25" x14ac:dyDescent="0.25">
      <c r="A92" s="3" t="s">
        <v>1200</v>
      </c>
      <c r="B92" s="3" t="s">
        <v>1748</v>
      </c>
    </row>
    <row r="93" spans="1:2" ht="76.5" x14ac:dyDescent="0.25">
      <c r="A93" s="3" t="s">
        <v>1215</v>
      </c>
      <c r="B93" s="3" t="s">
        <v>1763</v>
      </c>
    </row>
    <row r="94" spans="1:2" ht="51" x14ac:dyDescent="0.25">
      <c r="A94" s="3" t="s">
        <v>1199</v>
      </c>
      <c r="B94" s="3" t="s">
        <v>1747</v>
      </c>
    </row>
    <row r="95" spans="1:2" ht="63.75" x14ac:dyDescent="0.25">
      <c r="A95" s="3" t="s">
        <v>1216</v>
      </c>
      <c r="B95" s="3" t="s">
        <v>1764</v>
      </c>
    </row>
    <row r="96" spans="1:2" ht="51" x14ac:dyDescent="0.25">
      <c r="A96" s="3" t="s">
        <v>1217</v>
      </c>
      <c r="B96" s="3" t="s">
        <v>1765</v>
      </c>
    </row>
    <row r="97" spans="1:2" ht="38.25" x14ac:dyDescent="0.25">
      <c r="A97" s="3" t="s">
        <v>1218</v>
      </c>
      <c r="B97" s="3" t="s">
        <v>1766</v>
      </c>
    </row>
    <row r="98" spans="1:2" ht="51" x14ac:dyDescent="0.25">
      <c r="A98" s="3" t="s">
        <v>1219</v>
      </c>
      <c r="B98" s="3" t="s">
        <v>1767</v>
      </c>
    </row>
    <row r="99" spans="1:2" ht="25.5" x14ac:dyDescent="0.25">
      <c r="A99" s="3" t="s">
        <v>1195</v>
      </c>
      <c r="B99" s="3" t="s">
        <v>1744</v>
      </c>
    </row>
    <row r="100" spans="1:2" ht="63.75" x14ac:dyDescent="0.25">
      <c r="A100" s="3" t="s">
        <v>1193</v>
      </c>
      <c r="B100" s="3" t="s">
        <v>1742</v>
      </c>
    </row>
    <row r="101" spans="1:2" ht="63.75" x14ac:dyDescent="0.25">
      <c r="A101" s="3" t="s">
        <v>1220</v>
      </c>
      <c r="B101" s="3" t="s">
        <v>1768</v>
      </c>
    </row>
    <row r="102" spans="1:2" ht="76.5" x14ac:dyDescent="0.25">
      <c r="A102" s="3" t="s">
        <v>1221</v>
      </c>
      <c r="B102" s="3" t="s">
        <v>1769</v>
      </c>
    </row>
    <row r="103" spans="1:2" ht="51" x14ac:dyDescent="0.25">
      <c r="A103" s="3" t="s">
        <v>1222</v>
      </c>
      <c r="B103" s="3" t="s">
        <v>1770</v>
      </c>
    </row>
    <row r="104" spans="1:2" ht="38.25" x14ac:dyDescent="0.25">
      <c r="A104" s="3" t="s">
        <v>1189</v>
      </c>
      <c r="B104" s="3" t="s">
        <v>1738</v>
      </c>
    </row>
    <row r="105" spans="1:2" ht="51" x14ac:dyDescent="0.25">
      <c r="A105" s="3" t="s">
        <v>1180</v>
      </c>
      <c r="B105" s="3" t="s">
        <v>1731</v>
      </c>
    </row>
    <row r="106" spans="1:2" ht="89.25" x14ac:dyDescent="0.25">
      <c r="A106" s="3" t="s">
        <v>1200</v>
      </c>
      <c r="B106" s="3" t="s">
        <v>1748</v>
      </c>
    </row>
    <row r="107" spans="1:2" ht="25.5" x14ac:dyDescent="0.25">
      <c r="A107" s="3" t="s">
        <v>1195</v>
      </c>
      <c r="B107" s="3" t="s">
        <v>1744</v>
      </c>
    </row>
    <row r="108" spans="1:2" ht="76.5" x14ac:dyDescent="0.25">
      <c r="A108" s="3" t="s">
        <v>1215</v>
      </c>
      <c r="B108" s="3" t="s">
        <v>1763</v>
      </c>
    </row>
    <row r="109" spans="1:2" ht="51" x14ac:dyDescent="0.25">
      <c r="A109" s="3" t="s">
        <v>1199</v>
      </c>
      <c r="B109" s="3" t="s">
        <v>1747</v>
      </c>
    </row>
    <row r="110" spans="1:2" ht="63.75" x14ac:dyDescent="0.25">
      <c r="A110" s="3" t="s">
        <v>1216</v>
      </c>
      <c r="B110" s="3" t="s">
        <v>1764</v>
      </c>
    </row>
    <row r="111" spans="1:2" ht="25.5" x14ac:dyDescent="0.25">
      <c r="A111" s="3" t="s">
        <v>1224</v>
      </c>
      <c r="B111" s="3" t="s">
        <v>1771</v>
      </c>
    </row>
    <row r="112" spans="1:2" ht="25.5" x14ac:dyDescent="0.25">
      <c r="A112" s="3" t="s">
        <v>1210</v>
      </c>
      <c r="B112" s="3" t="s">
        <v>1758</v>
      </c>
    </row>
    <row r="113" spans="1:2" ht="51" x14ac:dyDescent="0.25">
      <c r="A113" s="3" t="s">
        <v>1222</v>
      </c>
      <c r="B113" s="3" t="s">
        <v>1770</v>
      </c>
    </row>
    <row r="114" spans="1:2" ht="76.5" x14ac:dyDescent="0.25">
      <c r="A114" s="3" t="s">
        <v>1221</v>
      </c>
      <c r="B114" s="3" t="s">
        <v>1769</v>
      </c>
    </row>
    <row r="115" spans="1:2" ht="63.75" x14ac:dyDescent="0.25">
      <c r="A115" s="3" t="s">
        <v>1193</v>
      </c>
      <c r="B115" s="3" t="s">
        <v>1742</v>
      </c>
    </row>
    <row r="116" spans="1:2" ht="38.25" x14ac:dyDescent="0.25">
      <c r="A116" s="3" t="s">
        <v>1185</v>
      </c>
      <c r="B116" s="3" t="s">
        <v>1734</v>
      </c>
    </row>
    <row r="117" spans="1:2" ht="51" x14ac:dyDescent="0.25">
      <c r="A117" s="3" t="s">
        <v>1211</v>
      </c>
      <c r="B117" s="3" t="s">
        <v>1759</v>
      </c>
    </row>
    <row r="118" spans="1:2" ht="38.25" x14ac:dyDescent="0.25">
      <c r="A118" s="3" t="s">
        <v>1165</v>
      </c>
      <c r="B118" s="3" t="s">
        <v>1717</v>
      </c>
    </row>
    <row r="119" spans="1:2" ht="38.25" x14ac:dyDescent="0.25">
      <c r="A119" s="3" t="s">
        <v>1212</v>
      </c>
      <c r="B119" s="3" t="s">
        <v>1760</v>
      </c>
    </row>
    <row r="120" spans="1:2" ht="25.5" x14ac:dyDescent="0.25">
      <c r="A120" s="3" t="s">
        <v>1194</v>
      </c>
      <c r="B120" s="3" t="s">
        <v>1743</v>
      </c>
    </row>
    <row r="121" spans="1:2" ht="51" x14ac:dyDescent="0.25">
      <c r="A121" s="3" t="s">
        <v>1187</v>
      </c>
      <c r="B121" s="3" t="s">
        <v>1736</v>
      </c>
    </row>
    <row r="122" spans="1:2" ht="38.25" x14ac:dyDescent="0.25">
      <c r="A122" s="3" t="s">
        <v>1192</v>
      </c>
      <c r="B122" s="3" t="s">
        <v>1741</v>
      </c>
    </row>
    <row r="123" spans="1:2" ht="63.75" x14ac:dyDescent="0.25">
      <c r="A123" s="3" t="s">
        <v>1226</v>
      </c>
      <c r="B123" s="3" t="s">
        <v>1772</v>
      </c>
    </row>
    <row r="124" spans="1:2" ht="51" x14ac:dyDescent="0.25">
      <c r="A124" s="3" t="s">
        <v>1227</v>
      </c>
      <c r="B124" s="3" t="s">
        <v>1773</v>
      </c>
    </row>
    <row r="125" spans="1:2" ht="51" x14ac:dyDescent="0.25">
      <c r="A125" s="3" t="s">
        <v>1228</v>
      </c>
      <c r="B125" s="3" t="s">
        <v>1774</v>
      </c>
    </row>
    <row r="126" spans="1:2" ht="51" x14ac:dyDescent="0.25">
      <c r="A126" s="3" t="s">
        <v>1229</v>
      </c>
      <c r="B126" s="3" t="s">
        <v>1775</v>
      </c>
    </row>
    <row r="127" spans="1:2" ht="51" x14ac:dyDescent="0.25">
      <c r="A127" s="3" t="s">
        <v>1146</v>
      </c>
      <c r="B127" s="3" t="s">
        <v>1701</v>
      </c>
    </row>
    <row r="128" spans="1:2" ht="25.5" x14ac:dyDescent="0.25">
      <c r="A128" s="3" t="s">
        <v>1230</v>
      </c>
      <c r="B128" s="3" t="s">
        <v>1776</v>
      </c>
    </row>
    <row r="129" spans="1:2" ht="51" x14ac:dyDescent="0.25">
      <c r="A129" s="3" t="s">
        <v>1231</v>
      </c>
      <c r="B129" s="3" t="s">
        <v>1777</v>
      </c>
    </row>
    <row r="130" spans="1:2" ht="38.25" x14ac:dyDescent="0.25">
      <c r="A130" s="3" t="s">
        <v>1232</v>
      </c>
      <c r="B130" s="3" t="s">
        <v>1778</v>
      </c>
    </row>
    <row r="131" spans="1:2" ht="51" x14ac:dyDescent="0.25">
      <c r="A131" s="3" t="s">
        <v>1147</v>
      </c>
      <c r="B131" s="3" t="s">
        <v>1702</v>
      </c>
    </row>
    <row r="132" spans="1:2" ht="63.75" x14ac:dyDescent="0.25">
      <c r="A132" s="3" t="s">
        <v>1233</v>
      </c>
      <c r="B132" s="3" t="s">
        <v>1779</v>
      </c>
    </row>
    <row r="133" spans="1:2" ht="51" x14ac:dyDescent="0.25">
      <c r="A133" s="3" t="s">
        <v>1234</v>
      </c>
      <c r="B133" s="3" t="s">
        <v>1780</v>
      </c>
    </row>
    <row r="134" spans="1:2" ht="63.75" x14ac:dyDescent="0.25">
      <c r="A134" s="3" t="s">
        <v>1236</v>
      </c>
      <c r="B134" s="3" t="s">
        <v>1781</v>
      </c>
    </row>
    <row r="135" spans="1:2" ht="51" x14ac:dyDescent="0.25">
      <c r="A135" s="3" t="s">
        <v>1170</v>
      </c>
      <c r="B135" s="3" t="s">
        <v>1722</v>
      </c>
    </row>
    <row r="136" spans="1:2" ht="38.25" x14ac:dyDescent="0.25">
      <c r="A136" s="3" t="s">
        <v>1174</v>
      </c>
      <c r="B136" s="3" t="s">
        <v>1726</v>
      </c>
    </row>
    <row r="137" spans="1:2" ht="51" x14ac:dyDescent="0.25">
      <c r="A137" s="3" t="s">
        <v>1146</v>
      </c>
      <c r="B137" s="3" t="s">
        <v>1701</v>
      </c>
    </row>
    <row r="138" spans="1:2" ht="51" x14ac:dyDescent="0.25">
      <c r="A138" s="3" t="s">
        <v>1219</v>
      </c>
      <c r="B138" s="3" t="s">
        <v>1767</v>
      </c>
    </row>
    <row r="139" spans="1:2" ht="25.5" x14ac:dyDescent="0.25">
      <c r="A139" s="3" t="s">
        <v>1237</v>
      </c>
      <c r="B139" s="3" t="s">
        <v>1782</v>
      </c>
    </row>
    <row r="140" spans="1:2" ht="51" x14ac:dyDescent="0.25">
      <c r="A140" s="3" t="s">
        <v>1231</v>
      </c>
      <c r="B140" s="3" t="s">
        <v>1777</v>
      </c>
    </row>
    <row r="141" spans="1:2" ht="63.75" x14ac:dyDescent="0.25">
      <c r="A141" s="3" t="s">
        <v>1238</v>
      </c>
      <c r="B141" s="3" t="s">
        <v>1783</v>
      </c>
    </row>
    <row r="142" spans="1:2" ht="51" x14ac:dyDescent="0.25">
      <c r="A142" s="3" t="s">
        <v>1151</v>
      </c>
      <c r="B142" s="3" t="s">
        <v>1705</v>
      </c>
    </row>
    <row r="143" spans="1:2" ht="38.25" x14ac:dyDescent="0.25">
      <c r="A143" s="3" t="s">
        <v>1239</v>
      </c>
      <c r="B143" s="3" t="s">
        <v>1784</v>
      </c>
    </row>
    <row r="144" spans="1:2" ht="38.25" x14ac:dyDescent="0.25">
      <c r="A144" s="3" t="s">
        <v>1240</v>
      </c>
      <c r="B144" s="3" t="s">
        <v>1785</v>
      </c>
    </row>
    <row r="145" spans="1:2" ht="63.75" x14ac:dyDescent="0.25">
      <c r="A145" s="3" t="s">
        <v>1156</v>
      </c>
      <c r="B145" s="3" t="s">
        <v>1710</v>
      </c>
    </row>
    <row r="146" spans="1:2" ht="63.75" x14ac:dyDescent="0.25">
      <c r="A146" s="3" t="s">
        <v>1242</v>
      </c>
      <c r="B146" s="3" t="s">
        <v>1786</v>
      </c>
    </row>
    <row r="147" spans="1:2" ht="76.5" x14ac:dyDescent="0.25">
      <c r="A147" s="3" t="s">
        <v>72</v>
      </c>
      <c r="B147" s="3" t="s">
        <v>1787</v>
      </c>
    </row>
    <row r="148" spans="1:2" ht="38.25" x14ac:dyDescent="0.25">
      <c r="A148" s="3" t="s">
        <v>1243</v>
      </c>
      <c r="B148" s="3" t="s">
        <v>1788</v>
      </c>
    </row>
    <row r="149" spans="1:2" ht="76.5" x14ac:dyDescent="0.25">
      <c r="A149" s="3" t="s">
        <v>1244</v>
      </c>
      <c r="B149" s="3" t="s">
        <v>1789</v>
      </c>
    </row>
    <row r="150" spans="1:2" ht="51" x14ac:dyDescent="0.25">
      <c r="A150" s="3" t="s">
        <v>1245</v>
      </c>
      <c r="B150" s="3" t="s">
        <v>1790</v>
      </c>
    </row>
    <row r="151" spans="1:2" ht="63.75" x14ac:dyDescent="0.25">
      <c r="A151" s="3" t="s">
        <v>1246</v>
      </c>
      <c r="B151" s="3" t="s">
        <v>1791</v>
      </c>
    </row>
    <row r="152" spans="1:2" ht="51" x14ac:dyDescent="0.25">
      <c r="A152" s="3" t="s">
        <v>1247</v>
      </c>
      <c r="B152" s="3" t="s">
        <v>1792</v>
      </c>
    </row>
    <row r="153" spans="1:2" ht="38.25" x14ac:dyDescent="0.25">
      <c r="A153" s="3" t="s">
        <v>1248</v>
      </c>
      <c r="B153" s="3" t="s">
        <v>1793</v>
      </c>
    </row>
    <row r="154" spans="1:2" ht="25.5" x14ac:dyDescent="0.25">
      <c r="A154" s="3" t="s">
        <v>1249</v>
      </c>
      <c r="B154" s="3" t="s">
        <v>1794</v>
      </c>
    </row>
    <row r="155" spans="1:2" ht="63.75" x14ac:dyDescent="0.25">
      <c r="A155" s="3" t="s">
        <v>1250</v>
      </c>
      <c r="B155" s="3" t="s">
        <v>1795</v>
      </c>
    </row>
    <row r="156" spans="1:2" ht="38.25" x14ac:dyDescent="0.25">
      <c r="A156" s="3" t="s">
        <v>1251</v>
      </c>
      <c r="B156" s="3" t="s">
        <v>1796</v>
      </c>
    </row>
    <row r="157" spans="1:2" ht="25.5" x14ac:dyDescent="0.25">
      <c r="A157" s="3" t="s">
        <v>74</v>
      </c>
      <c r="B157" s="3" t="s">
        <v>1797</v>
      </c>
    </row>
    <row r="158" spans="1:2" ht="63.75" x14ac:dyDescent="0.25">
      <c r="A158" s="3" t="s">
        <v>75</v>
      </c>
      <c r="B158" s="3" t="s">
        <v>1798</v>
      </c>
    </row>
    <row r="159" spans="1:2" ht="38.25" x14ac:dyDescent="0.25">
      <c r="A159" s="3" t="s">
        <v>1252</v>
      </c>
      <c r="B159" s="3" t="s">
        <v>1799</v>
      </c>
    </row>
    <row r="160" spans="1:2" ht="25.5" x14ac:dyDescent="0.25">
      <c r="A160" s="3" t="s">
        <v>1176</v>
      </c>
      <c r="B160" s="3" t="s">
        <v>1728</v>
      </c>
    </row>
    <row r="161" spans="1:2" ht="25.5" x14ac:dyDescent="0.25">
      <c r="A161" s="3" t="s">
        <v>1253</v>
      </c>
      <c r="B161" s="3" t="s">
        <v>1800</v>
      </c>
    </row>
    <row r="162" spans="1:2" ht="63.75" x14ac:dyDescent="0.25">
      <c r="A162" s="3" t="s">
        <v>77</v>
      </c>
      <c r="B162" s="3" t="s">
        <v>1801</v>
      </c>
    </row>
    <row r="163" spans="1:2" ht="25.5" x14ac:dyDescent="0.25">
      <c r="A163" s="3" t="s">
        <v>1254</v>
      </c>
      <c r="B163" s="3" t="s">
        <v>1802</v>
      </c>
    </row>
    <row r="164" spans="1:2" ht="51" x14ac:dyDescent="0.25">
      <c r="A164" s="3" t="s">
        <v>1255</v>
      </c>
      <c r="B164" s="3" t="s">
        <v>1803</v>
      </c>
    </row>
    <row r="165" spans="1:2" ht="51" x14ac:dyDescent="0.25">
      <c r="A165" s="3" t="s">
        <v>1146</v>
      </c>
      <c r="B165" s="3" t="s">
        <v>1701</v>
      </c>
    </row>
    <row r="166" spans="1:2" ht="76.5" x14ac:dyDescent="0.25">
      <c r="A166" s="3" t="s">
        <v>80</v>
      </c>
      <c r="B166" s="3" t="s">
        <v>1804</v>
      </c>
    </row>
    <row r="167" spans="1:2" ht="51" x14ac:dyDescent="0.25">
      <c r="A167" s="3" t="s">
        <v>1256</v>
      </c>
      <c r="B167" s="3" t="s">
        <v>1805</v>
      </c>
    </row>
    <row r="168" spans="1:2" ht="63.75" x14ac:dyDescent="0.25">
      <c r="A168" s="3" t="s">
        <v>1156</v>
      </c>
      <c r="B168" s="3" t="s">
        <v>1710</v>
      </c>
    </row>
    <row r="169" spans="1:2" ht="63.75" x14ac:dyDescent="0.25">
      <c r="A169" s="3" t="s">
        <v>1242</v>
      </c>
      <c r="B169" s="3" t="s">
        <v>1786</v>
      </c>
    </row>
    <row r="170" spans="1:2" ht="76.5" x14ac:dyDescent="0.25">
      <c r="A170" s="3" t="s">
        <v>72</v>
      </c>
      <c r="B170" s="3" t="s">
        <v>1787</v>
      </c>
    </row>
    <row r="171" spans="1:2" ht="38.25" x14ac:dyDescent="0.25">
      <c r="A171" s="3" t="s">
        <v>1243</v>
      </c>
      <c r="B171" s="3" t="s">
        <v>1788</v>
      </c>
    </row>
    <row r="172" spans="1:2" ht="76.5" x14ac:dyDescent="0.25">
      <c r="A172" s="3" t="s">
        <v>1244</v>
      </c>
      <c r="B172" s="3" t="s">
        <v>1789</v>
      </c>
    </row>
    <row r="173" spans="1:2" ht="51" x14ac:dyDescent="0.25">
      <c r="A173" s="3" t="s">
        <v>1245</v>
      </c>
      <c r="B173" s="3" t="s">
        <v>1790</v>
      </c>
    </row>
    <row r="174" spans="1:2" ht="63.75" x14ac:dyDescent="0.25">
      <c r="A174" s="3" t="s">
        <v>1246</v>
      </c>
      <c r="B174" s="3" t="s">
        <v>1791</v>
      </c>
    </row>
    <row r="175" spans="1:2" ht="51" x14ac:dyDescent="0.25">
      <c r="A175" s="3" t="s">
        <v>1247</v>
      </c>
      <c r="B175" s="3" t="s">
        <v>1792</v>
      </c>
    </row>
    <row r="176" spans="1:2" ht="38.25" x14ac:dyDescent="0.25">
      <c r="A176" s="3" t="s">
        <v>1248</v>
      </c>
      <c r="B176" s="3" t="s">
        <v>1793</v>
      </c>
    </row>
    <row r="177" spans="1:2" ht="25.5" x14ac:dyDescent="0.25">
      <c r="A177" s="3" t="s">
        <v>1249</v>
      </c>
      <c r="B177" s="3" t="s">
        <v>1794</v>
      </c>
    </row>
    <row r="178" spans="1:2" ht="63.75" x14ac:dyDescent="0.25">
      <c r="A178" s="3" t="s">
        <v>1250</v>
      </c>
      <c r="B178" s="3" t="s">
        <v>1795</v>
      </c>
    </row>
    <row r="179" spans="1:2" ht="38.25" x14ac:dyDescent="0.25">
      <c r="A179" s="3" t="s">
        <v>1251</v>
      </c>
      <c r="B179" s="3" t="s">
        <v>1796</v>
      </c>
    </row>
    <row r="180" spans="1:2" ht="25.5" x14ac:dyDescent="0.25">
      <c r="A180" s="3" t="s">
        <v>74</v>
      </c>
      <c r="B180" s="3" t="s">
        <v>1797</v>
      </c>
    </row>
    <row r="181" spans="1:2" ht="63.75" x14ac:dyDescent="0.25">
      <c r="A181" s="3" t="s">
        <v>75</v>
      </c>
      <c r="B181" s="3" t="s">
        <v>1798</v>
      </c>
    </row>
    <row r="182" spans="1:2" ht="38.25" x14ac:dyDescent="0.25">
      <c r="A182" s="3" t="s">
        <v>1252</v>
      </c>
      <c r="B182" s="3" t="s">
        <v>1799</v>
      </c>
    </row>
    <row r="183" spans="1:2" ht="25.5" x14ac:dyDescent="0.25">
      <c r="A183" s="3" t="s">
        <v>1176</v>
      </c>
      <c r="B183" s="3" t="s">
        <v>1728</v>
      </c>
    </row>
    <row r="184" spans="1:2" ht="25.5" x14ac:dyDescent="0.25">
      <c r="A184" s="3" t="s">
        <v>1253</v>
      </c>
      <c r="B184" s="3" t="s">
        <v>1800</v>
      </c>
    </row>
    <row r="185" spans="1:2" ht="63.75" x14ac:dyDescent="0.25">
      <c r="A185" s="3" t="s">
        <v>77</v>
      </c>
      <c r="B185" s="3" t="s">
        <v>1801</v>
      </c>
    </row>
    <row r="186" spans="1:2" ht="25.5" x14ac:dyDescent="0.25">
      <c r="A186" s="3" t="s">
        <v>1254</v>
      </c>
      <c r="B186" s="3" t="s">
        <v>1802</v>
      </c>
    </row>
    <row r="187" spans="1:2" ht="51" x14ac:dyDescent="0.25">
      <c r="A187" s="3" t="s">
        <v>1255</v>
      </c>
      <c r="B187" s="3" t="s">
        <v>1803</v>
      </c>
    </row>
    <row r="188" spans="1:2" ht="51" x14ac:dyDescent="0.25">
      <c r="A188" s="3" t="s">
        <v>1146</v>
      </c>
      <c r="B188" s="3" t="s">
        <v>1701</v>
      </c>
    </row>
    <row r="189" spans="1:2" ht="51" x14ac:dyDescent="0.25">
      <c r="A189" s="3" t="s">
        <v>1256</v>
      </c>
      <c r="B189" s="3" t="s">
        <v>1805</v>
      </c>
    </row>
    <row r="190" spans="1:2" ht="63.75" x14ac:dyDescent="0.25">
      <c r="A190" s="3" t="s">
        <v>1156</v>
      </c>
      <c r="B190" s="3" t="s">
        <v>1710</v>
      </c>
    </row>
    <row r="191" spans="1:2" ht="63.75" x14ac:dyDescent="0.25">
      <c r="A191" s="3" t="s">
        <v>1242</v>
      </c>
      <c r="B191" s="3" t="s">
        <v>1786</v>
      </c>
    </row>
    <row r="192" spans="1:2" ht="76.5" x14ac:dyDescent="0.25">
      <c r="A192" s="3" t="s">
        <v>72</v>
      </c>
      <c r="B192" s="3" t="s">
        <v>1787</v>
      </c>
    </row>
    <row r="193" spans="1:2" ht="38.25" x14ac:dyDescent="0.25">
      <c r="A193" s="3" t="s">
        <v>1243</v>
      </c>
      <c r="B193" s="3" t="s">
        <v>1788</v>
      </c>
    </row>
    <row r="194" spans="1:2" ht="76.5" x14ac:dyDescent="0.25">
      <c r="A194" s="3" t="s">
        <v>1244</v>
      </c>
      <c r="B194" s="3" t="s">
        <v>1789</v>
      </c>
    </row>
    <row r="195" spans="1:2" ht="51" x14ac:dyDescent="0.25">
      <c r="A195" s="3" t="s">
        <v>1245</v>
      </c>
      <c r="B195" s="3" t="s">
        <v>1790</v>
      </c>
    </row>
    <row r="196" spans="1:2" ht="63.75" x14ac:dyDescent="0.25">
      <c r="A196" s="3" t="s">
        <v>1246</v>
      </c>
      <c r="B196" s="3" t="s">
        <v>1791</v>
      </c>
    </row>
    <row r="197" spans="1:2" ht="51" x14ac:dyDescent="0.25">
      <c r="A197" s="3" t="s">
        <v>1247</v>
      </c>
      <c r="B197" s="3" t="s">
        <v>1792</v>
      </c>
    </row>
    <row r="198" spans="1:2" ht="38.25" x14ac:dyDescent="0.25">
      <c r="A198" s="3" t="s">
        <v>1248</v>
      </c>
      <c r="B198" s="3" t="s">
        <v>1793</v>
      </c>
    </row>
    <row r="199" spans="1:2" ht="25.5" x14ac:dyDescent="0.25">
      <c r="A199" s="3" t="s">
        <v>1249</v>
      </c>
      <c r="B199" s="3" t="s">
        <v>1794</v>
      </c>
    </row>
    <row r="200" spans="1:2" ht="63.75" x14ac:dyDescent="0.25">
      <c r="A200" s="3" t="s">
        <v>1250</v>
      </c>
      <c r="B200" s="3" t="s">
        <v>1795</v>
      </c>
    </row>
    <row r="201" spans="1:2" ht="38.25" x14ac:dyDescent="0.25">
      <c r="A201" s="3" t="s">
        <v>1251</v>
      </c>
      <c r="B201" s="3" t="s">
        <v>1796</v>
      </c>
    </row>
    <row r="202" spans="1:2" ht="25.5" x14ac:dyDescent="0.25">
      <c r="A202" s="3" t="s">
        <v>74</v>
      </c>
      <c r="B202" s="3" t="s">
        <v>1797</v>
      </c>
    </row>
    <row r="203" spans="1:2" ht="63.75" x14ac:dyDescent="0.25">
      <c r="A203" s="3" t="s">
        <v>75</v>
      </c>
      <c r="B203" s="3" t="s">
        <v>1798</v>
      </c>
    </row>
    <row r="204" spans="1:2" ht="38.25" x14ac:dyDescent="0.25">
      <c r="A204" s="3" t="s">
        <v>1252</v>
      </c>
      <c r="B204" s="3" t="s">
        <v>1799</v>
      </c>
    </row>
    <row r="205" spans="1:2" ht="25.5" x14ac:dyDescent="0.25">
      <c r="A205" s="3" t="s">
        <v>1176</v>
      </c>
      <c r="B205" s="3" t="s">
        <v>1728</v>
      </c>
    </row>
    <row r="206" spans="1:2" ht="25.5" x14ac:dyDescent="0.25">
      <c r="A206" s="3" t="s">
        <v>1253</v>
      </c>
      <c r="B206" s="3" t="s">
        <v>1800</v>
      </c>
    </row>
    <row r="207" spans="1:2" ht="63.75" x14ac:dyDescent="0.25">
      <c r="A207" s="3" t="s">
        <v>77</v>
      </c>
      <c r="B207" s="3" t="s">
        <v>1801</v>
      </c>
    </row>
    <row r="208" spans="1:2" ht="25.5" x14ac:dyDescent="0.25">
      <c r="A208" s="3" t="s">
        <v>1254</v>
      </c>
      <c r="B208" s="3" t="s">
        <v>1802</v>
      </c>
    </row>
    <row r="209" spans="1:2" ht="51" x14ac:dyDescent="0.25">
      <c r="A209" s="3" t="s">
        <v>1255</v>
      </c>
      <c r="B209" s="3" t="s">
        <v>1803</v>
      </c>
    </row>
    <row r="210" spans="1:2" ht="51" x14ac:dyDescent="0.25">
      <c r="A210" s="3" t="s">
        <v>1146</v>
      </c>
      <c r="B210" s="3" t="s">
        <v>1701</v>
      </c>
    </row>
    <row r="211" spans="1:2" ht="76.5" x14ac:dyDescent="0.25">
      <c r="A211" s="3" t="s">
        <v>80</v>
      </c>
      <c r="B211" s="3" t="s">
        <v>1804</v>
      </c>
    </row>
    <row r="212" spans="1:2" ht="51" x14ac:dyDescent="0.25">
      <c r="A212" s="3" t="s">
        <v>1256</v>
      </c>
      <c r="B212" s="3" t="s">
        <v>1805</v>
      </c>
    </row>
    <row r="213" spans="1:2" ht="63.75" x14ac:dyDescent="0.25">
      <c r="A213" s="3" t="s">
        <v>1156</v>
      </c>
      <c r="B213" s="3" t="s">
        <v>1710</v>
      </c>
    </row>
    <row r="214" spans="1:2" ht="63.75" x14ac:dyDescent="0.25">
      <c r="A214" s="3" t="s">
        <v>1242</v>
      </c>
      <c r="B214" s="3" t="s">
        <v>1786</v>
      </c>
    </row>
    <row r="215" spans="1:2" ht="76.5" x14ac:dyDescent="0.25">
      <c r="A215" s="3" t="s">
        <v>72</v>
      </c>
      <c r="B215" s="3" t="s">
        <v>1787</v>
      </c>
    </row>
    <row r="216" spans="1:2" ht="38.25" x14ac:dyDescent="0.25">
      <c r="A216" s="3" t="s">
        <v>1243</v>
      </c>
      <c r="B216" s="3" t="s">
        <v>1788</v>
      </c>
    </row>
    <row r="217" spans="1:2" ht="76.5" x14ac:dyDescent="0.25">
      <c r="A217" s="3" t="s">
        <v>1244</v>
      </c>
      <c r="B217" s="3" t="s">
        <v>1789</v>
      </c>
    </row>
    <row r="218" spans="1:2" ht="51" x14ac:dyDescent="0.25">
      <c r="A218" s="3" t="s">
        <v>1245</v>
      </c>
      <c r="B218" s="3" t="s">
        <v>1790</v>
      </c>
    </row>
    <row r="219" spans="1:2" ht="63.75" x14ac:dyDescent="0.25">
      <c r="A219" s="3" t="s">
        <v>1246</v>
      </c>
      <c r="B219" s="3" t="s">
        <v>1791</v>
      </c>
    </row>
    <row r="220" spans="1:2" ht="51" x14ac:dyDescent="0.25">
      <c r="A220" s="3" t="s">
        <v>1247</v>
      </c>
      <c r="B220" s="3" t="s">
        <v>1792</v>
      </c>
    </row>
    <row r="221" spans="1:2" ht="38.25" x14ac:dyDescent="0.25">
      <c r="A221" s="3" t="s">
        <v>1248</v>
      </c>
      <c r="B221" s="3" t="s">
        <v>1793</v>
      </c>
    </row>
    <row r="222" spans="1:2" ht="25.5" x14ac:dyDescent="0.25">
      <c r="A222" s="3" t="s">
        <v>1249</v>
      </c>
      <c r="B222" s="3" t="s">
        <v>1794</v>
      </c>
    </row>
    <row r="223" spans="1:2" ht="63.75" x14ac:dyDescent="0.25">
      <c r="A223" s="3" t="s">
        <v>1250</v>
      </c>
      <c r="B223" s="3" t="s">
        <v>1795</v>
      </c>
    </row>
    <row r="224" spans="1:2" ht="38.25" x14ac:dyDescent="0.25">
      <c r="A224" s="3" t="s">
        <v>1251</v>
      </c>
      <c r="B224" s="3" t="s">
        <v>1796</v>
      </c>
    </row>
    <row r="225" spans="1:2" ht="25.5" x14ac:dyDescent="0.25">
      <c r="A225" s="3" t="s">
        <v>74</v>
      </c>
      <c r="B225" s="3" t="s">
        <v>1797</v>
      </c>
    </row>
    <row r="226" spans="1:2" ht="63.75" x14ac:dyDescent="0.25">
      <c r="A226" s="3" t="s">
        <v>75</v>
      </c>
      <c r="B226" s="3" t="s">
        <v>1798</v>
      </c>
    </row>
    <row r="227" spans="1:2" ht="38.25" x14ac:dyDescent="0.25">
      <c r="A227" s="3" t="s">
        <v>1252</v>
      </c>
      <c r="B227" s="3" t="s">
        <v>1799</v>
      </c>
    </row>
    <row r="228" spans="1:2" ht="25.5" x14ac:dyDescent="0.25">
      <c r="A228" s="3" t="s">
        <v>1176</v>
      </c>
      <c r="B228" s="3" t="s">
        <v>1728</v>
      </c>
    </row>
    <row r="229" spans="1:2" ht="25.5" x14ac:dyDescent="0.25">
      <c r="A229" s="3" t="s">
        <v>1253</v>
      </c>
      <c r="B229" s="3" t="s">
        <v>1800</v>
      </c>
    </row>
    <row r="230" spans="1:2" ht="63.75" x14ac:dyDescent="0.25">
      <c r="A230" s="3" t="s">
        <v>77</v>
      </c>
      <c r="B230" s="3" t="s">
        <v>1801</v>
      </c>
    </row>
    <row r="231" spans="1:2" ht="25.5" x14ac:dyDescent="0.25">
      <c r="A231" s="3" t="s">
        <v>1254</v>
      </c>
      <c r="B231" s="3" t="s">
        <v>1802</v>
      </c>
    </row>
    <row r="232" spans="1:2" ht="51" x14ac:dyDescent="0.25">
      <c r="A232" s="3" t="s">
        <v>1255</v>
      </c>
      <c r="B232" s="3" t="s">
        <v>1803</v>
      </c>
    </row>
    <row r="233" spans="1:2" ht="51" x14ac:dyDescent="0.25">
      <c r="A233" s="3" t="s">
        <v>1146</v>
      </c>
      <c r="B233" s="3" t="s">
        <v>1701</v>
      </c>
    </row>
    <row r="234" spans="1:2" ht="51" x14ac:dyDescent="0.25">
      <c r="A234" s="3" t="s">
        <v>1256</v>
      </c>
      <c r="B234" s="3" t="s">
        <v>1805</v>
      </c>
    </row>
    <row r="235" spans="1:2" ht="51" x14ac:dyDescent="0.25">
      <c r="A235" s="3" t="s">
        <v>1147</v>
      </c>
      <c r="B235" s="3" t="s">
        <v>1702</v>
      </c>
    </row>
    <row r="236" spans="1:2" ht="25.5" x14ac:dyDescent="0.25">
      <c r="A236" s="3" t="s">
        <v>1261</v>
      </c>
      <c r="B236" s="3" t="s">
        <v>1806</v>
      </c>
    </row>
    <row r="237" spans="1:2" ht="25.5" x14ac:dyDescent="0.25">
      <c r="A237" s="3" t="s">
        <v>1262</v>
      </c>
      <c r="B237" s="3" t="s">
        <v>1807</v>
      </c>
    </row>
    <row r="238" spans="1:2" ht="25.5" x14ac:dyDescent="0.25">
      <c r="A238" s="3" t="s">
        <v>1263</v>
      </c>
      <c r="B238" s="3" t="s">
        <v>1808</v>
      </c>
    </row>
    <row r="239" spans="1:2" ht="25.5" x14ac:dyDescent="0.25">
      <c r="A239" s="3" t="s">
        <v>1264</v>
      </c>
      <c r="B239" s="3" t="s">
        <v>1809</v>
      </c>
    </row>
    <row r="240" spans="1:2" ht="51" x14ac:dyDescent="0.25">
      <c r="A240" s="3" t="s">
        <v>1265</v>
      </c>
      <c r="B240" s="3" t="s">
        <v>1810</v>
      </c>
    </row>
    <row r="241" spans="1:2" ht="76.5" x14ac:dyDescent="0.25">
      <c r="A241" s="3" t="s">
        <v>1215</v>
      </c>
      <c r="B241" s="3" t="s">
        <v>1763</v>
      </c>
    </row>
    <row r="242" spans="1:2" ht="25.5" x14ac:dyDescent="0.25">
      <c r="A242" s="3" t="s">
        <v>1176</v>
      </c>
      <c r="B242" s="3" t="s">
        <v>1728</v>
      </c>
    </row>
    <row r="243" spans="1:2" ht="38.25" x14ac:dyDescent="0.25">
      <c r="A243" s="3" t="s">
        <v>1266</v>
      </c>
      <c r="B243" s="3" t="s">
        <v>1811</v>
      </c>
    </row>
    <row r="244" spans="1:2" ht="38.25" x14ac:dyDescent="0.25">
      <c r="A244" s="3" t="s">
        <v>1267</v>
      </c>
      <c r="B244" s="3" t="s">
        <v>1812</v>
      </c>
    </row>
    <row r="245" spans="1:2" ht="25.5" x14ac:dyDescent="0.25">
      <c r="A245" s="3" t="s">
        <v>1268</v>
      </c>
      <c r="B245" s="3" t="s">
        <v>1813</v>
      </c>
    </row>
    <row r="246" spans="1:2" ht="25.5" x14ac:dyDescent="0.25">
      <c r="A246" s="3" t="s">
        <v>1269</v>
      </c>
      <c r="B246" s="3" t="s">
        <v>1814</v>
      </c>
    </row>
    <row r="247" spans="1:2" ht="38.25" x14ac:dyDescent="0.25">
      <c r="A247" s="3" t="s">
        <v>85</v>
      </c>
      <c r="B247" s="3" t="s">
        <v>1815</v>
      </c>
    </row>
    <row r="248" spans="1:2" ht="25.5" x14ac:dyDescent="0.25">
      <c r="A248" s="3" t="s">
        <v>1270</v>
      </c>
      <c r="B248" s="3" t="s">
        <v>1816</v>
      </c>
    </row>
    <row r="249" spans="1:2" ht="51" x14ac:dyDescent="0.25">
      <c r="A249" s="3" t="s">
        <v>1271</v>
      </c>
      <c r="B249" s="3" t="s">
        <v>1817</v>
      </c>
    </row>
    <row r="250" spans="1:2" ht="63.75" x14ac:dyDescent="0.25">
      <c r="A250" s="3" t="s">
        <v>1273</v>
      </c>
      <c r="B250" s="3" t="s">
        <v>1818</v>
      </c>
    </row>
    <row r="251" spans="1:2" ht="38.25" x14ac:dyDescent="0.25">
      <c r="A251" s="3" t="s">
        <v>1251</v>
      </c>
      <c r="B251" s="3" t="s">
        <v>1796</v>
      </c>
    </row>
    <row r="252" spans="1:2" ht="63.75" x14ac:dyDescent="0.25">
      <c r="A252" s="3" t="s">
        <v>1274</v>
      </c>
      <c r="B252" s="3" t="s">
        <v>1819</v>
      </c>
    </row>
    <row r="253" spans="1:2" ht="38.25" x14ac:dyDescent="0.25">
      <c r="A253" s="3" t="s">
        <v>1275</v>
      </c>
      <c r="B253" s="3" t="s">
        <v>1820</v>
      </c>
    </row>
    <row r="254" spans="1:2" ht="51" x14ac:dyDescent="0.25">
      <c r="A254" s="3" t="s">
        <v>1147</v>
      </c>
      <c r="B254" s="3" t="s">
        <v>1702</v>
      </c>
    </row>
    <row r="255" spans="1:2" ht="38.25" x14ac:dyDescent="0.25">
      <c r="A255" s="3" t="s">
        <v>1276</v>
      </c>
      <c r="B255" s="3" t="s">
        <v>1821</v>
      </c>
    </row>
    <row r="256" spans="1:2" ht="25.5" x14ac:dyDescent="0.25">
      <c r="A256" s="3" t="s">
        <v>1237</v>
      </c>
      <c r="B256" s="3" t="s">
        <v>1782</v>
      </c>
    </row>
    <row r="257" spans="1:2" ht="51" x14ac:dyDescent="0.25">
      <c r="A257" s="3" t="s">
        <v>1170</v>
      </c>
      <c r="B257" s="3" t="s">
        <v>1722</v>
      </c>
    </row>
    <row r="258" spans="1:2" ht="38.25" x14ac:dyDescent="0.25">
      <c r="A258" s="3" t="s">
        <v>1171</v>
      </c>
      <c r="B258" s="3" t="s">
        <v>1723</v>
      </c>
    </row>
    <row r="259" spans="1:2" ht="38.25" x14ac:dyDescent="0.25">
      <c r="A259" s="3" t="s">
        <v>1277</v>
      </c>
      <c r="B259" s="3" t="s">
        <v>1734</v>
      </c>
    </row>
    <row r="260" spans="1:2" ht="51" x14ac:dyDescent="0.25">
      <c r="A260" s="3" t="s">
        <v>1151</v>
      </c>
      <c r="B260" s="3" t="s">
        <v>1705</v>
      </c>
    </row>
    <row r="261" spans="1:2" ht="51" x14ac:dyDescent="0.25">
      <c r="A261" s="3" t="s">
        <v>1187</v>
      </c>
      <c r="B261" s="3" t="s">
        <v>1736</v>
      </c>
    </row>
    <row r="262" spans="1:2" ht="38.25" x14ac:dyDescent="0.25">
      <c r="A262" s="3" t="s">
        <v>1212</v>
      </c>
      <c r="B262" s="3" t="s">
        <v>1760</v>
      </c>
    </row>
    <row r="263" spans="1:2" ht="63.75" x14ac:dyDescent="0.25">
      <c r="A263" s="3" t="s">
        <v>1168</v>
      </c>
      <c r="B263" s="3" t="s">
        <v>1720</v>
      </c>
    </row>
    <row r="264" spans="1:2" ht="102" x14ac:dyDescent="0.25">
      <c r="A264" s="3" t="s">
        <v>89</v>
      </c>
      <c r="B264" s="3" t="s">
        <v>1822</v>
      </c>
    </row>
    <row r="265" spans="1:2" ht="102" x14ac:dyDescent="0.25">
      <c r="A265" s="3" t="s">
        <v>90</v>
      </c>
      <c r="B265" s="3" t="s">
        <v>1823</v>
      </c>
    </row>
    <row r="266" spans="1:2" ht="38.25" x14ac:dyDescent="0.25">
      <c r="A266" s="3" t="s">
        <v>91</v>
      </c>
      <c r="B266" s="3" t="s">
        <v>1824</v>
      </c>
    </row>
    <row r="267" spans="1:2" ht="89.25" x14ac:dyDescent="0.25">
      <c r="A267" s="3" t="s">
        <v>92</v>
      </c>
      <c r="B267" s="3" t="s">
        <v>1825</v>
      </c>
    </row>
    <row r="268" spans="1:2" ht="89.25" x14ac:dyDescent="0.25">
      <c r="A268" s="3" t="s">
        <v>93</v>
      </c>
      <c r="B268" s="3" t="s">
        <v>1826</v>
      </c>
    </row>
    <row r="269" spans="1:2" ht="25.5" x14ac:dyDescent="0.25">
      <c r="A269" s="3" t="s">
        <v>1280</v>
      </c>
      <c r="B269" s="3" t="s">
        <v>1827</v>
      </c>
    </row>
    <row r="270" spans="1:2" ht="51" x14ac:dyDescent="0.25">
      <c r="A270" s="3" t="s">
        <v>95</v>
      </c>
      <c r="B270" s="3" t="s">
        <v>1828</v>
      </c>
    </row>
    <row r="271" spans="1:2" ht="51" x14ac:dyDescent="0.25">
      <c r="A271" s="3" t="s">
        <v>95</v>
      </c>
      <c r="B271" s="3" t="s">
        <v>1828</v>
      </c>
    </row>
    <row r="272" spans="1:2" ht="51" x14ac:dyDescent="0.25">
      <c r="A272" s="3" t="s">
        <v>1282</v>
      </c>
      <c r="B272" s="3" t="s">
        <v>1829</v>
      </c>
    </row>
    <row r="273" spans="1:2" ht="63.75" x14ac:dyDescent="0.25">
      <c r="A273" s="3" t="s">
        <v>1284</v>
      </c>
      <c r="B273" s="3" t="s">
        <v>1830</v>
      </c>
    </row>
    <row r="274" spans="1:2" ht="63.75" x14ac:dyDescent="0.25">
      <c r="A274" s="3" t="s">
        <v>1286</v>
      </c>
      <c r="B274" s="3" t="s">
        <v>1831</v>
      </c>
    </row>
    <row r="275" spans="1:2" ht="114.75" x14ac:dyDescent="0.25">
      <c r="A275" s="3" t="s">
        <v>98</v>
      </c>
      <c r="B275" s="3" t="s">
        <v>1832</v>
      </c>
    </row>
    <row r="276" spans="1:2" ht="38.25" x14ac:dyDescent="0.25">
      <c r="A276" s="3" t="s">
        <v>1287</v>
      </c>
      <c r="B276" s="3" t="s">
        <v>1833</v>
      </c>
    </row>
    <row r="277" spans="1:2" ht="25.5" x14ac:dyDescent="0.25">
      <c r="A277" s="3" t="s">
        <v>1288</v>
      </c>
      <c r="B277" s="3" t="s">
        <v>1834</v>
      </c>
    </row>
    <row r="278" spans="1:2" ht="51" x14ac:dyDescent="0.25">
      <c r="A278" s="3" t="s">
        <v>95</v>
      </c>
      <c r="B278" s="3" t="s">
        <v>1828</v>
      </c>
    </row>
    <row r="279" spans="1:2" ht="114.75" x14ac:dyDescent="0.25">
      <c r="A279" s="3" t="s">
        <v>101</v>
      </c>
      <c r="B279" s="3" t="s">
        <v>1835</v>
      </c>
    </row>
    <row r="280" spans="1:2" ht="51" x14ac:dyDescent="0.25">
      <c r="A280" s="3" t="s">
        <v>1291</v>
      </c>
      <c r="B280" s="3" t="s">
        <v>1836</v>
      </c>
    </row>
    <row r="281" spans="1:2" ht="63.75" x14ac:dyDescent="0.25">
      <c r="A281" s="3" t="s">
        <v>1292</v>
      </c>
      <c r="B281" s="3" t="s">
        <v>1837</v>
      </c>
    </row>
    <row r="282" spans="1:2" ht="63.75" x14ac:dyDescent="0.25">
      <c r="A282" s="3" t="s">
        <v>1294</v>
      </c>
      <c r="B282" s="3" t="s">
        <v>1838</v>
      </c>
    </row>
    <row r="283" spans="1:2" ht="38.25" x14ac:dyDescent="0.25">
      <c r="A283" s="3" t="s">
        <v>1287</v>
      </c>
      <c r="B283" s="3" t="s">
        <v>1833</v>
      </c>
    </row>
    <row r="284" spans="1:2" ht="51" x14ac:dyDescent="0.25">
      <c r="A284" s="3" t="s">
        <v>1295</v>
      </c>
      <c r="B284" s="3" t="s">
        <v>1839</v>
      </c>
    </row>
    <row r="285" spans="1:2" ht="63.75" x14ac:dyDescent="0.25">
      <c r="A285" s="3" t="s">
        <v>103</v>
      </c>
      <c r="B285" s="3" t="s">
        <v>1840</v>
      </c>
    </row>
    <row r="286" spans="1:2" ht="76.5" x14ac:dyDescent="0.25">
      <c r="A286" s="3" t="s">
        <v>105</v>
      </c>
      <c r="B286" s="3" t="s">
        <v>1841</v>
      </c>
    </row>
    <row r="287" spans="1:2" ht="25.5" x14ac:dyDescent="0.25">
      <c r="A287" s="3" t="s">
        <v>1280</v>
      </c>
      <c r="B287" s="3" t="s">
        <v>1827</v>
      </c>
    </row>
    <row r="288" spans="1:2" ht="76.5" x14ac:dyDescent="0.25">
      <c r="A288" s="3" t="s">
        <v>107</v>
      </c>
      <c r="B288" s="3" t="s">
        <v>1842</v>
      </c>
    </row>
    <row r="289" spans="1:2" ht="89.25" x14ac:dyDescent="0.25">
      <c r="A289" s="3" t="s">
        <v>109</v>
      </c>
      <c r="B289" s="3" t="s">
        <v>1843</v>
      </c>
    </row>
    <row r="290" spans="1:2" ht="63.75" x14ac:dyDescent="0.25">
      <c r="A290" s="3" t="s">
        <v>1300</v>
      </c>
      <c r="B290" s="3" t="s">
        <v>1844</v>
      </c>
    </row>
    <row r="291" spans="1:2" ht="25.5" x14ac:dyDescent="0.25">
      <c r="A291" s="3" t="s">
        <v>1301</v>
      </c>
      <c r="B291" s="3" t="s">
        <v>1845</v>
      </c>
    </row>
    <row r="292" spans="1:2" ht="76.5" x14ac:dyDescent="0.25">
      <c r="A292" s="3" t="s">
        <v>1303</v>
      </c>
      <c r="B292" s="3" t="s">
        <v>1846</v>
      </c>
    </row>
    <row r="293" spans="1:2" ht="76.5" x14ac:dyDescent="0.25">
      <c r="A293" s="3" t="s">
        <v>1304</v>
      </c>
      <c r="B293" s="3" t="s">
        <v>1847</v>
      </c>
    </row>
    <row r="294" spans="1:2" ht="63.75" x14ac:dyDescent="0.25">
      <c r="A294" s="3" t="s">
        <v>1305</v>
      </c>
      <c r="B294" s="3" t="s">
        <v>1848</v>
      </c>
    </row>
    <row r="295" spans="1:2" ht="63.75" x14ac:dyDescent="0.25">
      <c r="A295" s="3" t="s">
        <v>1220</v>
      </c>
      <c r="B295" s="3" t="s">
        <v>1768</v>
      </c>
    </row>
    <row r="296" spans="1:2" ht="38.25" x14ac:dyDescent="0.25">
      <c r="A296" s="3" t="s">
        <v>1307</v>
      </c>
      <c r="B296" s="3" t="s">
        <v>1849</v>
      </c>
    </row>
    <row r="297" spans="1:2" ht="51" x14ac:dyDescent="0.25">
      <c r="A297" s="3" t="s">
        <v>1219</v>
      </c>
      <c r="B297" s="3" t="s">
        <v>1767</v>
      </c>
    </row>
    <row r="298" spans="1:2" ht="25.5" x14ac:dyDescent="0.25">
      <c r="A298" s="3" t="s">
        <v>1308</v>
      </c>
      <c r="B298" s="3" t="s">
        <v>1850</v>
      </c>
    </row>
    <row r="299" spans="1:2" ht="38.25" x14ac:dyDescent="0.25">
      <c r="A299" s="3" t="s">
        <v>1309</v>
      </c>
      <c r="B299" s="3" t="s">
        <v>1851</v>
      </c>
    </row>
    <row r="300" spans="1:2" ht="51" x14ac:dyDescent="0.25">
      <c r="A300" s="3" t="s">
        <v>1187</v>
      </c>
      <c r="B300" s="3" t="s">
        <v>1736</v>
      </c>
    </row>
    <row r="301" spans="1:2" ht="51" x14ac:dyDescent="0.25">
      <c r="A301" s="3" t="s">
        <v>1310</v>
      </c>
      <c r="B301" s="3" t="s">
        <v>1852</v>
      </c>
    </row>
    <row r="302" spans="1:2" ht="102" x14ac:dyDescent="0.25">
      <c r="A302" s="3" t="s">
        <v>119</v>
      </c>
      <c r="B302" s="3" t="s">
        <v>1853</v>
      </c>
    </row>
    <row r="303" spans="1:2" ht="25.5" x14ac:dyDescent="0.25">
      <c r="A303" s="3" t="s">
        <v>1312</v>
      </c>
      <c r="B303" s="3" t="s">
        <v>1854</v>
      </c>
    </row>
    <row r="304" spans="1:2" ht="38.25" x14ac:dyDescent="0.25">
      <c r="A304" s="3" t="s">
        <v>1171</v>
      </c>
      <c r="B304" s="3" t="s">
        <v>1723</v>
      </c>
    </row>
    <row r="305" spans="1:2" ht="38.25" x14ac:dyDescent="0.25">
      <c r="A305" s="3" t="s">
        <v>1239</v>
      </c>
      <c r="B305" s="3" t="s">
        <v>1784</v>
      </c>
    </row>
    <row r="306" spans="1:2" ht="25.5" x14ac:dyDescent="0.25">
      <c r="A306" s="3" t="s">
        <v>1315</v>
      </c>
      <c r="B306" s="3" t="s">
        <v>1855</v>
      </c>
    </row>
    <row r="307" spans="1:2" ht="38.25" x14ac:dyDescent="0.25">
      <c r="A307" s="3" t="s">
        <v>1316</v>
      </c>
      <c r="B307" s="3" t="s">
        <v>1856</v>
      </c>
    </row>
    <row r="308" spans="1:2" ht="38.25" x14ac:dyDescent="0.25">
      <c r="A308" s="3" t="s">
        <v>1317</v>
      </c>
      <c r="B308" s="3" t="s">
        <v>1857</v>
      </c>
    </row>
    <row r="309" spans="1:2" ht="76.5" x14ac:dyDescent="0.25">
      <c r="A309" s="3" t="s">
        <v>1304</v>
      </c>
      <c r="B309" s="3" t="s">
        <v>1847</v>
      </c>
    </row>
    <row r="310" spans="1:2" ht="76.5" x14ac:dyDescent="0.25">
      <c r="A310" s="3" t="s">
        <v>1303</v>
      </c>
      <c r="B310" s="3" t="s">
        <v>1846</v>
      </c>
    </row>
    <row r="311" spans="1:2" ht="51" x14ac:dyDescent="0.25">
      <c r="A311" s="3" t="s">
        <v>1310</v>
      </c>
      <c r="B311" s="3" t="s">
        <v>1852</v>
      </c>
    </row>
    <row r="312" spans="1:2" ht="89.25" x14ac:dyDescent="0.25">
      <c r="A312" s="3" t="s">
        <v>127</v>
      </c>
      <c r="B312" s="3" t="s">
        <v>1858</v>
      </c>
    </row>
    <row r="313" spans="1:2" ht="25.5" x14ac:dyDescent="0.25">
      <c r="A313" s="3" t="s">
        <v>1312</v>
      </c>
      <c r="B313" s="3" t="s">
        <v>1854</v>
      </c>
    </row>
    <row r="314" spans="1:2" ht="63.75" x14ac:dyDescent="0.25">
      <c r="A314" s="3" t="s">
        <v>129</v>
      </c>
      <c r="B314" s="3" t="s">
        <v>1859</v>
      </c>
    </row>
    <row r="315" spans="1:2" ht="51" x14ac:dyDescent="0.25">
      <c r="A315" s="3" t="s">
        <v>1320</v>
      </c>
      <c r="B315" s="3" t="s">
        <v>1860</v>
      </c>
    </row>
    <row r="316" spans="1:2" ht="51" x14ac:dyDescent="0.25">
      <c r="A316" s="3" t="s">
        <v>1322</v>
      </c>
      <c r="B316" s="3" t="s">
        <v>1861</v>
      </c>
    </row>
    <row r="317" spans="1:2" ht="25.5" x14ac:dyDescent="0.25">
      <c r="A317" s="3" t="s">
        <v>1323</v>
      </c>
      <c r="B317" s="3" t="s">
        <v>1862</v>
      </c>
    </row>
    <row r="318" spans="1:2" ht="51" x14ac:dyDescent="0.25">
      <c r="A318" s="3" t="s">
        <v>1325</v>
      </c>
      <c r="B318" s="3" t="s">
        <v>1863</v>
      </c>
    </row>
    <row r="319" spans="1:2" ht="76.5" x14ac:dyDescent="0.25">
      <c r="A319" s="3" t="s">
        <v>1327</v>
      </c>
      <c r="B319" s="3" t="s">
        <v>1864</v>
      </c>
    </row>
    <row r="320" spans="1:2" ht="51" x14ac:dyDescent="0.25">
      <c r="A320" s="3" t="s">
        <v>1328</v>
      </c>
      <c r="B320" s="3" t="s">
        <v>1865</v>
      </c>
    </row>
    <row r="321" spans="1:2" ht="38.25" x14ac:dyDescent="0.25">
      <c r="A321" s="3" t="s">
        <v>1287</v>
      </c>
      <c r="B321" s="3" t="s">
        <v>1833</v>
      </c>
    </row>
    <row r="322" spans="1:2" ht="25.5" x14ac:dyDescent="0.25">
      <c r="A322" s="3" t="s">
        <v>1288</v>
      </c>
      <c r="B322" s="3" t="s">
        <v>1834</v>
      </c>
    </row>
    <row r="323" spans="1:2" ht="51" x14ac:dyDescent="0.25">
      <c r="A323" s="3" t="s">
        <v>1272</v>
      </c>
      <c r="B323" s="3" t="s">
        <v>1866</v>
      </c>
    </row>
    <row r="324" spans="1:2" ht="114.75" x14ac:dyDescent="0.25">
      <c r="A324" s="3" t="s">
        <v>98</v>
      </c>
      <c r="B324" s="3" t="s">
        <v>1832</v>
      </c>
    </row>
    <row r="325" spans="1:2" ht="63.75" x14ac:dyDescent="0.25">
      <c r="A325" s="3" t="s">
        <v>1331</v>
      </c>
      <c r="B325" s="3" t="s">
        <v>1867</v>
      </c>
    </row>
    <row r="326" spans="1:2" ht="25.5" x14ac:dyDescent="0.25">
      <c r="A326" s="3" t="s">
        <v>1312</v>
      </c>
      <c r="B326" s="3" t="s">
        <v>1854</v>
      </c>
    </row>
    <row r="327" spans="1:2" ht="51" x14ac:dyDescent="0.25">
      <c r="A327" s="3" t="s">
        <v>1310</v>
      </c>
      <c r="B327" s="3" t="s">
        <v>1852</v>
      </c>
    </row>
    <row r="328" spans="1:2" ht="76.5" x14ac:dyDescent="0.25">
      <c r="A328" s="3" t="s">
        <v>1303</v>
      </c>
      <c r="B328" s="3" t="s">
        <v>1846</v>
      </c>
    </row>
    <row r="329" spans="1:2" ht="76.5" x14ac:dyDescent="0.25">
      <c r="A329" s="3" t="s">
        <v>1304</v>
      </c>
      <c r="B329" s="3" t="s">
        <v>1847</v>
      </c>
    </row>
    <row r="330" spans="1:2" ht="63.75" x14ac:dyDescent="0.25">
      <c r="A330" s="3" t="s">
        <v>1305</v>
      </c>
      <c r="B330" s="3" t="s">
        <v>1848</v>
      </c>
    </row>
    <row r="331" spans="1:2" ht="63.75" x14ac:dyDescent="0.25">
      <c r="A331" s="3" t="s">
        <v>1220</v>
      </c>
      <c r="B331" s="3" t="s">
        <v>1768</v>
      </c>
    </row>
    <row r="332" spans="1:2" ht="38.25" x14ac:dyDescent="0.25">
      <c r="A332" s="3" t="s">
        <v>1307</v>
      </c>
      <c r="B332" s="3" t="s">
        <v>1849</v>
      </c>
    </row>
    <row r="333" spans="1:2" ht="51" x14ac:dyDescent="0.25">
      <c r="A333" s="3" t="s">
        <v>1219</v>
      </c>
      <c r="B333" s="3" t="s">
        <v>1767</v>
      </c>
    </row>
    <row r="334" spans="1:2" ht="38.25" x14ac:dyDescent="0.25">
      <c r="A334" s="3" t="s">
        <v>1334</v>
      </c>
      <c r="B334" s="3" t="s">
        <v>1868</v>
      </c>
    </row>
    <row r="335" spans="1:2" ht="63.75" x14ac:dyDescent="0.25">
      <c r="A335" s="3" t="s">
        <v>1168</v>
      </c>
      <c r="B335" s="3" t="s">
        <v>1720</v>
      </c>
    </row>
    <row r="336" spans="1:2" ht="51" x14ac:dyDescent="0.25">
      <c r="A336" s="3" t="s">
        <v>1187</v>
      </c>
      <c r="B336" s="3" t="s">
        <v>1736</v>
      </c>
    </row>
    <row r="337" spans="1:2" ht="63.75" x14ac:dyDescent="0.25">
      <c r="A337" s="3" t="s">
        <v>1260</v>
      </c>
      <c r="B337" s="3" t="s">
        <v>1869</v>
      </c>
    </row>
    <row r="338" spans="1:2" ht="63.75" x14ac:dyDescent="0.25">
      <c r="A338" s="3" t="s">
        <v>1336</v>
      </c>
      <c r="B338" s="3" t="s">
        <v>1870</v>
      </c>
    </row>
    <row r="339" spans="1:2" ht="25.5" x14ac:dyDescent="0.25">
      <c r="A339" s="3" t="s">
        <v>144</v>
      </c>
      <c r="B339" s="3" t="s">
        <v>1871</v>
      </c>
    </row>
    <row r="340" spans="1:2" ht="102" x14ac:dyDescent="0.25">
      <c r="A340" s="3" t="s">
        <v>146</v>
      </c>
      <c r="B340" s="3" t="s">
        <v>1872</v>
      </c>
    </row>
    <row r="341" spans="1:2" ht="51" x14ac:dyDescent="0.25">
      <c r="A341" s="3" t="s">
        <v>147</v>
      </c>
      <c r="B341" s="3" t="s">
        <v>1873</v>
      </c>
    </row>
    <row r="342" spans="1:2" ht="63.75" x14ac:dyDescent="0.25">
      <c r="A342" s="3" t="s">
        <v>1339</v>
      </c>
      <c r="B342" s="3" t="s">
        <v>1874</v>
      </c>
    </row>
    <row r="343" spans="1:2" ht="51" x14ac:dyDescent="0.25">
      <c r="A343" s="3" t="s">
        <v>1341</v>
      </c>
      <c r="B343" s="3" t="s">
        <v>1875</v>
      </c>
    </row>
    <row r="344" spans="1:2" ht="63.75" x14ac:dyDescent="0.25">
      <c r="A344" s="3" t="s">
        <v>1342</v>
      </c>
      <c r="B344" s="3" t="s">
        <v>1876</v>
      </c>
    </row>
    <row r="345" spans="1:2" ht="63.75" x14ac:dyDescent="0.25">
      <c r="A345" s="3" t="s">
        <v>1344</v>
      </c>
      <c r="B345" s="3" t="s">
        <v>1877</v>
      </c>
    </row>
    <row r="346" spans="1:2" ht="38.25" x14ac:dyDescent="0.25">
      <c r="A346" s="3" t="s">
        <v>1287</v>
      </c>
      <c r="B346" s="3" t="s">
        <v>1833</v>
      </c>
    </row>
    <row r="347" spans="1:2" ht="51" x14ac:dyDescent="0.25">
      <c r="A347" s="3" t="s">
        <v>1345</v>
      </c>
      <c r="B347" s="3" t="s">
        <v>1878</v>
      </c>
    </row>
    <row r="348" spans="1:2" ht="38.25" x14ac:dyDescent="0.25">
      <c r="A348" s="3" t="s">
        <v>150</v>
      </c>
      <c r="B348" s="3" t="s">
        <v>1879</v>
      </c>
    </row>
    <row r="349" spans="1:2" ht="63.75" x14ac:dyDescent="0.25">
      <c r="A349" s="3" t="s">
        <v>1347</v>
      </c>
      <c r="B349" s="3" t="s">
        <v>1880</v>
      </c>
    </row>
    <row r="350" spans="1:2" ht="63.75" x14ac:dyDescent="0.25">
      <c r="A350" s="3" t="s">
        <v>1349</v>
      </c>
      <c r="B350" s="3" t="s">
        <v>1881</v>
      </c>
    </row>
    <row r="351" spans="1:2" ht="51" x14ac:dyDescent="0.25">
      <c r="A351" s="3" t="s">
        <v>1295</v>
      </c>
      <c r="B351" s="3" t="s">
        <v>1839</v>
      </c>
    </row>
    <row r="352" spans="1:2" ht="63.75" x14ac:dyDescent="0.25">
      <c r="A352" s="3" t="s">
        <v>1352</v>
      </c>
      <c r="B352" s="3" t="s">
        <v>1882</v>
      </c>
    </row>
    <row r="353" spans="1:2" ht="63.75" x14ac:dyDescent="0.25">
      <c r="A353" s="3" t="s">
        <v>1353</v>
      </c>
      <c r="B353" s="3" t="s">
        <v>1883</v>
      </c>
    </row>
    <row r="354" spans="1:2" ht="25.5" x14ac:dyDescent="0.25">
      <c r="A354" s="3" t="s">
        <v>154</v>
      </c>
      <c r="B354" s="3" t="s">
        <v>1884</v>
      </c>
    </row>
    <row r="355" spans="1:2" ht="76.5" x14ac:dyDescent="0.25">
      <c r="A355" s="3" t="s">
        <v>1303</v>
      </c>
      <c r="B355" s="3" t="s">
        <v>1846</v>
      </c>
    </row>
    <row r="356" spans="1:2" ht="51" x14ac:dyDescent="0.25">
      <c r="A356" s="3" t="s">
        <v>1356</v>
      </c>
      <c r="B356" s="3" t="s">
        <v>1885</v>
      </c>
    </row>
    <row r="357" spans="1:2" ht="51" x14ac:dyDescent="0.25">
      <c r="A357" s="3" t="s">
        <v>1219</v>
      </c>
      <c r="B357" s="3" t="s">
        <v>1767</v>
      </c>
    </row>
    <row r="358" spans="1:2" ht="51" x14ac:dyDescent="0.25">
      <c r="A358" s="3" t="s">
        <v>1170</v>
      </c>
      <c r="B358" s="3" t="s">
        <v>1722</v>
      </c>
    </row>
    <row r="359" spans="1:2" ht="38.25" x14ac:dyDescent="0.25">
      <c r="A359" s="3" t="s">
        <v>1171</v>
      </c>
      <c r="B359" s="3" t="s">
        <v>1723</v>
      </c>
    </row>
    <row r="360" spans="1:2" ht="51" x14ac:dyDescent="0.25">
      <c r="A360" s="3" t="s">
        <v>1358</v>
      </c>
      <c r="B360" s="3" t="s">
        <v>1886</v>
      </c>
    </row>
    <row r="361" spans="1:2" ht="89.25" x14ac:dyDescent="0.25">
      <c r="A361" s="3" t="s">
        <v>160</v>
      </c>
      <c r="B361" s="3" t="s">
        <v>1887</v>
      </c>
    </row>
    <row r="362" spans="1:2" ht="76.5" x14ac:dyDescent="0.25">
      <c r="A362" s="3" t="s">
        <v>162</v>
      </c>
      <c r="B362" s="3" t="s">
        <v>1888</v>
      </c>
    </row>
    <row r="363" spans="1:2" ht="63.75" x14ac:dyDescent="0.25">
      <c r="A363" s="3" t="s">
        <v>1360</v>
      </c>
      <c r="B363" s="3" t="s">
        <v>1889</v>
      </c>
    </row>
    <row r="364" spans="1:2" ht="89.25" x14ac:dyDescent="0.25">
      <c r="A364" s="3" t="s">
        <v>163</v>
      </c>
      <c r="B364" s="3" t="s">
        <v>1890</v>
      </c>
    </row>
    <row r="365" spans="1:2" ht="51" x14ac:dyDescent="0.25">
      <c r="A365" s="3" t="s">
        <v>165</v>
      </c>
      <c r="B365" s="3" t="s">
        <v>1891</v>
      </c>
    </row>
    <row r="366" spans="1:2" ht="63.75" x14ac:dyDescent="0.25">
      <c r="A366" s="3" t="s">
        <v>1362</v>
      </c>
      <c r="B366" s="3" t="s">
        <v>1892</v>
      </c>
    </row>
    <row r="367" spans="1:2" ht="51" x14ac:dyDescent="0.25">
      <c r="A367" s="3" t="s">
        <v>1363</v>
      </c>
      <c r="B367" s="3" t="s">
        <v>1893</v>
      </c>
    </row>
    <row r="368" spans="1:2" ht="63.75" x14ac:dyDescent="0.25">
      <c r="A368" s="3" t="s">
        <v>1364</v>
      </c>
      <c r="B368" s="3" t="s">
        <v>1894</v>
      </c>
    </row>
    <row r="369" spans="1:2" ht="63.75" x14ac:dyDescent="0.25">
      <c r="A369" s="3" t="s">
        <v>1365</v>
      </c>
      <c r="B369" s="3" t="s">
        <v>1895</v>
      </c>
    </row>
    <row r="370" spans="1:2" ht="38.25" x14ac:dyDescent="0.25">
      <c r="A370" s="3" t="s">
        <v>1287</v>
      </c>
      <c r="B370" s="3" t="s">
        <v>1833</v>
      </c>
    </row>
    <row r="371" spans="1:2" ht="51" x14ac:dyDescent="0.25">
      <c r="A371" s="3" t="s">
        <v>1345</v>
      </c>
      <c r="B371" s="3" t="s">
        <v>1878</v>
      </c>
    </row>
    <row r="372" spans="1:2" ht="63.75" x14ac:dyDescent="0.25">
      <c r="A372" s="3" t="s">
        <v>166</v>
      </c>
      <c r="B372" s="3" t="s">
        <v>1896</v>
      </c>
    </row>
    <row r="373" spans="1:2" ht="51" x14ac:dyDescent="0.25">
      <c r="A373" s="3" t="s">
        <v>1367</v>
      </c>
      <c r="B373" s="3" t="s">
        <v>1897</v>
      </c>
    </row>
    <row r="374" spans="1:2" ht="51" x14ac:dyDescent="0.25">
      <c r="A374" s="3" t="s">
        <v>1363</v>
      </c>
      <c r="B374" s="3" t="s">
        <v>1893</v>
      </c>
    </row>
    <row r="375" spans="1:2" ht="38.25" x14ac:dyDescent="0.25">
      <c r="A375" s="3" t="s">
        <v>1287</v>
      </c>
      <c r="B375" s="3" t="s">
        <v>1833</v>
      </c>
    </row>
    <row r="376" spans="1:2" ht="76.5" x14ac:dyDescent="0.25">
      <c r="A376" s="3" t="s">
        <v>1370</v>
      </c>
      <c r="B376" s="3" t="s">
        <v>1898</v>
      </c>
    </row>
    <row r="377" spans="1:2" ht="76.5" x14ac:dyDescent="0.25">
      <c r="A377" s="3" t="s">
        <v>1371</v>
      </c>
      <c r="B377" s="3" t="s">
        <v>1899</v>
      </c>
    </row>
    <row r="378" spans="1:2" ht="51" x14ac:dyDescent="0.25">
      <c r="A378" s="3" t="s">
        <v>1345</v>
      </c>
      <c r="B378" s="3" t="s">
        <v>1878</v>
      </c>
    </row>
    <row r="379" spans="1:2" ht="76.5" x14ac:dyDescent="0.25">
      <c r="A379" s="3" t="s">
        <v>1303</v>
      </c>
      <c r="B379" s="3" t="s">
        <v>1846</v>
      </c>
    </row>
    <row r="380" spans="1:2" ht="51" x14ac:dyDescent="0.25">
      <c r="A380" s="3" t="s">
        <v>1373</v>
      </c>
      <c r="B380" s="3" t="s">
        <v>1900</v>
      </c>
    </row>
    <row r="381" spans="1:2" ht="76.5" x14ac:dyDescent="0.25">
      <c r="A381" s="3" t="s">
        <v>1304</v>
      </c>
      <c r="B381" s="3" t="s">
        <v>1847</v>
      </c>
    </row>
    <row r="382" spans="1:2" ht="51" x14ac:dyDescent="0.25">
      <c r="A382" s="3" t="s">
        <v>1186</v>
      </c>
      <c r="B382" s="3" t="s">
        <v>1735</v>
      </c>
    </row>
    <row r="383" spans="1:2" ht="51" x14ac:dyDescent="0.25">
      <c r="A383" s="3" t="s">
        <v>1187</v>
      </c>
      <c r="B383" s="3" t="s">
        <v>1736</v>
      </c>
    </row>
    <row r="384" spans="1:2" ht="38.25" x14ac:dyDescent="0.25">
      <c r="A384" s="3" t="s">
        <v>1190</v>
      </c>
      <c r="B384" s="3" t="s">
        <v>1739</v>
      </c>
    </row>
    <row r="385" spans="1:2" ht="63.75" x14ac:dyDescent="0.25">
      <c r="A385" s="3" t="s">
        <v>1305</v>
      </c>
      <c r="B385" s="3" t="s">
        <v>1848</v>
      </c>
    </row>
    <row r="386" spans="1:2" ht="63.75" x14ac:dyDescent="0.25">
      <c r="A386" s="3" t="s">
        <v>1193</v>
      </c>
      <c r="B386" s="3" t="s">
        <v>1742</v>
      </c>
    </row>
    <row r="387" spans="1:2" ht="51" x14ac:dyDescent="0.25">
      <c r="A387" s="3" t="s">
        <v>1310</v>
      </c>
      <c r="B387" s="3" t="s">
        <v>1852</v>
      </c>
    </row>
    <row r="388" spans="1:2" ht="114.75" x14ac:dyDescent="0.25">
      <c r="A388" s="3" t="s">
        <v>177</v>
      </c>
      <c r="B388" s="3" t="s">
        <v>1901</v>
      </c>
    </row>
    <row r="389" spans="1:2" ht="25.5" x14ac:dyDescent="0.25">
      <c r="A389" s="3" t="s">
        <v>1312</v>
      </c>
      <c r="B389" s="3" t="s">
        <v>1854</v>
      </c>
    </row>
    <row r="390" spans="1:2" ht="76.5" x14ac:dyDescent="0.25">
      <c r="A390" s="3" t="s">
        <v>1303</v>
      </c>
      <c r="B390" s="3" t="s">
        <v>1846</v>
      </c>
    </row>
    <row r="391" spans="1:2" ht="76.5" x14ac:dyDescent="0.25">
      <c r="A391" s="3" t="s">
        <v>1304</v>
      </c>
      <c r="B391" s="3" t="s">
        <v>1847</v>
      </c>
    </row>
    <row r="392" spans="1:2" ht="63.75" x14ac:dyDescent="0.25">
      <c r="A392" s="3" t="s">
        <v>1305</v>
      </c>
      <c r="B392" s="3" t="s">
        <v>1848</v>
      </c>
    </row>
    <row r="393" spans="1:2" ht="38.25" x14ac:dyDescent="0.25">
      <c r="A393" s="3" t="s">
        <v>1376</v>
      </c>
      <c r="B393" s="3" t="s">
        <v>1902</v>
      </c>
    </row>
    <row r="394" spans="1:2" ht="38.25" x14ac:dyDescent="0.25">
      <c r="A394" s="3" t="s">
        <v>1205</v>
      </c>
      <c r="B394" s="3" t="s">
        <v>1753</v>
      </c>
    </row>
    <row r="395" spans="1:2" ht="51" x14ac:dyDescent="0.25">
      <c r="A395" s="3" t="s">
        <v>1377</v>
      </c>
      <c r="B395" s="3" t="s">
        <v>1903</v>
      </c>
    </row>
    <row r="396" spans="1:2" ht="51" x14ac:dyDescent="0.25">
      <c r="A396" s="3" t="s">
        <v>1157</v>
      </c>
      <c r="B396" s="3" t="s">
        <v>1711</v>
      </c>
    </row>
    <row r="397" spans="1:2" ht="38.25" x14ac:dyDescent="0.25">
      <c r="A397" s="3" t="s">
        <v>1378</v>
      </c>
      <c r="B397" s="3" t="s">
        <v>1904</v>
      </c>
    </row>
    <row r="398" spans="1:2" ht="38.25" x14ac:dyDescent="0.25">
      <c r="A398" s="3" t="s">
        <v>1379</v>
      </c>
      <c r="B398" s="3" t="s">
        <v>1905</v>
      </c>
    </row>
    <row r="399" spans="1:2" ht="25.5" x14ac:dyDescent="0.25">
      <c r="A399" s="3" t="s">
        <v>1380</v>
      </c>
      <c r="B399" s="3" t="s">
        <v>1906</v>
      </c>
    </row>
    <row r="400" spans="1:2" ht="51" x14ac:dyDescent="0.25">
      <c r="A400" s="3" t="s">
        <v>1180</v>
      </c>
      <c r="B400" s="3" t="s">
        <v>1731</v>
      </c>
    </row>
    <row r="401" spans="1:2" ht="25.5" x14ac:dyDescent="0.25">
      <c r="A401" s="3" t="s">
        <v>1381</v>
      </c>
      <c r="B401" s="3" t="s">
        <v>1907</v>
      </c>
    </row>
    <row r="402" spans="1:2" ht="51" x14ac:dyDescent="0.25">
      <c r="A402" s="3" t="s">
        <v>1382</v>
      </c>
      <c r="B402" s="3" t="s">
        <v>1908</v>
      </c>
    </row>
    <row r="403" spans="1:2" ht="51" x14ac:dyDescent="0.25">
      <c r="A403" s="3" t="s">
        <v>1154</v>
      </c>
      <c r="B403" s="3" t="s">
        <v>1708</v>
      </c>
    </row>
    <row r="404" spans="1:2" ht="63.75" x14ac:dyDescent="0.25">
      <c r="A404" s="3" t="s">
        <v>1383</v>
      </c>
      <c r="B404" s="3" t="s">
        <v>1909</v>
      </c>
    </row>
    <row r="405" spans="1:2" ht="38.25" x14ac:dyDescent="0.25">
      <c r="A405" s="3" t="s">
        <v>1385</v>
      </c>
      <c r="B405" s="3" t="s">
        <v>1910</v>
      </c>
    </row>
    <row r="406" spans="1:2" ht="38.25" x14ac:dyDescent="0.25">
      <c r="A406" s="3" t="s">
        <v>1386</v>
      </c>
      <c r="B406" s="3" t="s">
        <v>1911</v>
      </c>
    </row>
    <row r="407" spans="1:2" ht="51" x14ac:dyDescent="0.25">
      <c r="A407" s="3" t="s">
        <v>1310</v>
      </c>
      <c r="B407" s="3" t="s">
        <v>1852</v>
      </c>
    </row>
    <row r="408" spans="1:2" ht="63.75" x14ac:dyDescent="0.25">
      <c r="A408" s="3" t="s">
        <v>1387</v>
      </c>
      <c r="B408" s="3" t="s">
        <v>1912</v>
      </c>
    </row>
    <row r="409" spans="1:2" ht="25.5" x14ac:dyDescent="0.25">
      <c r="A409" s="3" t="s">
        <v>1312</v>
      </c>
      <c r="B409" s="3" t="s">
        <v>1854</v>
      </c>
    </row>
    <row r="410" spans="1:2" ht="38.25" x14ac:dyDescent="0.25">
      <c r="A410" s="3" t="s">
        <v>186</v>
      </c>
      <c r="B410" s="3" t="s">
        <v>1913</v>
      </c>
    </row>
    <row r="411" spans="1:2" ht="51" x14ac:dyDescent="0.25">
      <c r="A411" s="3" t="s">
        <v>1367</v>
      </c>
      <c r="B411" s="3" t="s">
        <v>1897</v>
      </c>
    </row>
    <row r="412" spans="1:2" ht="114.75" x14ac:dyDescent="0.25">
      <c r="A412" s="3" t="s">
        <v>98</v>
      </c>
      <c r="B412" s="3" t="s">
        <v>1832</v>
      </c>
    </row>
    <row r="413" spans="1:2" ht="76.5" x14ac:dyDescent="0.25">
      <c r="A413" s="3" t="s">
        <v>1392</v>
      </c>
      <c r="B413" s="3" t="s">
        <v>1914</v>
      </c>
    </row>
    <row r="414" spans="1:2" ht="76.5" x14ac:dyDescent="0.25">
      <c r="A414" s="3" t="s">
        <v>1394</v>
      </c>
      <c r="B414" s="3" t="s">
        <v>1915</v>
      </c>
    </row>
    <row r="415" spans="1:2" ht="38.25" x14ac:dyDescent="0.25">
      <c r="A415" s="3" t="s">
        <v>1287</v>
      </c>
      <c r="B415" s="3" t="s">
        <v>1833</v>
      </c>
    </row>
    <row r="416" spans="1:2" ht="25.5" x14ac:dyDescent="0.25">
      <c r="A416" s="3" t="s">
        <v>1288</v>
      </c>
      <c r="B416" s="3" t="s">
        <v>1834</v>
      </c>
    </row>
    <row r="417" spans="1:2" ht="63.75" x14ac:dyDescent="0.25">
      <c r="A417" s="3" t="s">
        <v>1143</v>
      </c>
      <c r="B417" s="3" t="s">
        <v>1916</v>
      </c>
    </row>
    <row r="418" spans="1:2" ht="63.75" x14ac:dyDescent="0.25">
      <c r="A418" s="3" t="s">
        <v>1396</v>
      </c>
      <c r="B418" s="3" t="s">
        <v>1917</v>
      </c>
    </row>
    <row r="419" spans="1:2" ht="76.5" x14ac:dyDescent="0.25">
      <c r="A419" s="3" t="s">
        <v>1397</v>
      </c>
      <c r="B419" s="3" t="s">
        <v>1918</v>
      </c>
    </row>
    <row r="420" spans="1:2" ht="63.75" x14ac:dyDescent="0.25">
      <c r="A420" s="3" t="s">
        <v>1399</v>
      </c>
      <c r="B420" s="3" t="s">
        <v>1919</v>
      </c>
    </row>
    <row r="421" spans="1:2" ht="51" x14ac:dyDescent="0.25">
      <c r="A421" s="3" t="s">
        <v>1400</v>
      </c>
      <c r="B421" s="3" t="s">
        <v>1920</v>
      </c>
    </row>
    <row r="422" spans="1:2" ht="38.25" x14ac:dyDescent="0.25">
      <c r="A422" s="3" t="s">
        <v>1287</v>
      </c>
      <c r="B422" s="3" t="s">
        <v>1833</v>
      </c>
    </row>
    <row r="423" spans="1:2" ht="51" x14ac:dyDescent="0.25">
      <c r="A423" s="3" t="s">
        <v>1295</v>
      </c>
      <c r="B423" s="3" t="s">
        <v>1839</v>
      </c>
    </row>
    <row r="424" spans="1:2" ht="63.75" x14ac:dyDescent="0.25">
      <c r="A424" s="3" t="s">
        <v>1143</v>
      </c>
      <c r="B424" s="3" t="s">
        <v>1916</v>
      </c>
    </row>
    <row r="425" spans="1:2" ht="38.25" x14ac:dyDescent="0.25">
      <c r="A425" s="3" t="s">
        <v>1403</v>
      </c>
      <c r="B425" s="3" t="s">
        <v>1921</v>
      </c>
    </row>
    <row r="426" spans="1:2" ht="76.5" x14ac:dyDescent="0.25">
      <c r="A426" s="3" t="s">
        <v>1405</v>
      </c>
      <c r="B426" s="3" t="s">
        <v>1918</v>
      </c>
    </row>
    <row r="427" spans="1:2" ht="63.75" x14ac:dyDescent="0.25">
      <c r="A427" s="3" t="s">
        <v>1407</v>
      </c>
      <c r="B427" s="3" t="s">
        <v>1922</v>
      </c>
    </row>
    <row r="428" spans="1:2" ht="51" x14ac:dyDescent="0.25">
      <c r="A428" s="3" t="s">
        <v>1408</v>
      </c>
      <c r="B428" s="3" t="s">
        <v>1923</v>
      </c>
    </row>
    <row r="429" spans="1:2" ht="63.75" x14ac:dyDescent="0.25">
      <c r="A429" s="3" t="s">
        <v>192</v>
      </c>
      <c r="B429" s="3" t="s">
        <v>1924</v>
      </c>
    </row>
    <row r="430" spans="1:2" ht="51" x14ac:dyDescent="0.25">
      <c r="A430" s="3" t="s">
        <v>193</v>
      </c>
      <c r="B430" s="3" t="s">
        <v>1925</v>
      </c>
    </row>
    <row r="431" spans="1:2" ht="51" x14ac:dyDescent="0.25">
      <c r="A431" s="3" t="s">
        <v>1367</v>
      </c>
      <c r="B431" s="3" t="s">
        <v>1897</v>
      </c>
    </row>
    <row r="432" spans="1:2" ht="114.75" x14ac:dyDescent="0.25">
      <c r="A432" s="3" t="s">
        <v>98</v>
      </c>
      <c r="B432" s="3" t="s">
        <v>1832</v>
      </c>
    </row>
    <row r="433" spans="1:2" ht="63.75" x14ac:dyDescent="0.25">
      <c r="A433" s="3" t="s">
        <v>194</v>
      </c>
      <c r="B433" s="3" t="s">
        <v>1926</v>
      </c>
    </row>
    <row r="434" spans="1:2" ht="76.5" x14ac:dyDescent="0.25">
      <c r="A434" s="3" t="s">
        <v>195</v>
      </c>
      <c r="B434" s="3" t="s">
        <v>1927</v>
      </c>
    </row>
    <row r="435" spans="1:2" ht="38.25" x14ac:dyDescent="0.25">
      <c r="A435" s="3" t="s">
        <v>1287</v>
      </c>
      <c r="B435" s="3" t="s">
        <v>1833</v>
      </c>
    </row>
    <row r="436" spans="1:2" ht="25.5" x14ac:dyDescent="0.25">
      <c r="A436" s="3" t="s">
        <v>1288</v>
      </c>
      <c r="B436" s="3" t="s">
        <v>1834</v>
      </c>
    </row>
    <row r="437" spans="1:2" ht="51" x14ac:dyDescent="0.25">
      <c r="A437" s="3" t="s">
        <v>193</v>
      </c>
      <c r="B437" s="3" t="s">
        <v>1925</v>
      </c>
    </row>
    <row r="438" spans="1:2" ht="76.5" x14ac:dyDescent="0.25">
      <c r="A438" s="3" t="s">
        <v>197</v>
      </c>
      <c r="B438" s="3" t="s">
        <v>1928</v>
      </c>
    </row>
    <row r="439" spans="1:2" ht="25.5" x14ac:dyDescent="0.25">
      <c r="A439" s="3" t="s">
        <v>1280</v>
      </c>
      <c r="B439" s="3" t="s">
        <v>1827</v>
      </c>
    </row>
    <row r="440" spans="1:2" ht="51" x14ac:dyDescent="0.25">
      <c r="A440" s="3" t="s">
        <v>1400</v>
      </c>
      <c r="B440" s="3" t="s">
        <v>1920</v>
      </c>
    </row>
    <row r="441" spans="1:2" ht="63.75" x14ac:dyDescent="0.25">
      <c r="A441" s="3" t="s">
        <v>1396</v>
      </c>
      <c r="B441" s="3" t="s">
        <v>1917</v>
      </c>
    </row>
    <row r="442" spans="1:2" ht="76.5" x14ac:dyDescent="0.25">
      <c r="A442" s="3" t="s">
        <v>1413</v>
      </c>
      <c r="B442" s="3" t="s">
        <v>1929</v>
      </c>
    </row>
    <row r="443" spans="1:2" ht="76.5" x14ac:dyDescent="0.25">
      <c r="A443" s="3" t="s">
        <v>1414</v>
      </c>
      <c r="B443" s="3" t="s">
        <v>1930</v>
      </c>
    </row>
    <row r="444" spans="1:2" ht="51" x14ac:dyDescent="0.25">
      <c r="A444" s="3" t="s">
        <v>1295</v>
      </c>
      <c r="B444" s="3" t="s">
        <v>1839</v>
      </c>
    </row>
    <row r="445" spans="1:2" ht="38.25" x14ac:dyDescent="0.25">
      <c r="A445" s="3" t="s">
        <v>1287</v>
      </c>
      <c r="B445" s="3" t="s">
        <v>1833</v>
      </c>
    </row>
    <row r="446" spans="1:2" ht="76.5" x14ac:dyDescent="0.25">
      <c r="A446" s="3" t="s">
        <v>1162</v>
      </c>
      <c r="B446" s="3" t="s">
        <v>1931</v>
      </c>
    </row>
    <row r="447" spans="1:2" ht="51" x14ac:dyDescent="0.25">
      <c r="A447" s="3" t="s">
        <v>1416</v>
      </c>
      <c r="B447" s="3" t="s">
        <v>1932</v>
      </c>
    </row>
    <row r="448" spans="1:2" ht="38.25" x14ac:dyDescent="0.25">
      <c r="A448" s="3" t="s">
        <v>1418</v>
      </c>
      <c r="B448" s="3" t="s">
        <v>1933</v>
      </c>
    </row>
    <row r="449" spans="1:2" ht="25.5" x14ac:dyDescent="0.25">
      <c r="A449" s="3" t="s">
        <v>1301</v>
      </c>
      <c r="B449" s="3" t="s">
        <v>1845</v>
      </c>
    </row>
    <row r="450" spans="1:2" ht="63.75" x14ac:dyDescent="0.25">
      <c r="A450" s="3" t="s">
        <v>1259</v>
      </c>
      <c r="B450" s="3" t="s">
        <v>1934</v>
      </c>
    </row>
    <row r="451" spans="1:2" ht="63.75" x14ac:dyDescent="0.25">
      <c r="A451" s="3" t="s">
        <v>1421</v>
      </c>
      <c r="B451" s="3" t="s">
        <v>1935</v>
      </c>
    </row>
    <row r="452" spans="1:2" ht="51" x14ac:dyDescent="0.25">
      <c r="A452" s="3" t="s">
        <v>1423</v>
      </c>
      <c r="B452" s="3" t="s">
        <v>1936</v>
      </c>
    </row>
    <row r="453" spans="1:2" ht="25.5" x14ac:dyDescent="0.25">
      <c r="A453" s="3" t="s">
        <v>1301</v>
      </c>
      <c r="B453" s="3" t="s">
        <v>1845</v>
      </c>
    </row>
    <row r="454" spans="1:2" ht="76.5" x14ac:dyDescent="0.25">
      <c r="A454" s="3" t="s">
        <v>1241</v>
      </c>
      <c r="B454" s="3" t="s">
        <v>1937</v>
      </c>
    </row>
    <row r="455" spans="1:2" ht="63.75" x14ac:dyDescent="0.25">
      <c r="A455" s="3" t="s">
        <v>1426</v>
      </c>
      <c r="B455" s="3" t="s">
        <v>1938</v>
      </c>
    </row>
    <row r="456" spans="1:2" ht="51" x14ac:dyDescent="0.25">
      <c r="A456" s="3" t="s">
        <v>1428</v>
      </c>
      <c r="B456" s="3" t="s">
        <v>1939</v>
      </c>
    </row>
    <row r="457" spans="1:2" ht="25.5" x14ac:dyDescent="0.25">
      <c r="A457" s="3" t="s">
        <v>1301</v>
      </c>
      <c r="B457" s="3" t="s">
        <v>1845</v>
      </c>
    </row>
    <row r="458" spans="1:2" ht="76.5" x14ac:dyDescent="0.25">
      <c r="A458" s="3" t="s">
        <v>1258</v>
      </c>
      <c r="B458" s="3" t="s">
        <v>1940</v>
      </c>
    </row>
    <row r="459" spans="1:2" ht="63.75" x14ac:dyDescent="0.25">
      <c r="A459" s="3" t="s">
        <v>1431</v>
      </c>
      <c r="B459" s="3" t="s">
        <v>1941</v>
      </c>
    </row>
    <row r="460" spans="1:2" ht="76.5" x14ac:dyDescent="0.25">
      <c r="A460" s="3" t="s">
        <v>1432</v>
      </c>
      <c r="B460" s="3" t="s">
        <v>1942</v>
      </c>
    </row>
    <row r="461" spans="1:2" ht="63.75" x14ac:dyDescent="0.25">
      <c r="A461" s="3" t="s">
        <v>1434</v>
      </c>
      <c r="B461" s="3" t="s">
        <v>1943</v>
      </c>
    </row>
    <row r="462" spans="1:2" ht="51" x14ac:dyDescent="0.25">
      <c r="A462" s="3" t="s">
        <v>206</v>
      </c>
      <c r="B462" s="3" t="s">
        <v>1944</v>
      </c>
    </row>
    <row r="463" spans="1:2" ht="38.25" x14ac:dyDescent="0.25">
      <c r="A463" s="3" t="s">
        <v>1436</v>
      </c>
      <c r="B463" s="3" t="s">
        <v>1945</v>
      </c>
    </row>
    <row r="464" spans="1:2" ht="51" x14ac:dyDescent="0.25">
      <c r="A464" s="3" t="s">
        <v>1438</v>
      </c>
      <c r="B464" s="3" t="s">
        <v>1946</v>
      </c>
    </row>
    <row r="465" spans="1:2" ht="51" x14ac:dyDescent="0.25">
      <c r="A465" s="3" t="s">
        <v>206</v>
      </c>
      <c r="B465" s="3" t="s">
        <v>1944</v>
      </c>
    </row>
    <row r="466" spans="1:2" ht="63.75" x14ac:dyDescent="0.25">
      <c r="A466" s="3" t="s">
        <v>1439</v>
      </c>
      <c r="B466" s="3" t="s">
        <v>1947</v>
      </c>
    </row>
    <row r="467" spans="1:2" ht="51" x14ac:dyDescent="0.25">
      <c r="A467" s="3" t="s">
        <v>1440</v>
      </c>
      <c r="B467" s="3" t="s">
        <v>1948</v>
      </c>
    </row>
    <row r="468" spans="1:2" ht="38.25" x14ac:dyDescent="0.25">
      <c r="A468" s="3" t="s">
        <v>1436</v>
      </c>
      <c r="B468" s="3" t="s">
        <v>1945</v>
      </c>
    </row>
    <row r="469" spans="1:2" ht="76.5" x14ac:dyDescent="0.25">
      <c r="A469" s="3" t="s">
        <v>107</v>
      </c>
      <c r="B469" s="3" t="s">
        <v>1842</v>
      </c>
    </row>
    <row r="470" spans="1:2" ht="63.75" x14ac:dyDescent="0.25">
      <c r="A470" s="3" t="s">
        <v>1442</v>
      </c>
      <c r="B470" s="3" t="s">
        <v>1949</v>
      </c>
    </row>
    <row r="471" spans="1:2" ht="25.5" x14ac:dyDescent="0.25">
      <c r="A471" s="3" t="s">
        <v>1443</v>
      </c>
      <c r="B471" s="3" t="s">
        <v>1950</v>
      </c>
    </row>
    <row r="472" spans="1:2" ht="63.75" x14ac:dyDescent="0.25">
      <c r="A472" s="3" t="s">
        <v>1445</v>
      </c>
      <c r="B472" s="3" t="s">
        <v>1951</v>
      </c>
    </row>
    <row r="473" spans="1:2" ht="25.5" x14ac:dyDescent="0.25">
      <c r="A473" s="3" t="s">
        <v>1443</v>
      </c>
      <c r="B473" s="3" t="s">
        <v>1950</v>
      </c>
    </row>
    <row r="474" spans="1:2" ht="63.75" x14ac:dyDescent="0.25">
      <c r="A474" s="3" t="s">
        <v>103</v>
      </c>
      <c r="B474" s="3" t="s">
        <v>1840</v>
      </c>
    </row>
    <row r="475" spans="1:2" ht="76.5" x14ac:dyDescent="0.25">
      <c r="A475" s="3" t="s">
        <v>1303</v>
      </c>
      <c r="B475" s="3" t="s">
        <v>1846</v>
      </c>
    </row>
    <row r="476" spans="1:2" ht="76.5" x14ac:dyDescent="0.25">
      <c r="A476" s="3" t="s">
        <v>1304</v>
      </c>
      <c r="B476" s="3" t="s">
        <v>1847</v>
      </c>
    </row>
    <row r="477" spans="1:2" ht="63.75" x14ac:dyDescent="0.25">
      <c r="A477" s="3" t="s">
        <v>1305</v>
      </c>
      <c r="B477" s="3" t="s">
        <v>1848</v>
      </c>
    </row>
    <row r="478" spans="1:2" ht="63.75" x14ac:dyDescent="0.25">
      <c r="A478" s="3" t="s">
        <v>1220</v>
      </c>
      <c r="B478" s="3" t="s">
        <v>1768</v>
      </c>
    </row>
    <row r="479" spans="1:2" ht="38.25" x14ac:dyDescent="0.25">
      <c r="A479" s="3" t="s">
        <v>1307</v>
      </c>
      <c r="B479" s="3" t="s">
        <v>1849</v>
      </c>
    </row>
    <row r="480" spans="1:2" ht="51" x14ac:dyDescent="0.25">
      <c r="A480" s="3" t="s">
        <v>1219</v>
      </c>
      <c r="B480" s="3" t="s">
        <v>1767</v>
      </c>
    </row>
    <row r="481" spans="1:2" ht="25.5" x14ac:dyDescent="0.25">
      <c r="A481" s="3" t="s">
        <v>1308</v>
      </c>
      <c r="B481" s="3" t="s">
        <v>1850</v>
      </c>
    </row>
    <row r="482" spans="1:2" ht="38.25" x14ac:dyDescent="0.25">
      <c r="A482" s="3" t="s">
        <v>1309</v>
      </c>
      <c r="B482" s="3" t="s">
        <v>1851</v>
      </c>
    </row>
    <row r="483" spans="1:2" ht="51" x14ac:dyDescent="0.25">
      <c r="A483" s="3" t="s">
        <v>1187</v>
      </c>
      <c r="B483" s="3" t="s">
        <v>1736</v>
      </c>
    </row>
    <row r="484" spans="1:2" ht="102" x14ac:dyDescent="0.25">
      <c r="A484" s="3" t="s">
        <v>221</v>
      </c>
      <c r="B484" s="3" t="s">
        <v>1952</v>
      </c>
    </row>
    <row r="485" spans="1:2" ht="25.5" x14ac:dyDescent="0.25">
      <c r="A485" s="3" t="s">
        <v>1301</v>
      </c>
      <c r="B485" s="3" t="s">
        <v>1845</v>
      </c>
    </row>
    <row r="486" spans="1:2" ht="51" x14ac:dyDescent="0.25">
      <c r="A486" s="3" t="s">
        <v>147</v>
      </c>
      <c r="B486" s="3" t="s">
        <v>1873</v>
      </c>
    </row>
    <row r="487" spans="1:2" ht="63.75" x14ac:dyDescent="0.25">
      <c r="A487" s="3" t="s">
        <v>1450</v>
      </c>
      <c r="B487" s="3" t="s">
        <v>1953</v>
      </c>
    </row>
    <row r="488" spans="1:2" ht="25.5" x14ac:dyDescent="0.25">
      <c r="A488" s="3" t="s">
        <v>1443</v>
      </c>
      <c r="B488" s="3" t="s">
        <v>1950</v>
      </c>
    </row>
    <row r="489" spans="1:2" ht="63.75" x14ac:dyDescent="0.25">
      <c r="A489" s="3" t="s">
        <v>1452</v>
      </c>
      <c r="B489" s="3" t="s">
        <v>1954</v>
      </c>
    </row>
    <row r="490" spans="1:2" ht="25.5" x14ac:dyDescent="0.25">
      <c r="A490" s="3" t="s">
        <v>1443</v>
      </c>
      <c r="B490" s="3" t="s">
        <v>1950</v>
      </c>
    </row>
    <row r="491" spans="1:2" ht="38.25" x14ac:dyDescent="0.25">
      <c r="A491" s="3" t="s">
        <v>150</v>
      </c>
      <c r="B491" s="3" t="s">
        <v>1879</v>
      </c>
    </row>
    <row r="492" spans="1:2" ht="76.5" x14ac:dyDescent="0.25">
      <c r="A492" s="3" t="s">
        <v>1303</v>
      </c>
      <c r="B492" s="3" t="s">
        <v>1846</v>
      </c>
    </row>
    <row r="493" spans="1:2" ht="51" x14ac:dyDescent="0.25">
      <c r="A493" s="3" t="s">
        <v>1356</v>
      </c>
      <c r="B493" s="3" t="s">
        <v>1885</v>
      </c>
    </row>
    <row r="494" spans="1:2" ht="51" x14ac:dyDescent="0.25">
      <c r="A494" s="3" t="s">
        <v>1219</v>
      </c>
      <c r="B494" s="3" t="s">
        <v>1767</v>
      </c>
    </row>
    <row r="495" spans="1:2" ht="51" x14ac:dyDescent="0.25">
      <c r="A495" s="3" t="s">
        <v>1170</v>
      </c>
      <c r="B495" s="3" t="s">
        <v>1722</v>
      </c>
    </row>
    <row r="496" spans="1:2" ht="38.25" x14ac:dyDescent="0.25">
      <c r="A496" s="3" t="s">
        <v>1171</v>
      </c>
      <c r="B496" s="3" t="s">
        <v>1723</v>
      </c>
    </row>
    <row r="497" spans="1:2" ht="51" x14ac:dyDescent="0.25">
      <c r="A497" s="3" t="s">
        <v>1358</v>
      </c>
      <c r="B497" s="3" t="s">
        <v>1886</v>
      </c>
    </row>
    <row r="498" spans="1:2" ht="114.75" x14ac:dyDescent="0.25">
      <c r="A498" s="3" t="s">
        <v>234</v>
      </c>
      <c r="B498" s="3" t="s">
        <v>1955</v>
      </c>
    </row>
    <row r="499" spans="1:2" ht="76.5" x14ac:dyDescent="0.25">
      <c r="A499" s="3" t="s">
        <v>236</v>
      </c>
      <c r="B499" s="3" t="s">
        <v>1956</v>
      </c>
    </row>
    <row r="500" spans="1:2" ht="51" x14ac:dyDescent="0.25">
      <c r="A500" s="3" t="s">
        <v>95</v>
      </c>
      <c r="B500" s="3" t="s">
        <v>1828</v>
      </c>
    </row>
    <row r="501" spans="1:2" ht="63.75" x14ac:dyDescent="0.25">
      <c r="A501" s="3" t="s">
        <v>1456</v>
      </c>
      <c r="B501" s="3" t="s">
        <v>1957</v>
      </c>
    </row>
    <row r="502" spans="1:2" ht="25.5" x14ac:dyDescent="0.25">
      <c r="A502" s="3" t="s">
        <v>1443</v>
      </c>
      <c r="B502" s="3" t="s">
        <v>1950</v>
      </c>
    </row>
    <row r="503" spans="1:2" ht="63.75" x14ac:dyDescent="0.25">
      <c r="A503" s="3" t="s">
        <v>1260</v>
      </c>
      <c r="B503" s="3" t="s">
        <v>1869</v>
      </c>
    </row>
    <row r="504" spans="1:2" ht="63.75" x14ac:dyDescent="0.25">
      <c r="A504" s="3" t="s">
        <v>1458</v>
      </c>
      <c r="B504" s="3" t="s">
        <v>1958</v>
      </c>
    </row>
    <row r="505" spans="1:2" ht="25.5" x14ac:dyDescent="0.25">
      <c r="A505" s="3" t="s">
        <v>1443</v>
      </c>
      <c r="B505" s="3" t="s">
        <v>1950</v>
      </c>
    </row>
    <row r="506" spans="1:2" ht="51" x14ac:dyDescent="0.25">
      <c r="A506" s="3" t="s">
        <v>1460</v>
      </c>
      <c r="B506" s="3" t="s">
        <v>1959</v>
      </c>
    </row>
    <row r="507" spans="1:2" ht="25.5" x14ac:dyDescent="0.25">
      <c r="A507" s="3" t="s">
        <v>1301</v>
      </c>
      <c r="B507" s="3" t="s">
        <v>1845</v>
      </c>
    </row>
    <row r="508" spans="1:2" ht="76.5" x14ac:dyDescent="0.25">
      <c r="A508" s="3" t="s">
        <v>1303</v>
      </c>
      <c r="B508" s="3" t="s">
        <v>1846</v>
      </c>
    </row>
    <row r="509" spans="1:2" ht="76.5" x14ac:dyDescent="0.25">
      <c r="A509" s="3" t="s">
        <v>1304</v>
      </c>
      <c r="B509" s="3" t="s">
        <v>1847</v>
      </c>
    </row>
    <row r="510" spans="1:2" ht="63.75" x14ac:dyDescent="0.25">
      <c r="A510" s="3" t="s">
        <v>1305</v>
      </c>
      <c r="B510" s="3" t="s">
        <v>1848</v>
      </c>
    </row>
    <row r="511" spans="1:2" ht="63.75" x14ac:dyDescent="0.25">
      <c r="A511" s="3" t="s">
        <v>1220</v>
      </c>
      <c r="B511" s="3" t="s">
        <v>1768</v>
      </c>
    </row>
    <row r="512" spans="1:2" ht="38.25" x14ac:dyDescent="0.25">
      <c r="A512" s="3" t="s">
        <v>1307</v>
      </c>
      <c r="B512" s="3" t="s">
        <v>1849</v>
      </c>
    </row>
    <row r="513" spans="1:2" ht="51" x14ac:dyDescent="0.25">
      <c r="A513" s="3" t="s">
        <v>1219</v>
      </c>
      <c r="B513" s="3" t="s">
        <v>1767</v>
      </c>
    </row>
    <row r="514" spans="1:2" ht="38.25" x14ac:dyDescent="0.25">
      <c r="A514" s="3" t="s">
        <v>1334</v>
      </c>
      <c r="B514" s="3" t="s">
        <v>1868</v>
      </c>
    </row>
    <row r="515" spans="1:2" ht="63.75" x14ac:dyDescent="0.25">
      <c r="A515" s="3" t="s">
        <v>1168</v>
      </c>
      <c r="B515" s="3" t="s">
        <v>1720</v>
      </c>
    </row>
    <row r="516" spans="1:2" ht="51" x14ac:dyDescent="0.25">
      <c r="A516" s="3" t="s">
        <v>1187</v>
      </c>
      <c r="B516" s="3" t="s">
        <v>1736</v>
      </c>
    </row>
    <row r="517" spans="1:2" ht="63.75" x14ac:dyDescent="0.25">
      <c r="A517" s="3" t="s">
        <v>1260</v>
      </c>
      <c r="B517" s="3" t="s">
        <v>1869</v>
      </c>
    </row>
    <row r="518" spans="1:2" ht="102" x14ac:dyDescent="0.25">
      <c r="A518" s="3" t="s">
        <v>252</v>
      </c>
      <c r="B518" s="3" t="s">
        <v>1960</v>
      </c>
    </row>
    <row r="519" spans="1:2" ht="25.5" x14ac:dyDescent="0.25">
      <c r="A519" s="3" t="s">
        <v>1443</v>
      </c>
      <c r="B519" s="3" t="s">
        <v>1950</v>
      </c>
    </row>
    <row r="520" spans="1:2" ht="51" x14ac:dyDescent="0.25">
      <c r="A520" s="3" t="s">
        <v>165</v>
      </c>
      <c r="B520" s="3" t="s">
        <v>1891</v>
      </c>
    </row>
    <row r="521" spans="1:2" ht="63.75" x14ac:dyDescent="0.25">
      <c r="A521" s="3" t="s">
        <v>1465</v>
      </c>
      <c r="B521" s="3" t="s">
        <v>1961</v>
      </c>
    </row>
    <row r="522" spans="1:2" ht="25.5" x14ac:dyDescent="0.25">
      <c r="A522" s="3" t="s">
        <v>1443</v>
      </c>
      <c r="B522" s="3" t="s">
        <v>1950</v>
      </c>
    </row>
    <row r="523" spans="1:2" ht="63.75" x14ac:dyDescent="0.25">
      <c r="A523" s="3" t="s">
        <v>166</v>
      </c>
      <c r="B523" s="3" t="s">
        <v>1896</v>
      </c>
    </row>
    <row r="524" spans="1:2" ht="76.5" x14ac:dyDescent="0.25">
      <c r="A524" s="3" t="s">
        <v>1467</v>
      </c>
      <c r="B524" s="3" t="s">
        <v>1962</v>
      </c>
    </row>
    <row r="525" spans="1:2" ht="25.5" x14ac:dyDescent="0.25">
      <c r="A525" s="3" t="s">
        <v>1443</v>
      </c>
      <c r="B525" s="3" t="s">
        <v>1950</v>
      </c>
    </row>
    <row r="526" spans="1:2" ht="89.25" x14ac:dyDescent="0.25">
      <c r="A526" s="3" t="s">
        <v>258</v>
      </c>
      <c r="B526" s="3" t="s">
        <v>1963</v>
      </c>
    </row>
    <row r="527" spans="1:2" ht="63.75" x14ac:dyDescent="0.25">
      <c r="A527" s="3" t="s">
        <v>1469</v>
      </c>
      <c r="B527" s="3" t="s">
        <v>1964</v>
      </c>
    </row>
    <row r="528" spans="1:2" ht="25.5" x14ac:dyDescent="0.25">
      <c r="A528" s="3" t="s">
        <v>1443</v>
      </c>
      <c r="B528" s="3" t="s">
        <v>1950</v>
      </c>
    </row>
    <row r="529" spans="1:2" ht="89.25" x14ac:dyDescent="0.25">
      <c r="A529" s="3" t="s">
        <v>262</v>
      </c>
      <c r="B529" s="3" t="s">
        <v>1965</v>
      </c>
    </row>
    <row r="530" spans="1:2" ht="63.75" x14ac:dyDescent="0.25">
      <c r="A530" s="3" t="s">
        <v>1471</v>
      </c>
      <c r="B530" s="3" t="s">
        <v>1966</v>
      </c>
    </row>
    <row r="531" spans="1:2" ht="25.5" x14ac:dyDescent="0.25">
      <c r="A531" s="3" t="s">
        <v>1443</v>
      </c>
      <c r="B531" s="3" t="s">
        <v>1950</v>
      </c>
    </row>
    <row r="532" spans="1:2" ht="76.5" x14ac:dyDescent="0.25">
      <c r="A532" s="3" t="s">
        <v>1303</v>
      </c>
      <c r="B532" s="3" t="s">
        <v>1846</v>
      </c>
    </row>
    <row r="533" spans="1:2" ht="51" x14ac:dyDescent="0.25">
      <c r="A533" s="3" t="s">
        <v>1373</v>
      </c>
      <c r="B533" s="3" t="s">
        <v>1900</v>
      </c>
    </row>
    <row r="534" spans="1:2" ht="76.5" x14ac:dyDescent="0.25">
      <c r="A534" s="3" t="s">
        <v>1304</v>
      </c>
      <c r="B534" s="3" t="s">
        <v>1847</v>
      </c>
    </row>
    <row r="535" spans="1:2" ht="51" x14ac:dyDescent="0.25">
      <c r="A535" s="3" t="s">
        <v>1186</v>
      </c>
      <c r="B535" s="3" t="s">
        <v>1735</v>
      </c>
    </row>
    <row r="536" spans="1:2" ht="51" x14ac:dyDescent="0.25">
      <c r="A536" s="3" t="s">
        <v>1187</v>
      </c>
      <c r="B536" s="3" t="s">
        <v>1736</v>
      </c>
    </row>
    <row r="537" spans="1:2" ht="38.25" x14ac:dyDescent="0.25">
      <c r="A537" s="3" t="s">
        <v>1190</v>
      </c>
      <c r="B537" s="3" t="s">
        <v>1739</v>
      </c>
    </row>
    <row r="538" spans="1:2" ht="63.75" x14ac:dyDescent="0.25">
      <c r="A538" s="3" t="s">
        <v>1305</v>
      </c>
      <c r="B538" s="3" t="s">
        <v>1848</v>
      </c>
    </row>
    <row r="539" spans="1:2" ht="63.75" x14ac:dyDescent="0.25">
      <c r="A539" s="3" t="s">
        <v>1193</v>
      </c>
      <c r="B539" s="3" t="s">
        <v>1742</v>
      </c>
    </row>
    <row r="540" spans="1:2" ht="114.75" x14ac:dyDescent="0.25">
      <c r="A540" s="3" t="s">
        <v>269</v>
      </c>
      <c r="B540" s="3" t="s">
        <v>1967</v>
      </c>
    </row>
    <row r="541" spans="1:2" ht="25.5" x14ac:dyDescent="0.25">
      <c r="A541" s="3" t="s">
        <v>1301</v>
      </c>
      <c r="B541" s="3" t="s">
        <v>1845</v>
      </c>
    </row>
    <row r="542" spans="1:2" ht="51" x14ac:dyDescent="0.25">
      <c r="A542" s="3" t="s">
        <v>272</v>
      </c>
      <c r="B542" s="3" t="s">
        <v>1968</v>
      </c>
    </row>
    <row r="543" spans="1:2" ht="76.5" x14ac:dyDescent="0.25">
      <c r="A543" s="3" t="s">
        <v>1475</v>
      </c>
      <c r="B543" s="3" t="s">
        <v>1969</v>
      </c>
    </row>
    <row r="544" spans="1:2" ht="25.5" x14ac:dyDescent="0.25">
      <c r="A544" s="3" t="s">
        <v>1443</v>
      </c>
      <c r="B544" s="3" t="s">
        <v>1950</v>
      </c>
    </row>
    <row r="545" spans="1:2" ht="38.25" x14ac:dyDescent="0.25">
      <c r="A545" s="3" t="s">
        <v>186</v>
      </c>
      <c r="B545" s="3" t="s">
        <v>1913</v>
      </c>
    </row>
    <row r="546" spans="1:2" ht="63.75" x14ac:dyDescent="0.25">
      <c r="A546" s="3" t="s">
        <v>1477</v>
      </c>
      <c r="B546" s="3" t="s">
        <v>1970</v>
      </c>
    </row>
    <row r="547" spans="1:2" ht="25.5" x14ac:dyDescent="0.25">
      <c r="A547" s="3" t="s">
        <v>1443</v>
      </c>
      <c r="B547" s="3" t="s">
        <v>1950</v>
      </c>
    </row>
    <row r="548" spans="1:2" ht="76.5" x14ac:dyDescent="0.25">
      <c r="A548" s="3" t="s">
        <v>1303</v>
      </c>
      <c r="B548" s="3" t="s">
        <v>1846</v>
      </c>
    </row>
    <row r="549" spans="1:2" ht="76.5" x14ac:dyDescent="0.25">
      <c r="A549" s="3" t="s">
        <v>1304</v>
      </c>
      <c r="B549" s="3" t="s">
        <v>1847</v>
      </c>
    </row>
    <row r="550" spans="1:2" ht="63.75" x14ac:dyDescent="0.25">
      <c r="A550" s="3" t="s">
        <v>1305</v>
      </c>
      <c r="B550" s="3" t="s">
        <v>1848</v>
      </c>
    </row>
    <row r="551" spans="1:2" ht="38.25" x14ac:dyDescent="0.25">
      <c r="A551" s="3" t="s">
        <v>1376</v>
      </c>
      <c r="B551" s="3" t="s">
        <v>1902</v>
      </c>
    </row>
    <row r="552" spans="1:2" ht="38.25" x14ac:dyDescent="0.25">
      <c r="A552" s="3" t="s">
        <v>1205</v>
      </c>
      <c r="B552" s="3" t="s">
        <v>1753</v>
      </c>
    </row>
    <row r="553" spans="1:2" ht="51" x14ac:dyDescent="0.25">
      <c r="A553" s="3" t="s">
        <v>1377</v>
      </c>
      <c r="B553" s="3" t="s">
        <v>1903</v>
      </c>
    </row>
    <row r="554" spans="1:2" ht="51" x14ac:dyDescent="0.25">
      <c r="A554" s="3" t="s">
        <v>1157</v>
      </c>
      <c r="B554" s="3" t="s">
        <v>1711</v>
      </c>
    </row>
    <row r="555" spans="1:2" ht="38.25" x14ac:dyDescent="0.25">
      <c r="A555" s="3" t="s">
        <v>1378</v>
      </c>
      <c r="B555" s="3" t="s">
        <v>1904</v>
      </c>
    </row>
    <row r="556" spans="1:2" ht="38.25" x14ac:dyDescent="0.25">
      <c r="A556" s="3" t="s">
        <v>1379</v>
      </c>
      <c r="B556" s="3" t="s">
        <v>1905</v>
      </c>
    </row>
    <row r="557" spans="1:2" ht="25.5" x14ac:dyDescent="0.25">
      <c r="A557" s="3" t="s">
        <v>1380</v>
      </c>
      <c r="B557" s="3" t="s">
        <v>1906</v>
      </c>
    </row>
    <row r="558" spans="1:2" ht="51" x14ac:dyDescent="0.25">
      <c r="A558" s="3" t="s">
        <v>1180</v>
      </c>
      <c r="B558" s="3" t="s">
        <v>1731</v>
      </c>
    </row>
    <row r="559" spans="1:2" ht="25.5" x14ac:dyDescent="0.25">
      <c r="A559" s="3" t="s">
        <v>1381</v>
      </c>
      <c r="B559" s="3" t="s">
        <v>1907</v>
      </c>
    </row>
    <row r="560" spans="1:2" ht="51" x14ac:dyDescent="0.25">
      <c r="A560" s="3" t="s">
        <v>1382</v>
      </c>
      <c r="B560" s="3" t="s">
        <v>1908</v>
      </c>
    </row>
    <row r="561" spans="1:2" ht="51" x14ac:dyDescent="0.25">
      <c r="A561" s="3" t="s">
        <v>1154</v>
      </c>
      <c r="B561" s="3" t="s">
        <v>1708</v>
      </c>
    </row>
    <row r="562" spans="1:2" ht="63.75" x14ac:dyDescent="0.25">
      <c r="A562" s="3" t="s">
        <v>1383</v>
      </c>
      <c r="B562" s="3" t="s">
        <v>1909</v>
      </c>
    </row>
    <row r="563" spans="1:2" ht="38.25" x14ac:dyDescent="0.25">
      <c r="A563" s="3" t="s">
        <v>1385</v>
      </c>
      <c r="B563" s="3" t="s">
        <v>1910</v>
      </c>
    </row>
    <row r="564" spans="1:2" ht="38.25" x14ac:dyDescent="0.25">
      <c r="A564" s="3" t="s">
        <v>1386</v>
      </c>
      <c r="B564" s="3" t="s">
        <v>1911</v>
      </c>
    </row>
    <row r="565" spans="1:2" ht="63.75" x14ac:dyDescent="0.25">
      <c r="A565" s="3" t="s">
        <v>1481</v>
      </c>
      <c r="B565" s="3" t="s">
        <v>1971</v>
      </c>
    </row>
    <row r="566" spans="1:2" ht="25.5" x14ac:dyDescent="0.25">
      <c r="A566" s="3" t="s">
        <v>1301</v>
      </c>
      <c r="B566" s="3" t="s">
        <v>1845</v>
      </c>
    </row>
    <row r="567" spans="1:2" ht="38.25" x14ac:dyDescent="0.25">
      <c r="A567" s="3" t="s">
        <v>1171</v>
      </c>
      <c r="B567" s="3" t="s">
        <v>1723</v>
      </c>
    </row>
    <row r="568" spans="1:2" ht="38.25" x14ac:dyDescent="0.25">
      <c r="A568" s="3" t="s">
        <v>1239</v>
      </c>
      <c r="B568" s="3" t="s">
        <v>1784</v>
      </c>
    </row>
    <row r="569" spans="1:2" ht="25.5" x14ac:dyDescent="0.25">
      <c r="A569" s="3" t="s">
        <v>1315</v>
      </c>
      <c r="B569" s="3" t="s">
        <v>1855</v>
      </c>
    </row>
    <row r="570" spans="1:2" ht="38.25" x14ac:dyDescent="0.25">
      <c r="A570" s="3" t="s">
        <v>1316</v>
      </c>
      <c r="B570" s="3" t="s">
        <v>1856</v>
      </c>
    </row>
    <row r="571" spans="1:2" ht="38.25" x14ac:dyDescent="0.25">
      <c r="A571" s="3" t="s">
        <v>1317</v>
      </c>
      <c r="B571" s="3" t="s">
        <v>1857</v>
      </c>
    </row>
    <row r="572" spans="1:2" ht="76.5" x14ac:dyDescent="0.25">
      <c r="A572" s="3" t="s">
        <v>1304</v>
      </c>
      <c r="B572" s="3" t="s">
        <v>1847</v>
      </c>
    </row>
    <row r="573" spans="1:2" ht="76.5" x14ac:dyDescent="0.25">
      <c r="A573" s="3" t="s">
        <v>1303</v>
      </c>
      <c r="B573" s="3" t="s">
        <v>1846</v>
      </c>
    </row>
    <row r="574" spans="1:2" ht="102" x14ac:dyDescent="0.25">
      <c r="A574" s="3" t="s">
        <v>286</v>
      </c>
      <c r="B574" s="3" t="s">
        <v>1972</v>
      </c>
    </row>
    <row r="575" spans="1:2" ht="25.5" x14ac:dyDescent="0.25">
      <c r="A575" s="3" t="s">
        <v>1301</v>
      </c>
      <c r="B575" s="3" t="s">
        <v>1845</v>
      </c>
    </row>
    <row r="576" spans="1:2" ht="51" x14ac:dyDescent="0.25">
      <c r="A576" s="3" t="s">
        <v>193</v>
      </c>
      <c r="B576" s="3" t="s">
        <v>1925</v>
      </c>
    </row>
    <row r="577" spans="1:2" ht="76.5" x14ac:dyDescent="0.25">
      <c r="A577" s="3" t="s">
        <v>289</v>
      </c>
      <c r="B577" s="3" t="s">
        <v>1973</v>
      </c>
    </row>
    <row r="578" spans="1:2" ht="25.5" x14ac:dyDescent="0.25">
      <c r="A578" s="3" t="s">
        <v>1443</v>
      </c>
      <c r="B578" s="3" t="s">
        <v>1950</v>
      </c>
    </row>
    <row r="579" spans="1:2" ht="63.75" x14ac:dyDescent="0.25">
      <c r="A579" s="3" t="s">
        <v>1487</v>
      </c>
      <c r="B579" s="3" t="s">
        <v>1974</v>
      </c>
    </row>
    <row r="580" spans="1:2" ht="63.75" x14ac:dyDescent="0.25">
      <c r="A580" s="3" t="s">
        <v>1489</v>
      </c>
      <c r="B580" s="3" t="s">
        <v>1975</v>
      </c>
    </row>
    <row r="581" spans="1:2" ht="25.5" x14ac:dyDescent="0.25">
      <c r="A581" s="3" t="s">
        <v>1443</v>
      </c>
      <c r="B581" s="3" t="s">
        <v>1950</v>
      </c>
    </row>
    <row r="582" spans="1:2" ht="63.75" x14ac:dyDescent="0.25">
      <c r="A582" s="3" t="s">
        <v>1490</v>
      </c>
      <c r="B582" s="3" t="s">
        <v>1976</v>
      </c>
    </row>
    <row r="583" spans="1:2" ht="63.75" x14ac:dyDescent="0.25">
      <c r="A583" s="3" t="s">
        <v>129</v>
      </c>
      <c r="B583" s="3" t="s">
        <v>1859</v>
      </c>
    </row>
    <row r="584" spans="1:2" ht="63.75" x14ac:dyDescent="0.25">
      <c r="A584" s="3" t="s">
        <v>1257</v>
      </c>
      <c r="B584" s="3" t="s">
        <v>1977</v>
      </c>
    </row>
    <row r="585" spans="1:2" ht="51" x14ac:dyDescent="0.25">
      <c r="A585" s="3" t="s">
        <v>1492</v>
      </c>
      <c r="B585" s="3" t="s">
        <v>1978</v>
      </c>
    </row>
    <row r="586" spans="1:2" ht="25.5" x14ac:dyDescent="0.25">
      <c r="A586" s="3" t="s">
        <v>1443</v>
      </c>
      <c r="B586" s="3" t="s">
        <v>1950</v>
      </c>
    </row>
    <row r="587" spans="1:2" ht="63.75" x14ac:dyDescent="0.25">
      <c r="A587" s="3" t="s">
        <v>1259</v>
      </c>
      <c r="B587" s="3" t="s">
        <v>1934</v>
      </c>
    </row>
    <row r="588" spans="1:2" ht="51" x14ac:dyDescent="0.25">
      <c r="A588" s="3" t="s">
        <v>1494</v>
      </c>
      <c r="B588" s="3" t="s">
        <v>1979</v>
      </c>
    </row>
    <row r="589" spans="1:2" ht="25.5" x14ac:dyDescent="0.25">
      <c r="A589" s="3" t="s">
        <v>1443</v>
      </c>
      <c r="B589" s="3" t="s">
        <v>1950</v>
      </c>
    </row>
    <row r="590" spans="1:2" ht="76.5" x14ac:dyDescent="0.25">
      <c r="A590" s="3" t="s">
        <v>1258</v>
      </c>
      <c r="B590" s="3" t="s">
        <v>1940</v>
      </c>
    </row>
    <row r="591" spans="1:2" ht="63.75" x14ac:dyDescent="0.25">
      <c r="A591" s="3" t="s">
        <v>1496</v>
      </c>
      <c r="B591" s="3" t="s">
        <v>1980</v>
      </c>
    </row>
    <row r="592" spans="1:2" ht="25.5" x14ac:dyDescent="0.25">
      <c r="A592" s="3" t="s">
        <v>1443</v>
      </c>
      <c r="B592" s="3" t="s">
        <v>1950</v>
      </c>
    </row>
    <row r="593" spans="1:2" ht="76.5" x14ac:dyDescent="0.25">
      <c r="A593" s="3" t="s">
        <v>1241</v>
      </c>
      <c r="B593" s="3" t="s">
        <v>1937</v>
      </c>
    </row>
    <row r="594" spans="1:2" ht="63.75" x14ac:dyDescent="0.25">
      <c r="A594" s="3" t="s">
        <v>1498</v>
      </c>
      <c r="B594" s="3" t="s">
        <v>1981</v>
      </c>
    </row>
    <row r="595" spans="1:2" ht="25.5" x14ac:dyDescent="0.25">
      <c r="A595" s="3" t="s">
        <v>1443</v>
      </c>
      <c r="B595" s="3" t="s">
        <v>1950</v>
      </c>
    </row>
    <row r="596" spans="1:2" ht="51" x14ac:dyDescent="0.25">
      <c r="A596" s="3" t="s">
        <v>1438</v>
      </c>
      <c r="B596" s="3" t="s">
        <v>1946</v>
      </c>
    </row>
    <row r="597" spans="1:2" ht="63.75" x14ac:dyDescent="0.25">
      <c r="A597" s="3" t="s">
        <v>1500</v>
      </c>
      <c r="B597" s="3" t="s">
        <v>1982</v>
      </c>
    </row>
    <row r="598" spans="1:2" ht="63.75" x14ac:dyDescent="0.25">
      <c r="A598" s="3" t="s">
        <v>297</v>
      </c>
      <c r="B598" s="3" t="s">
        <v>1983</v>
      </c>
    </row>
    <row r="599" spans="1:2" ht="63.75" x14ac:dyDescent="0.25">
      <c r="A599" s="3" t="s">
        <v>1431</v>
      </c>
      <c r="B599" s="3" t="s">
        <v>1941</v>
      </c>
    </row>
    <row r="600" spans="1:2" ht="63.75" x14ac:dyDescent="0.25">
      <c r="A600" s="3" t="s">
        <v>297</v>
      </c>
      <c r="B600" s="3" t="s">
        <v>1983</v>
      </c>
    </row>
    <row r="601" spans="1:2" ht="76.5" x14ac:dyDescent="0.25">
      <c r="A601" s="3" t="s">
        <v>1502</v>
      </c>
      <c r="B601" s="3" t="s">
        <v>1984</v>
      </c>
    </row>
    <row r="602" spans="1:2" ht="51" x14ac:dyDescent="0.25">
      <c r="A602" s="3" t="s">
        <v>1504</v>
      </c>
      <c r="B602" s="3" t="s">
        <v>1985</v>
      </c>
    </row>
    <row r="603" spans="1:2" ht="63.75" x14ac:dyDescent="0.25">
      <c r="A603" s="3" t="s">
        <v>1505</v>
      </c>
      <c r="B603" s="3" t="s">
        <v>1986</v>
      </c>
    </row>
    <row r="604" spans="1:2" ht="63.75" x14ac:dyDescent="0.25">
      <c r="A604" s="3" t="s">
        <v>297</v>
      </c>
      <c r="B604" s="3" t="s">
        <v>1983</v>
      </c>
    </row>
    <row r="605" spans="1:2" ht="63.75" x14ac:dyDescent="0.25">
      <c r="A605" s="3" t="s">
        <v>1507</v>
      </c>
      <c r="B605" s="3" t="s">
        <v>1987</v>
      </c>
    </row>
    <row r="606" spans="1:2" ht="76.5" x14ac:dyDescent="0.25">
      <c r="A606" s="3" t="s">
        <v>1508</v>
      </c>
      <c r="B606" s="3" t="s">
        <v>1988</v>
      </c>
    </row>
    <row r="607" spans="1:2" ht="63.75" x14ac:dyDescent="0.25">
      <c r="A607" s="3" t="s">
        <v>297</v>
      </c>
      <c r="B607" s="3" t="s">
        <v>1983</v>
      </c>
    </row>
    <row r="608" spans="1:2" ht="76.5" x14ac:dyDescent="0.25">
      <c r="A608" s="3" t="s">
        <v>107</v>
      </c>
      <c r="B608" s="3" t="s">
        <v>1842</v>
      </c>
    </row>
    <row r="609" spans="1:2" ht="89.25" x14ac:dyDescent="0.25">
      <c r="A609" s="3" t="s">
        <v>303</v>
      </c>
      <c r="B609" s="3" t="s">
        <v>1989</v>
      </c>
    </row>
    <row r="610" spans="1:2" ht="38.25" x14ac:dyDescent="0.25">
      <c r="A610" s="3" t="s">
        <v>304</v>
      </c>
      <c r="B610" s="3" t="s">
        <v>1990</v>
      </c>
    </row>
    <row r="611" spans="1:2" ht="76.5" x14ac:dyDescent="0.25">
      <c r="A611" s="3" t="s">
        <v>1510</v>
      </c>
      <c r="B611" s="3" t="s">
        <v>1991</v>
      </c>
    </row>
    <row r="612" spans="1:2" ht="63.75" x14ac:dyDescent="0.25">
      <c r="A612" s="3" t="s">
        <v>1511</v>
      </c>
      <c r="B612" s="3" t="s">
        <v>1992</v>
      </c>
    </row>
    <row r="613" spans="1:2" ht="63.75" x14ac:dyDescent="0.25">
      <c r="A613" s="3" t="s">
        <v>1512</v>
      </c>
      <c r="B613" s="3" t="s">
        <v>1993</v>
      </c>
    </row>
    <row r="614" spans="1:2" ht="38.25" x14ac:dyDescent="0.25">
      <c r="A614" s="3" t="s">
        <v>1251</v>
      </c>
      <c r="B614" s="3" t="s">
        <v>1796</v>
      </c>
    </row>
    <row r="615" spans="1:2" ht="63.75" x14ac:dyDescent="0.25">
      <c r="A615" s="3" t="s">
        <v>1274</v>
      </c>
      <c r="B615" s="3" t="s">
        <v>1819</v>
      </c>
    </row>
    <row r="616" spans="1:2" ht="38.25" x14ac:dyDescent="0.25">
      <c r="A616" s="3" t="s">
        <v>1275</v>
      </c>
      <c r="B616" s="3" t="s">
        <v>1820</v>
      </c>
    </row>
    <row r="617" spans="1:2" ht="51" x14ac:dyDescent="0.25">
      <c r="A617" s="3" t="s">
        <v>1147</v>
      </c>
      <c r="B617" s="3" t="s">
        <v>1702</v>
      </c>
    </row>
    <row r="618" spans="1:2" ht="38.25" x14ac:dyDescent="0.25">
      <c r="A618" s="3" t="s">
        <v>1513</v>
      </c>
      <c r="B618" s="3" t="s">
        <v>1994</v>
      </c>
    </row>
    <row r="619" spans="1:2" ht="38.25" x14ac:dyDescent="0.25">
      <c r="A619" s="3" t="s">
        <v>1514</v>
      </c>
      <c r="B619" s="3" t="s">
        <v>1995</v>
      </c>
    </row>
    <row r="620" spans="1:2" ht="25.5" x14ac:dyDescent="0.25">
      <c r="A620" s="3" t="s">
        <v>1237</v>
      </c>
      <c r="B620" s="3" t="s">
        <v>1782</v>
      </c>
    </row>
    <row r="621" spans="1:2" ht="51" x14ac:dyDescent="0.25">
      <c r="A621" s="3" t="s">
        <v>1170</v>
      </c>
      <c r="B621" s="3" t="s">
        <v>1722</v>
      </c>
    </row>
    <row r="622" spans="1:2" ht="38.25" x14ac:dyDescent="0.25">
      <c r="A622" s="3" t="s">
        <v>1171</v>
      </c>
      <c r="B622" s="3" t="s">
        <v>1723</v>
      </c>
    </row>
    <row r="623" spans="1:2" ht="25.5" x14ac:dyDescent="0.25">
      <c r="A623" s="3" t="s">
        <v>1176</v>
      </c>
      <c r="B623" s="3" t="s">
        <v>1728</v>
      </c>
    </row>
    <row r="624" spans="1:2" ht="51" x14ac:dyDescent="0.25">
      <c r="A624" s="3" t="s">
        <v>1151</v>
      </c>
      <c r="B624" s="3" t="s">
        <v>1705</v>
      </c>
    </row>
    <row r="625" spans="1:2" ht="51" x14ac:dyDescent="0.25">
      <c r="A625" s="3" t="s">
        <v>1187</v>
      </c>
      <c r="B625" s="3" t="s">
        <v>1736</v>
      </c>
    </row>
    <row r="626" spans="1:2" ht="38.25" x14ac:dyDescent="0.25">
      <c r="A626" s="3" t="s">
        <v>1212</v>
      </c>
      <c r="B626" s="3" t="s">
        <v>1760</v>
      </c>
    </row>
    <row r="627" spans="1:2" ht="63.75" x14ac:dyDescent="0.25">
      <c r="A627" s="3" t="s">
        <v>1168</v>
      </c>
      <c r="B627" s="3" t="s">
        <v>1720</v>
      </c>
    </row>
    <row r="628" spans="1:2" ht="63.75" x14ac:dyDescent="0.25">
      <c r="A628" s="3" t="s">
        <v>306</v>
      </c>
      <c r="B628" s="3" t="s">
        <v>1996</v>
      </c>
    </row>
    <row r="629" spans="1:2" ht="51" x14ac:dyDescent="0.25">
      <c r="A629" s="3" t="s">
        <v>1328</v>
      </c>
      <c r="B629" s="3" t="s">
        <v>1865</v>
      </c>
    </row>
    <row r="630" spans="1:2" ht="63.75" x14ac:dyDescent="0.25">
      <c r="A630" s="3" t="s">
        <v>309</v>
      </c>
      <c r="B630" s="3" t="s">
        <v>1997</v>
      </c>
    </row>
    <row r="631" spans="1:2" ht="76.5" x14ac:dyDescent="0.25">
      <c r="A631" s="3" t="s">
        <v>310</v>
      </c>
      <c r="B631" s="3" t="s">
        <v>1998</v>
      </c>
    </row>
    <row r="632" spans="1:2" ht="114.75" x14ac:dyDescent="0.25">
      <c r="A632" s="3" t="s">
        <v>98</v>
      </c>
      <c r="B632" s="3" t="s">
        <v>1832</v>
      </c>
    </row>
    <row r="633" spans="1:2" ht="38.25" x14ac:dyDescent="0.25">
      <c r="A633" s="3" t="s">
        <v>1287</v>
      </c>
      <c r="B633" s="3" t="s">
        <v>1833</v>
      </c>
    </row>
    <row r="634" spans="1:2" ht="25.5" x14ac:dyDescent="0.25">
      <c r="A634" s="3" t="s">
        <v>1288</v>
      </c>
      <c r="B634" s="3" t="s">
        <v>1834</v>
      </c>
    </row>
    <row r="635" spans="1:2" ht="63.75" x14ac:dyDescent="0.25">
      <c r="A635" s="3" t="s">
        <v>306</v>
      </c>
      <c r="B635" s="3" t="s">
        <v>1996</v>
      </c>
    </row>
    <row r="636" spans="1:2" ht="76.5" x14ac:dyDescent="0.25">
      <c r="A636" s="3" t="s">
        <v>314</v>
      </c>
      <c r="B636" s="3" t="s">
        <v>1999</v>
      </c>
    </row>
    <row r="637" spans="1:2" ht="25.5" x14ac:dyDescent="0.25">
      <c r="A637" s="3" t="s">
        <v>1443</v>
      </c>
      <c r="B637" s="3" t="s">
        <v>1950</v>
      </c>
    </row>
    <row r="638" spans="1:2" ht="76.5" x14ac:dyDescent="0.25">
      <c r="A638" s="3" t="s">
        <v>1303</v>
      </c>
      <c r="B638" s="3" t="s">
        <v>1846</v>
      </c>
    </row>
    <row r="639" spans="1:2" ht="76.5" x14ac:dyDescent="0.25">
      <c r="A639" s="3" t="s">
        <v>1304</v>
      </c>
      <c r="B639" s="3" t="s">
        <v>1847</v>
      </c>
    </row>
    <row r="640" spans="1:2" ht="63.75" x14ac:dyDescent="0.25">
      <c r="A640" s="3" t="s">
        <v>1305</v>
      </c>
      <c r="B640" s="3" t="s">
        <v>1848</v>
      </c>
    </row>
    <row r="641" spans="1:2" ht="63.75" x14ac:dyDescent="0.25">
      <c r="A641" s="3" t="s">
        <v>1220</v>
      </c>
      <c r="B641" s="3" t="s">
        <v>1768</v>
      </c>
    </row>
    <row r="642" spans="1:2" ht="38.25" x14ac:dyDescent="0.25">
      <c r="A642" s="3" t="s">
        <v>1307</v>
      </c>
      <c r="B642" s="3" t="s">
        <v>1849</v>
      </c>
    </row>
    <row r="643" spans="1:2" ht="51" x14ac:dyDescent="0.25">
      <c r="A643" s="3" t="s">
        <v>1219</v>
      </c>
      <c r="B643" s="3" t="s">
        <v>1767</v>
      </c>
    </row>
    <row r="644" spans="1:2" ht="38.25" x14ac:dyDescent="0.25">
      <c r="A644" s="3" t="s">
        <v>1334</v>
      </c>
      <c r="B644" s="3" t="s">
        <v>1868</v>
      </c>
    </row>
    <row r="645" spans="1:2" ht="63.75" x14ac:dyDescent="0.25">
      <c r="A645" s="3" t="s">
        <v>1168</v>
      </c>
      <c r="B645" s="3" t="s">
        <v>1720</v>
      </c>
    </row>
    <row r="646" spans="1:2" ht="51" x14ac:dyDescent="0.25">
      <c r="A646" s="3" t="s">
        <v>1187</v>
      </c>
      <c r="B646" s="3" t="s">
        <v>1736</v>
      </c>
    </row>
    <row r="647" spans="1:2" ht="51" x14ac:dyDescent="0.25">
      <c r="A647" s="3" t="s">
        <v>1310</v>
      </c>
      <c r="B647" s="3" t="s">
        <v>1852</v>
      </c>
    </row>
    <row r="648" spans="1:2" ht="25.5" x14ac:dyDescent="0.25">
      <c r="A648" s="3" t="s">
        <v>1312</v>
      </c>
      <c r="B648" s="3" t="s">
        <v>1854</v>
      </c>
    </row>
    <row r="649" spans="1:2" ht="89.25" x14ac:dyDescent="0.25">
      <c r="A649" s="3" t="s">
        <v>327</v>
      </c>
      <c r="B649" s="3" t="s">
        <v>2000</v>
      </c>
    </row>
    <row r="650" spans="1:2" ht="76.5" x14ac:dyDescent="0.25">
      <c r="A650" s="3" t="s">
        <v>1303</v>
      </c>
      <c r="B650" s="3" t="s">
        <v>1846</v>
      </c>
    </row>
    <row r="651" spans="1:2" ht="76.5" x14ac:dyDescent="0.25">
      <c r="A651" s="3" t="s">
        <v>1304</v>
      </c>
      <c r="B651" s="3" t="s">
        <v>1847</v>
      </c>
    </row>
    <row r="652" spans="1:2" ht="63.75" x14ac:dyDescent="0.25">
      <c r="A652" s="3" t="s">
        <v>1305</v>
      </c>
      <c r="B652" s="3" t="s">
        <v>1848</v>
      </c>
    </row>
    <row r="653" spans="1:2" ht="63.75" x14ac:dyDescent="0.25">
      <c r="A653" s="3" t="s">
        <v>1220</v>
      </c>
      <c r="B653" s="3" t="s">
        <v>1768</v>
      </c>
    </row>
    <row r="654" spans="1:2" ht="38.25" x14ac:dyDescent="0.25">
      <c r="A654" s="3" t="s">
        <v>1307</v>
      </c>
      <c r="B654" s="3" t="s">
        <v>1849</v>
      </c>
    </row>
    <row r="655" spans="1:2" ht="51" x14ac:dyDescent="0.25">
      <c r="A655" s="3" t="s">
        <v>1219</v>
      </c>
      <c r="B655" s="3" t="s">
        <v>1767</v>
      </c>
    </row>
    <row r="656" spans="1:2" ht="38.25" x14ac:dyDescent="0.25">
      <c r="A656" s="3" t="s">
        <v>1334</v>
      </c>
      <c r="B656" s="3" t="s">
        <v>1868</v>
      </c>
    </row>
    <row r="657" spans="1:2" ht="63.75" x14ac:dyDescent="0.25">
      <c r="A657" s="3" t="s">
        <v>1168</v>
      </c>
      <c r="B657" s="3" t="s">
        <v>1720</v>
      </c>
    </row>
    <row r="658" spans="1:2" ht="51" x14ac:dyDescent="0.25">
      <c r="A658" s="3" t="s">
        <v>1187</v>
      </c>
      <c r="B658" s="3" t="s">
        <v>1736</v>
      </c>
    </row>
    <row r="659" spans="1:2" ht="102" x14ac:dyDescent="0.25">
      <c r="A659" s="3" t="s">
        <v>335</v>
      </c>
      <c r="B659" s="3" t="s">
        <v>2001</v>
      </c>
    </row>
    <row r="660" spans="1:2" ht="25.5" x14ac:dyDescent="0.25">
      <c r="A660" s="3" t="s">
        <v>1301</v>
      </c>
      <c r="B660" s="3" t="s">
        <v>1845</v>
      </c>
    </row>
    <row r="661" spans="1:2" ht="63.75" x14ac:dyDescent="0.25">
      <c r="A661" s="3" t="s">
        <v>1519</v>
      </c>
      <c r="B661" s="3" t="s">
        <v>2002</v>
      </c>
    </row>
    <row r="662" spans="1:2" ht="76.5" x14ac:dyDescent="0.25">
      <c r="A662" s="3" t="s">
        <v>340</v>
      </c>
      <c r="B662" s="3" t="s">
        <v>2003</v>
      </c>
    </row>
    <row r="663" spans="1:2" ht="38.25" x14ac:dyDescent="0.25">
      <c r="A663" s="3" t="s">
        <v>1436</v>
      </c>
      <c r="B663" s="3" t="s">
        <v>1945</v>
      </c>
    </row>
    <row r="664" spans="1:2" ht="76.5" x14ac:dyDescent="0.25">
      <c r="A664" s="3" t="s">
        <v>341</v>
      </c>
      <c r="B664" s="3" t="s">
        <v>2004</v>
      </c>
    </row>
    <row r="665" spans="1:2" ht="51" x14ac:dyDescent="0.25">
      <c r="A665" s="3" t="s">
        <v>206</v>
      </c>
      <c r="B665" s="3" t="s">
        <v>1944</v>
      </c>
    </row>
    <row r="666" spans="1:2" ht="63.75" x14ac:dyDescent="0.25">
      <c r="A666" s="3" t="s">
        <v>1519</v>
      </c>
      <c r="B666" s="3" t="s">
        <v>2002</v>
      </c>
    </row>
    <row r="667" spans="1:2" ht="89.25" x14ac:dyDescent="0.25">
      <c r="A667" s="3" t="s">
        <v>344</v>
      </c>
      <c r="B667" s="3" t="s">
        <v>2005</v>
      </c>
    </row>
    <row r="668" spans="1:2" ht="25.5" x14ac:dyDescent="0.25">
      <c r="A668" s="3" t="s">
        <v>1443</v>
      </c>
      <c r="B668" s="3" t="s">
        <v>1950</v>
      </c>
    </row>
    <row r="669" spans="1:2" ht="63.75" x14ac:dyDescent="0.25">
      <c r="A669" s="3" t="s">
        <v>1521</v>
      </c>
      <c r="B669" s="3" t="s">
        <v>2006</v>
      </c>
    </row>
    <row r="670" spans="1:2" ht="89.25" x14ac:dyDescent="0.25">
      <c r="A670" s="3" t="s">
        <v>347</v>
      </c>
      <c r="B670" s="3" t="s">
        <v>2007</v>
      </c>
    </row>
    <row r="671" spans="1:2" ht="25.5" x14ac:dyDescent="0.25">
      <c r="A671" s="3" t="s">
        <v>1443</v>
      </c>
      <c r="B671" s="3" t="s">
        <v>1950</v>
      </c>
    </row>
    <row r="672" spans="1:2" ht="63.75" x14ac:dyDescent="0.25">
      <c r="A672" s="3" t="s">
        <v>1521</v>
      </c>
      <c r="B672" s="3" t="s">
        <v>2006</v>
      </c>
    </row>
    <row r="673" spans="1:2" ht="102" x14ac:dyDescent="0.25">
      <c r="A673" s="3" t="s">
        <v>352</v>
      </c>
      <c r="B673" s="3" t="s">
        <v>2008</v>
      </c>
    </row>
    <row r="674" spans="1:2" ht="38.25" x14ac:dyDescent="0.25">
      <c r="A674" s="3" t="s">
        <v>1436</v>
      </c>
      <c r="B674" s="3" t="s">
        <v>1945</v>
      </c>
    </row>
    <row r="675" spans="1:2" ht="51" x14ac:dyDescent="0.25">
      <c r="A675" s="3" t="s">
        <v>206</v>
      </c>
      <c r="B675" s="3" t="s">
        <v>1944</v>
      </c>
    </row>
    <row r="676" spans="1:2" ht="76.5" x14ac:dyDescent="0.25">
      <c r="A676" s="3" t="s">
        <v>354</v>
      </c>
      <c r="B676" s="3" t="s">
        <v>2009</v>
      </c>
    </row>
    <row r="677" spans="1:2" ht="51" x14ac:dyDescent="0.25">
      <c r="A677" s="3" t="s">
        <v>356</v>
      </c>
      <c r="B677" s="3" t="s">
        <v>2010</v>
      </c>
    </row>
    <row r="678" spans="1:2" ht="63.75" x14ac:dyDescent="0.25">
      <c r="A678" s="3" t="s">
        <v>358</v>
      </c>
      <c r="B678" s="3" t="s">
        <v>2011</v>
      </c>
    </row>
    <row r="679" spans="1:2" ht="25.5" x14ac:dyDescent="0.25">
      <c r="A679" s="3" t="s">
        <v>1443</v>
      </c>
      <c r="B679" s="3" t="s">
        <v>1950</v>
      </c>
    </row>
    <row r="680" spans="1:2" ht="51" x14ac:dyDescent="0.25">
      <c r="A680" s="3" t="s">
        <v>362</v>
      </c>
      <c r="B680" s="3" t="s">
        <v>2012</v>
      </c>
    </row>
    <row r="681" spans="1:2" ht="76.5" x14ac:dyDescent="0.25">
      <c r="A681" s="3" t="s">
        <v>364</v>
      </c>
      <c r="B681" s="3" t="s">
        <v>2013</v>
      </c>
    </row>
    <row r="682" spans="1:2" ht="25.5" x14ac:dyDescent="0.25">
      <c r="A682" s="3" t="s">
        <v>154</v>
      </c>
      <c r="B682" s="3" t="s">
        <v>1884</v>
      </c>
    </row>
    <row r="683" spans="1:2" ht="63.75" x14ac:dyDescent="0.25">
      <c r="A683" s="3" t="s">
        <v>367</v>
      </c>
      <c r="B683" s="3" t="s">
        <v>2014</v>
      </c>
    </row>
    <row r="684" spans="1:2" ht="25.5" x14ac:dyDescent="0.25">
      <c r="A684" s="3" t="s">
        <v>368</v>
      </c>
      <c r="B684" s="3" t="s">
        <v>2015</v>
      </c>
    </row>
    <row r="685" spans="1:2" ht="51" x14ac:dyDescent="0.25">
      <c r="A685" s="3" t="s">
        <v>362</v>
      </c>
      <c r="B685" s="3" t="s">
        <v>2012</v>
      </c>
    </row>
    <row r="686" spans="1:2" ht="51" x14ac:dyDescent="0.25">
      <c r="A686" s="3" t="s">
        <v>362</v>
      </c>
      <c r="B686" s="3" t="s">
        <v>2012</v>
      </c>
    </row>
    <row r="687" spans="1:2" ht="51" x14ac:dyDescent="0.25">
      <c r="A687" s="3" t="s">
        <v>373</v>
      </c>
      <c r="B687" s="3" t="s">
        <v>2016</v>
      </c>
    </row>
    <row r="688" spans="1:2" ht="38.25" x14ac:dyDescent="0.25">
      <c r="A688" s="3" t="s">
        <v>1527</v>
      </c>
      <c r="B688" s="3" t="s">
        <v>2017</v>
      </c>
    </row>
    <row r="689" spans="1:2" ht="25.5" x14ac:dyDescent="0.25">
      <c r="A689" s="3" t="s">
        <v>374</v>
      </c>
      <c r="B689" s="3" t="s">
        <v>2018</v>
      </c>
    </row>
    <row r="690" spans="1:2" ht="38.25" x14ac:dyDescent="0.25">
      <c r="A690" s="3" t="s">
        <v>1316</v>
      </c>
      <c r="B690" s="3" t="s">
        <v>1856</v>
      </c>
    </row>
    <row r="691" spans="1:2" ht="63.75" x14ac:dyDescent="0.25">
      <c r="A691" s="3" t="s">
        <v>378</v>
      </c>
      <c r="B691" s="3" t="s">
        <v>2019</v>
      </c>
    </row>
    <row r="692" spans="1:2" ht="25.5" x14ac:dyDescent="0.25">
      <c r="A692" s="3" t="s">
        <v>1528</v>
      </c>
      <c r="B692" s="3" t="s">
        <v>2020</v>
      </c>
    </row>
    <row r="693" spans="1:2" ht="51" x14ac:dyDescent="0.25">
      <c r="A693" s="3" t="s">
        <v>380</v>
      </c>
      <c r="B693" s="3" t="s">
        <v>2021</v>
      </c>
    </row>
    <row r="694" spans="1:2" ht="51" x14ac:dyDescent="0.25">
      <c r="A694" s="3" t="s">
        <v>382</v>
      </c>
      <c r="B694" s="3" t="s">
        <v>2022</v>
      </c>
    </row>
    <row r="695" spans="1:2" ht="102" x14ac:dyDescent="0.25">
      <c r="A695" s="3" t="s">
        <v>383</v>
      </c>
      <c r="B695" s="3" t="s">
        <v>2023</v>
      </c>
    </row>
    <row r="696" spans="1:2" ht="76.5" x14ac:dyDescent="0.25">
      <c r="A696" s="3" t="s">
        <v>236</v>
      </c>
      <c r="B696" s="3" t="s">
        <v>1956</v>
      </c>
    </row>
    <row r="697" spans="1:2" ht="38.25" x14ac:dyDescent="0.25">
      <c r="A697" s="3" t="s">
        <v>1171</v>
      </c>
      <c r="B697" s="3" t="s">
        <v>1723</v>
      </c>
    </row>
    <row r="698" spans="1:2" ht="51" x14ac:dyDescent="0.25">
      <c r="A698" s="3" t="s">
        <v>1356</v>
      </c>
      <c r="B698" s="3" t="s">
        <v>1885</v>
      </c>
    </row>
    <row r="699" spans="1:2" ht="51" x14ac:dyDescent="0.25">
      <c r="A699" s="3" t="s">
        <v>386</v>
      </c>
      <c r="B699" s="3" t="s">
        <v>2024</v>
      </c>
    </row>
    <row r="700" spans="1:2" ht="76.5" x14ac:dyDescent="0.25">
      <c r="A700" s="3" t="s">
        <v>1530</v>
      </c>
      <c r="B700" s="3" t="s">
        <v>2025</v>
      </c>
    </row>
    <row r="701" spans="1:2" ht="51" x14ac:dyDescent="0.25">
      <c r="A701" s="3" t="s">
        <v>1531</v>
      </c>
      <c r="B701" s="3" t="s">
        <v>2026</v>
      </c>
    </row>
    <row r="702" spans="1:2" ht="38.25" x14ac:dyDescent="0.25">
      <c r="A702" s="3" t="s">
        <v>1513</v>
      </c>
      <c r="B702" s="3" t="s">
        <v>1994</v>
      </c>
    </row>
    <row r="703" spans="1:2" ht="63.75" x14ac:dyDescent="0.25">
      <c r="A703" s="3" t="s">
        <v>1512</v>
      </c>
      <c r="B703" s="3" t="s">
        <v>1993</v>
      </c>
    </row>
    <row r="704" spans="1:2" ht="25.5" x14ac:dyDescent="0.25">
      <c r="A704" s="3" t="s">
        <v>1176</v>
      </c>
      <c r="B704" s="3" t="s">
        <v>1728</v>
      </c>
    </row>
    <row r="705" spans="1:2" ht="38.25" x14ac:dyDescent="0.25">
      <c r="A705" s="3" t="s">
        <v>389</v>
      </c>
      <c r="B705" s="3" t="s">
        <v>2027</v>
      </c>
    </row>
    <row r="706" spans="1:2" ht="63.75" x14ac:dyDescent="0.25">
      <c r="A706" s="3" t="s">
        <v>1216</v>
      </c>
      <c r="B706" s="3" t="s">
        <v>1764</v>
      </c>
    </row>
    <row r="707" spans="1:2" ht="63.75" x14ac:dyDescent="0.25">
      <c r="A707" s="3" t="s">
        <v>390</v>
      </c>
      <c r="B707" s="3" t="s">
        <v>2028</v>
      </c>
    </row>
    <row r="708" spans="1:2" ht="38.25" x14ac:dyDescent="0.25">
      <c r="A708" s="3" t="s">
        <v>391</v>
      </c>
      <c r="B708" s="3" t="s">
        <v>2029</v>
      </c>
    </row>
    <row r="709" spans="1:2" ht="76.5" x14ac:dyDescent="0.25">
      <c r="A709" s="3" t="s">
        <v>393</v>
      </c>
      <c r="B709" s="3" t="s">
        <v>2030</v>
      </c>
    </row>
    <row r="710" spans="1:2" ht="51" x14ac:dyDescent="0.25">
      <c r="A710" s="3" t="s">
        <v>1146</v>
      </c>
      <c r="B710" s="3" t="s">
        <v>1701</v>
      </c>
    </row>
    <row r="711" spans="1:2" ht="51" x14ac:dyDescent="0.25">
      <c r="A711" s="3" t="s">
        <v>382</v>
      </c>
      <c r="B711" s="3" t="s">
        <v>2022</v>
      </c>
    </row>
    <row r="712" spans="1:2" ht="63.75" x14ac:dyDescent="0.25">
      <c r="A712" s="3" t="s">
        <v>395</v>
      </c>
      <c r="B712" s="3" t="s">
        <v>2031</v>
      </c>
    </row>
    <row r="713" spans="1:2" ht="76.5" x14ac:dyDescent="0.25">
      <c r="A713" s="3" t="s">
        <v>1215</v>
      </c>
      <c r="B713" s="3" t="s">
        <v>1763</v>
      </c>
    </row>
    <row r="714" spans="1:2" ht="38.25" x14ac:dyDescent="0.25">
      <c r="A714" s="3" t="s">
        <v>1171</v>
      </c>
      <c r="B714" s="3" t="s">
        <v>1723</v>
      </c>
    </row>
    <row r="715" spans="1:2" ht="51" x14ac:dyDescent="0.25">
      <c r="A715" s="3" t="s">
        <v>1356</v>
      </c>
      <c r="B715" s="3" t="s">
        <v>1885</v>
      </c>
    </row>
    <row r="716" spans="1:2" ht="51" x14ac:dyDescent="0.25">
      <c r="A716" s="3" t="s">
        <v>386</v>
      </c>
      <c r="B716" s="3" t="s">
        <v>2024</v>
      </c>
    </row>
    <row r="717" spans="1:2" ht="76.5" x14ac:dyDescent="0.25">
      <c r="A717" s="3" t="s">
        <v>1530</v>
      </c>
      <c r="B717" s="3" t="s">
        <v>2025</v>
      </c>
    </row>
    <row r="718" spans="1:2" ht="51" x14ac:dyDescent="0.25">
      <c r="A718" s="3" t="s">
        <v>1531</v>
      </c>
      <c r="B718" s="3" t="s">
        <v>2026</v>
      </c>
    </row>
    <row r="719" spans="1:2" ht="38.25" x14ac:dyDescent="0.25">
      <c r="A719" s="3" t="s">
        <v>1513</v>
      </c>
      <c r="B719" s="3" t="s">
        <v>1994</v>
      </c>
    </row>
    <row r="720" spans="1:2" ht="63.75" x14ac:dyDescent="0.25">
      <c r="A720" s="3" t="s">
        <v>1512</v>
      </c>
      <c r="B720" s="3" t="s">
        <v>1993</v>
      </c>
    </row>
    <row r="721" spans="1:2" ht="25.5" x14ac:dyDescent="0.25">
      <c r="A721" s="3" t="s">
        <v>1176</v>
      </c>
      <c r="B721" s="3" t="s">
        <v>1728</v>
      </c>
    </row>
    <row r="722" spans="1:2" ht="38.25" x14ac:dyDescent="0.25">
      <c r="A722" s="3" t="s">
        <v>389</v>
      </c>
      <c r="B722" s="3" t="s">
        <v>2027</v>
      </c>
    </row>
    <row r="723" spans="1:2" ht="63.75" x14ac:dyDescent="0.25">
      <c r="A723" s="3" t="s">
        <v>1216</v>
      </c>
      <c r="B723" s="3" t="s">
        <v>1764</v>
      </c>
    </row>
    <row r="724" spans="1:2" ht="63.75" x14ac:dyDescent="0.25">
      <c r="A724" s="3" t="s">
        <v>390</v>
      </c>
      <c r="B724" s="3" t="s">
        <v>2028</v>
      </c>
    </row>
    <row r="725" spans="1:2" ht="38.25" x14ac:dyDescent="0.25">
      <c r="A725" s="3" t="s">
        <v>391</v>
      </c>
      <c r="B725" s="3" t="s">
        <v>2029</v>
      </c>
    </row>
    <row r="726" spans="1:2" ht="76.5" x14ac:dyDescent="0.25">
      <c r="A726" s="3" t="s">
        <v>393</v>
      </c>
      <c r="B726" s="3" t="s">
        <v>2030</v>
      </c>
    </row>
    <row r="727" spans="1:2" ht="51" x14ac:dyDescent="0.25">
      <c r="A727" s="3" t="s">
        <v>1146</v>
      </c>
      <c r="B727" s="3" t="s">
        <v>1701</v>
      </c>
    </row>
    <row r="728" spans="1:2" ht="51" x14ac:dyDescent="0.25">
      <c r="A728" s="3" t="s">
        <v>382</v>
      </c>
      <c r="B728" s="3" t="s">
        <v>2022</v>
      </c>
    </row>
    <row r="729" spans="1:2" ht="63.75" x14ac:dyDescent="0.25">
      <c r="A729" s="3" t="s">
        <v>395</v>
      </c>
      <c r="B729" s="3" t="s">
        <v>2031</v>
      </c>
    </row>
    <row r="730" spans="1:2" ht="76.5" x14ac:dyDescent="0.25">
      <c r="A730" s="3" t="s">
        <v>1215</v>
      </c>
      <c r="B730" s="3" t="s">
        <v>1763</v>
      </c>
    </row>
    <row r="731" spans="1:2" ht="25.5" x14ac:dyDescent="0.25">
      <c r="A731" s="3" t="s">
        <v>1280</v>
      </c>
      <c r="B731" s="3" t="s">
        <v>1827</v>
      </c>
    </row>
    <row r="732" spans="1:2" ht="63.75" x14ac:dyDescent="0.25">
      <c r="A732" s="3" t="s">
        <v>306</v>
      </c>
      <c r="B732" s="3" t="s">
        <v>1996</v>
      </c>
    </row>
    <row r="733" spans="1:2" ht="89.25" x14ac:dyDescent="0.25">
      <c r="A733" s="3" t="s">
        <v>400</v>
      </c>
      <c r="B733" s="3" t="s">
        <v>2032</v>
      </c>
    </row>
    <row r="734" spans="1:2" ht="89.25" x14ac:dyDescent="0.25">
      <c r="A734" s="3" t="s">
        <v>258</v>
      </c>
      <c r="B734" s="3" t="s">
        <v>1963</v>
      </c>
    </row>
    <row r="735" spans="1:2" ht="89.25" x14ac:dyDescent="0.25">
      <c r="A735" s="3" t="s">
        <v>403</v>
      </c>
      <c r="B735" s="3" t="s">
        <v>2033</v>
      </c>
    </row>
    <row r="736" spans="1:2" ht="25.5" x14ac:dyDescent="0.25">
      <c r="A736" s="3" t="s">
        <v>404</v>
      </c>
      <c r="B736" s="3" t="s">
        <v>2034</v>
      </c>
    </row>
    <row r="737" spans="1:2" ht="89.25" x14ac:dyDescent="0.25">
      <c r="A737" s="3" t="s">
        <v>262</v>
      </c>
      <c r="B737" s="3" t="s">
        <v>1965</v>
      </c>
    </row>
    <row r="738" spans="1:2" ht="63.75" x14ac:dyDescent="0.25">
      <c r="A738" s="3" t="s">
        <v>407</v>
      </c>
      <c r="B738" s="3" t="s">
        <v>2035</v>
      </c>
    </row>
    <row r="739" spans="1:2" ht="25.5" x14ac:dyDescent="0.25">
      <c r="A739" s="3" t="s">
        <v>404</v>
      </c>
      <c r="B739" s="3" t="s">
        <v>2034</v>
      </c>
    </row>
    <row r="740" spans="1:2" ht="51" x14ac:dyDescent="0.25">
      <c r="A740" s="3" t="s">
        <v>409</v>
      </c>
      <c r="B740" s="3" t="s">
        <v>2036</v>
      </c>
    </row>
    <row r="741" spans="1:2" ht="51" x14ac:dyDescent="0.25">
      <c r="A741" s="3" t="s">
        <v>410</v>
      </c>
      <c r="B741" s="3" t="s">
        <v>2037</v>
      </c>
    </row>
    <row r="742" spans="1:2" ht="25.5" x14ac:dyDescent="0.25">
      <c r="A742" s="3" t="s">
        <v>411</v>
      </c>
      <c r="B742" s="3" t="s">
        <v>2038</v>
      </c>
    </row>
    <row r="743" spans="1:2" ht="89.25" x14ac:dyDescent="0.25">
      <c r="A743" s="3" t="s">
        <v>262</v>
      </c>
      <c r="B743" s="3" t="s">
        <v>1965</v>
      </c>
    </row>
    <row r="744" spans="1:2" ht="51" x14ac:dyDescent="0.25">
      <c r="A744" s="3" t="s">
        <v>1188</v>
      </c>
      <c r="B744" s="3" t="s">
        <v>1737</v>
      </c>
    </row>
    <row r="745" spans="1:2" ht="51" x14ac:dyDescent="0.25">
      <c r="A745" s="3" t="s">
        <v>1535</v>
      </c>
      <c r="B745" s="3" t="s">
        <v>2039</v>
      </c>
    </row>
    <row r="746" spans="1:2" ht="38.25" x14ac:dyDescent="0.25">
      <c r="A746" s="3" t="s">
        <v>1189</v>
      </c>
      <c r="B746" s="3" t="s">
        <v>1738</v>
      </c>
    </row>
    <row r="747" spans="1:2" ht="25.5" x14ac:dyDescent="0.25">
      <c r="A747" s="3" t="s">
        <v>1536</v>
      </c>
      <c r="B747" s="3" t="s">
        <v>2040</v>
      </c>
    </row>
    <row r="748" spans="1:2" x14ac:dyDescent="0.25">
      <c r="A748" s="3" t="s">
        <v>1537</v>
      </c>
      <c r="B748" s="3" t="s">
        <v>2041</v>
      </c>
    </row>
    <row r="749" spans="1:2" ht="25.5" x14ac:dyDescent="0.25">
      <c r="A749" s="3" t="s">
        <v>1538</v>
      </c>
      <c r="B749" s="3" t="s">
        <v>2042</v>
      </c>
    </row>
    <row r="750" spans="1:2" ht="63.75" x14ac:dyDescent="0.25">
      <c r="A750" s="3" t="s">
        <v>1539</v>
      </c>
      <c r="B750" s="3" t="s">
        <v>2043</v>
      </c>
    </row>
    <row r="751" spans="1:2" ht="25.5" x14ac:dyDescent="0.25">
      <c r="A751" s="3" t="s">
        <v>1540</v>
      </c>
      <c r="B751" s="3" t="s">
        <v>2044</v>
      </c>
    </row>
    <row r="752" spans="1:2" ht="63.75" x14ac:dyDescent="0.25">
      <c r="A752" s="3" t="s">
        <v>1541</v>
      </c>
      <c r="B752" s="3" t="s">
        <v>2045</v>
      </c>
    </row>
    <row r="753" spans="1:2" ht="25.5" x14ac:dyDescent="0.25">
      <c r="A753" s="3" t="s">
        <v>1542</v>
      </c>
      <c r="B753" s="3" t="s">
        <v>2046</v>
      </c>
    </row>
    <row r="754" spans="1:2" ht="25.5" x14ac:dyDescent="0.25">
      <c r="A754" s="3" t="s">
        <v>1543</v>
      </c>
      <c r="B754" s="3" t="s">
        <v>2047</v>
      </c>
    </row>
    <row r="755" spans="1:2" ht="25.5" x14ac:dyDescent="0.25">
      <c r="A755" s="3" t="s">
        <v>1544</v>
      </c>
      <c r="B755" s="3" t="s">
        <v>2048</v>
      </c>
    </row>
    <row r="756" spans="1:2" x14ac:dyDescent="0.25">
      <c r="A756" s="3" t="s">
        <v>1545</v>
      </c>
      <c r="B756" s="3" t="s">
        <v>2049</v>
      </c>
    </row>
    <row r="757" spans="1:2" ht="25.5" x14ac:dyDescent="0.25">
      <c r="A757" s="3" t="s">
        <v>1546</v>
      </c>
      <c r="B757" s="3" t="s">
        <v>2050</v>
      </c>
    </row>
    <row r="758" spans="1:2" ht="51" x14ac:dyDescent="0.25">
      <c r="A758" s="3" t="s">
        <v>1255</v>
      </c>
      <c r="B758" s="3" t="s">
        <v>1803</v>
      </c>
    </row>
    <row r="759" spans="1:2" ht="63.75" x14ac:dyDescent="0.25">
      <c r="A759" s="3" t="s">
        <v>1220</v>
      </c>
      <c r="B759" s="3" t="s">
        <v>1768</v>
      </c>
    </row>
    <row r="760" spans="1:2" ht="25.5" x14ac:dyDescent="0.25">
      <c r="A760" s="3" t="s">
        <v>1261</v>
      </c>
      <c r="B760" s="3" t="s">
        <v>1806</v>
      </c>
    </row>
    <row r="761" spans="1:2" ht="38.25" x14ac:dyDescent="0.25">
      <c r="A761" s="3" t="s">
        <v>1547</v>
      </c>
      <c r="B761" s="3" t="s">
        <v>2051</v>
      </c>
    </row>
    <row r="762" spans="1:2" ht="51" x14ac:dyDescent="0.25">
      <c r="A762" s="3" t="s">
        <v>1265</v>
      </c>
      <c r="B762" s="3" t="s">
        <v>1810</v>
      </c>
    </row>
    <row r="763" spans="1:2" ht="25.5" x14ac:dyDescent="0.25">
      <c r="A763" s="3" t="s">
        <v>1269</v>
      </c>
      <c r="B763" s="3" t="s">
        <v>1814</v>
      </c>
    </row>
    <row r="764" spans="1:2" ht="63.75" x14ac:dyDescent="0.25">
      <c r="A764" s="3" t="s">
        <v>1548</v>
      </c>
      <c r="B764" s="3" t="s">
        <v>2052</v>
      </c>
    </row>
    <row r="765" spans="1:2" ht="63.75" x14ac:dyDescent="0.25">
      <c r="A765" s="3" t="s">
        <v>1549</v>
      </c>
      <c r="B765" s="3" t="s">
        <v>2053</v>
      </c>
    </row>
    <row r="766" spans="1:2" ht="51" x14ac:dyDescent="0.25">
      <c r="A766" s="3" t="s">
        <v>1550</v>
      </c>
      <c r="B766" s="3" t="s">
        <v>2054</v>
      </c>
    </row>
    <row r="767" spans="1:2" ht="51" x14ac:dyDescent="0.25">
      <c r="A767" s="3" t="s">
        <v>1551</v>
      </c>
      <c r="B767" s="3" t="s">
        <v>2055</v>
      </c>
    </row>
    <row r="768" spans="1:2" ht="25.5" x14ac:dyDescent="0.25">
      <c r="A768" s="3" t="s">
        <v>1552</v>
      </c>
      <c r="B768" s="3" t="s">
        <v>2056</v>
      </c>
    </row>
    <row r="769" spans="1:2" ht="25.5" x14ac:dyDescent="0.25">
      <c r="A769" s="3" t="s">
        <v>1553</v>
      </c>
      <c r="B769" s="3" t="s">
        <v>2057</v>
      </c>
    </row>
    <row r="770" spans="1:2" ht="63.75" x14ac:dyDescent="0.25">
      <c r="A770" s="3" t="s">
        <v>1554</v>
      </c>
      <c r="B770" s="3" t="s">
        <v>2058</v>
      </c>
    </row>
    <row r="771" spans="1:2" ht="63.75" x14ac:dyDescent="0.25">
      <c r="A771" s="3" t="s">
        <v>1555</v>
      </c>
      <c r="B771" s="3" t="s">
        <v>2059</v>
      </c>
    </row>
    <row r="772" spans="1:2" ht="51" x14ac:dyDescent="0.25">
      <c r="A772" s="3" t="s">
        <v>1556</v>
      </c>
      <c r="B772" s="3" t="s">
        <v>2060</v>
      </c>
    </row>
    <row r="773" spans="1:2" ht="63.75" x14ac:dyDescent="0.25">
      <c r="A773" s="3" t="s">
        <v>1557</v>
      </c>
      <c r="B773" s="3" t="s">
        <v>2061</v>
      </c>
    </row>
    <row r="774" spans="1:2" ht="63.75" x14ac:dyDescent="0.25">
      <c r="A774" s="3" t="s">
        <v>1242</v>
      </c>
      <c r="B774" s="3" t="s">
        <v>1786</v>
      </c>
    </row>
    <row r="775" spans="1:2" ht="25.5" x14ac:dyDescent="0.25">
      <c r="A775" s="3" t="s">
        <v>1558</v>
      </c>
      <c r="B775" s="3" t="s">
        <v>2062</v>
      </c>
    </row>
    <row r="776" spans="1:2" ht="63.75" x14ac:dyDescent="0.25">
      <c r="A776" s="3" t="s">
        <v>1246</v>
      </c>
      <c r="B776" s="3" t="s">
        <v>1791</v>
      </c>
    </row>
    <row r="777" spans="1:2" ht="63.75" x14ac:dyDescent="0.25">
      <c r="A777" s="3" t="s">
        <v>1559</v>
      </c>
      <c r="B777" s="3" t="s">
        <v>2063</v>
      </c>
    </row>
    <row r="778" spans="1:2" ht="25.5" x14ac:dyDescent="0.25">
      <c r="A778" s="3" t="s">
        <v>1560</v>
      </c>
      <c r="B778" s="3" t="s">
        <v>2064</v>
      </c>
    </row>
    <row r="779" spans="1:2" ht="38.25" x14ac:dyDescent="0.25">
      <c r="A779" s="3" t="s">
        <v>1252</v>
      </c>
      <c r="B779" s="3" t="s">
        <v>1799</v>
      </c>
    </row>
    <row r="780" spans="1:2" ht="25.5" x14ac:dyDescent="0.25">
      <c r="A780" s="3" t="s">
        <v>1253</v>
      </c>
      <c r="B780" s="3" t="s">
        <v>1800</v>
      </c>
    </row>
    <row r="781" spans="1:2" ht="51" x14ac:dyDescent="0.25">
      <c r="A781" s="3" t="s">
        <v>1561</v>
      </c>
      <c r="B781" s="3" t="s">
        <v>2065</v>
      </c>
    </row>
    <row r="782" spans="1:2" ht="51" x14ac:dyDescent="0.25">
      <c r="A782" s="3" t="s">
        <v>1151</v>
      </c>
      <c r="B782" s="3" t="s">
        <v>1705</v>
      </c>
    </row>
    <row r="783" spans="1:2" ht="63.75" x14ac:dyDescent="0.25">
      <c r="A783" s="3" t="s">
        <v>1562</v>
      </c>
      <c r="B783" s="3" t="s">
        <v>2066</v>
      </c>
    </row>
    <row r="784" spans="1:2" ht="38.25" x14ac:dyDescent="0.25">
      <c r="A784" s="3" t="s">
        <v>1251</v>
      </c>
      <c r="B784" s="3" t="s">
        <v>1796</v>
      </c>
    </row>
    <row r="785" spans="1:2" ht="25.5" x14ac:dyDescent="0.25">
      <c r="A785" s="3" t="s">
        <v>1176</v>
      </c>
      <c r="B785" s="3" t="s">
        <v>1728</v>
      </c>
    </row>
    <row r="786" spans="1:2" ht="51" x14ac:dyDescent="0.25">
      <c r="A786" s="3" t="s">
        <v>1147</v>
      </c>
      <c r="B786" s="3" t="s">
        <v>1702</v>
      </c>
    </row>
    <row r="787" spans="1:2" ht="51" x14ac:dyDescent="0.25">
      <c r="A787" s="3" t="s">
        <v>1146</v>
      </c>
      <c r="B787" s="3" t="s">
        <v>1701</v>
      </c>
    </row>
    <row r="788" spans="1:2" ht="38.25" x14ac:dyDescent="0.25">
      <c r="A788" s="3" t="s">
        <v>1174</v>
      </c>
      <c r="B788" s="3" t="s">
        <v>1726</v>
      </c>
    </row>
    <row r="789" spans="1:2" ht="51" x14ac:dyDescent="0.25">
      <c r="A789" s="3" t="s">
        <v>1151</v>
      </c>
      <c r="B789" s="3" t="s">
        <v>1705</v>
      </c>
    </row>
    <row r="790" spans="1:2" ht="25.5" x14ac:dyDescent="0.25">
      <c r="A790" s="3" t="s">
        <v>1145</v>
      </c>
      <c r="B790" s="3" t="s">
        <v>1700</v>
      </c>
    </row>
    <row r="791" spans="1:2" ht="51" x14ac:dyDescent="0.25">
      <c r="A791" s="3" t="s">
        <v>1147</v>
      </c>
      <c r="B791" s="3" t="s">
        <v>1702</v>
      </c>
    </row>
    <row r="792" spans="1:2" ht="38.25" x14ac:dyDescent="0.25">
      <c r="A792" s="3" t="s">
        <v>1158</v>
      </c>
      <c r="B792" s="3" t="s">
        <v>1712</v>
      </c>
    </row>
    <row r="793" spans="1:2" ht="51" x14ac:dyDescent="0.25">
      <c r="A793" s="3" t="s">
        <v>1157</v>
      </c>
      <c r="B793" s="3" t="s">
        <v>1711</v>
      </c>
    </row>
    <row r="794" spans="1:2" ht="63.75" x14ac:dyDescent="0.25">
      <c r="A794" s="3" t="s">
        <v>1159</v>
      </c>
      <c r="B794" s="3" t="s">
        <v>1713</v>
      </c>
    </row>
    <row r="795" spans="1:2" ht="38.25" x14ac:dyDescent="0.25">
      <c r="A795" s="3" t="s">
        <v>1148</v>
      </c>
      <c r="B795" s="3" t="s">
        <v>1703</v>
      </c>
    </row>
    <row r="796" spans="1:2" ht="25.5" x14ac:dyDescent="0.25">
      <c r="A796" s="3" t="s">
        <v>1160</v>
      </c>
      <c r="B796" s="3" t="s">
        <v>1714</v>
      </c>
    </row>
    <row r="797" spans="1:2" ht="63.75" x14ac:dyDescent="0.25">
      <c r="A797" s="3" t="s">
        <v>1161</v>
      </c>
      <c r="B797" s="3" t="s">
        <v>1715</v>
      </c>
    </row>
    <row r="798" spans="1:2" ht="51" x14ac:dyDescent="0.25">
      <c r="A798" s="3" t="s">
        <v>1144</v>
      </c>
      <c r="B798" s="3" t="s">
        <v>1699</v>
      </c>
    </row>
    <row r="799" spans="1:2" ht="63.75" x14ac:dyDescent="0.25">
      <c r="A799" s="3" t="s">
        <v>1156</v>
      </c>
      <c r="B799" s="3" t="s">
        <v>1710</v>
      </c>
    </row>
    <row r="800" spans="1:2" ht="38.25" x14ac:dyDescent="0.25">
      <c r="A800" s="3" t="s">
        <v>1152</v>
      </c>
      <c r="B800" s="3" t="s">
        <v>1706</v>
      </c>
    </row>
    <row r="801" spans="1:2" ht="38.25" x14ac:dyDescent="0.25">
      <c r="A801" s="3" t="s">
        <v>1153</v>
      </c>
      <c r="B801" s="3" t="s">
        <v>1707</v>
      </c>
    </row>
    <row r="802" spans="1:2" ht="51" x14ac:dyDescent="0.25">
      <c r="A802" s="3" t="s">
        <v>1146</v>
      </c>
      <c r="B802" s="3" t="s">
        <v>1701</v>
      </c>
    </row>
    <row r="803" spans="1:2" ht="76.5" x14ac:dyDescent="0.25">
      <c r="A803" s="3" t="s">
        <v>1155</v>
      </c>
      <c r="B803" s="3" t="s">
        <v>1709</v>
      </c>
    </row>
    <row r="804" spans="1:2" ht="38.25" x14ac:dyDescent="0.25">
      <c r="A804" s="3" t="s">
        <v>1173</v>
      </c>
      <c r="B804" s="3" t="s">
        <v>1725</v>
      </c>
    </row>
    <row r="805" spans="1:2" ht="38.25" x14ac:dyDescent="0.25">
      <c r="A805" s="3" t="s">
        <v>1177</v>
      </c>
      <c r="B805" s="3" t="s">
        <v>1729</v>
      </c>
    </row>
    <row r="806" spans="1:2" ht="25.5" x14ac:dyDescent="0.25">
      <c r="A806" s="3" t="s">
        <v>1169</v>
      </c>
      <c r="B806" s="3" t="s">
        <v>1721</v>
      </c>
    </row>
    <row r="807" spans="1:2" ht="38.25" x14ac:dyDescent="0.25">
      <c r="A807" s="3" t="s">
        <v>1172</v>
      </c>
      <c r="B807" s="3" t="s">
        <v>1724</v>
      </c>
    </row>
    <row r="808" spans="1:2" ht="38.25" x14ac:dyDescent="0.25">
      <c r="A808" s="3" t="s">
        <v>1171</v>
      </c>
      <c r="B808" s="3" t="s">
        <v>1723</v>
      </c>
    </row>
    <row r="809" spans="1:2" ht="51" x14ac:dyDescent="0.25">
      <c r="A809" s="3" t="s">
        <v>1170</v>
      </c>
      <c r="B809" s="3" t="s">
        <v>1722</v>
      </c>
    </row>
    <row r="810" spans="1:2" ht="25.5" x14ac:dyDescent="0.25">
      <c r="A810" s="3" t="s">
        <v>1176</v>
      </c>
      <c r="B810" s="3" t="s">
        <v>1728</v>
      </c>
    </row>
    <row r="811" spans="1:2" ht="38.25" x14ac:dyDescent="0.25">
      <c r="A811" s="3" t="s">
        <v>1165</v>
      </c>
      <c r="B811" s="3" t="s">
        <v>1717</v>
      </c>
    </row>
    <row r="812" spans="1:2" ht="38.25" x14ac:dyDescent="0.25">
      <c r="A812" s="3" t="s">
        <v>1166</v>
      </c>
      <c r="B812" s="3" t="s">
        <v>1718</v>
      </c>
    </row>
    <row r="813" spans="1:2" ht="51" x14ac:dyDescent="0.25">
      <c r="A813" s="3" t="s">
        <v>1167</v>
      </c>
      <c r="B813" s="3" t="s">
        <v>1719</v>
      </c>
    </row>
    <row r="814" spans="1:2" ht="63.75" x14ac:dyDescent="0.25">
      <c r="A814" s="3" t="s">
        <v>1168</v>
      </c>
      <c r="B814" s="3" t="s">
        <v>1720</v>
      </c>
    </row>
    <row r="815" spans="1:2" ht="38.25" x14ac:dyDescent="0.25">
      <c r="A815" s="3" t="s">
        <v>1174</v>
      </c>
      <c r="B815" s="3" t="s">
        <v>1726</v>
      </c>
    </row>
    <row r="816" spans="1:2" ht="51" x14ac:dyDescent="0.25">
      <c r="A816" s="3" t="s">
        <v>1247</v>
      </c>
      <c r="B816" s="3" t="s">
        <v>1792</v>
      </c>
    </row>
    <row r="817" spans="1:2" ht="38.25" x14ac:dyDescent="0.25">
      <c r="A817" s="3" t="s">
        <v>1248</v>
      </c>
      <c r="B817" s="3" t="s">
        <v>1793</v>
      </c>
    </row>
    <row r="818" spans="1:2" ht="25.5" x14ac:dyDescent="0.25">
      <c r="A818" s="3" t="s">
        <v>1249</v>
      </c>
      <c r="B818" s="3" t="s">
        <v>1794</v>
      </c>
    </row>
    <row r="819" spans="1:2" ht="25.5" x14ac:dyDescent="0.25">
      <c r="A819" s="3" t="s">
        <v>1254</v>
      </c>
      <c r="B819" s="3" t="s">
        <v>1802</v>
      </c>
    </row>
    <row r="820" spans="1:2" ht="63.75" x14ac:dyDescent="0.25">
      <c r="A820" s="3" t="s">
        <v>1242</v>
      </c>
      <c r="B820" s="3" t="s">
        <v>1786</v>
      </c>
    </row>
    <row r="821" spans="1:2" ht="76.5" x14ac:dyDescent="0.25">
      <c r="A821" s="3" t="s">
        <v>72</v>
      </c>
      <c r="B821" s="3" t="s">
        <v>1787</v>
      </c>
    </row>
    <row r="822" spans="1:2" ht="51" x14ac:dyDescent="0.25">
      <c r="A822" s="3" t="s">
        <v>1245</v>
      </c>
      <c r="B822" s="3" t="s">
        <v>1790</v>
      </c>
    </row>
    <row r="823" spans="1:2" ht="63.75" x14ac:dyDescent="0.25">
      <c r="A823" s="3" t="s">
        <v>1246</v>
      </c>
      <c r="B823" s="3" t="s">
        <v>1791</v>
      </c>
    </row>
    <row r="824" spans="1:2" ht="51" x14ac:dyDescent="0.25">
      <c r="A824" s="3" t="s">
        <v>1556</v>
      </c>
      <c r="B824" s="3" t="s">
        <v>2060</v>
      </c>
    </row>
    <row r="825" spans="1:2" ht="76.5" x14ac:dyDescent="0.25">
      <c r="A825" s="3" t="s">
        <v>1244</v>
      </c>
      <c r="B825" s="3" t="s">
        <v>1789</v>
      </c>
    </row>
    <row r="826" spans="1:2" ht="38.25" x14ac:dyDescent="0.25">
      <c r="A826" s="3" t="s">
        <v>1251</v>
      </c>
      <c r="B826" s="3" t="s">
        <v>1796</v>
      </c>
    </row>
    <row r="827" spans="1:2" ht="38.25" x14ac:dyDescent="0.25">
      <c r="A827" s="3" t="s">
        <v>1243</v>
      </c>
      <c r="B827" s="3" t="s">
        <v>1788</v>
      </c>
    </row>
    <row r="828" spans="1:2" ht="63.75" x14ac:dyDescent="0.25">
      <c r="A828" s="3" t="s">
        <v>1250</v>
      </c>
      <c r="B828" s="3" t="s">
        <v>1795</v>
      </c>
    </row>
    <row r="829" spans="1:2" ht="76.5" x14ac:dyDescent="0.25">
      <c r="A829" s="3" t="s">
        <v>80</v>
      </c>
      <c r="B829" s="3" t="s">
        <v>1804</v>
      </c>
    </row>
    <row r="830" spans="1:2" ht="63.75" x14ac:dyDescent="0.25">
      <c r="A830" s="3" t="s">
        <v>75</v>
      </c>
      <c r="B830" s="3" t="s">
        <v>1798</v>
      </c>
    </row>
    <row r="831" spans="1:2" ht="25.5" x14ac:dyDescent="0.25">
      <c r="A831" s="3" t="s">
        <v>1176</v>
      </c>
      <c r="B831" s="3" t="s">
        <v>1728</v>
      </c>
    </row>
    <row r="832" spans="1:2" ht="51" x14ac:dyDescent="0.25">
      <c r="A832" s="3" t="s">
        <v>382</v>
      </c>
      <c r="B832" s="3" t="s">
        <v>2022</v>
      </c>
    </row>
    <row r="833" spans="1:2" ht="38.25" x14ac:dyDescent="0.25">
      <c r="A833" s="3" t="s">
        <v>1252</v>
      </c>
      <c r="B833" s="3" t="s">
        <v>1799</v>
      </c>
    </row>
    <row r="834" spans="1:2" ht="25.5" x14ac:dyDescent="0.25">
      <c r="A834" s="3" t="s">
        <v>74</v>
      </c>
      <c r="B834" s="3" t="s">
        <v>1797</v>
      </c>
    </row>
    <row r="835" spans="1:2" ht="51" x14ac:dyDescent="0.25">
      <c r="A835" s="3" t="s">
        <v>1256</v>
      </c>
      <c r="B835" s="3" t="s">
        <v>1805</v>
      </c>
    </row>
    <row r="836" spans="1:2" ht="51" x14ac:dyDescent="0.25">
      <c r="A836" s="3" t="s">
        <v>1146</v>
      </c>
      <c r="B836" s="3" t="s">
        <v>1701</v>
      </c>
    </row>
    <row r="837" spans="1:2" ht="63.75" x14ac:dyDescent="0.25">
      <c r="A837" s="3" t="s">
        <v>422</v>
      </c>
      <c r="B837" s="3" t="s">
        <v>2067</v>
      </c>
    </row>
    <row r="838" spans="1:2" ht="51" x14ac:dyDescent="0.25">
      <c r="A838" s="3" t="s">
        <v>1146</v>
      </c>
      <c r="B838" s="3" t="s">
        <v>1701</v>
      </c>
    </row>
    <row r="839" spans="1:2" ht="25.5" x14ac:dyDescent="0.25">
      <c r="A839" s="3" t="s">
        <v>1253</v>
      </c>
      <c r="B839" s="3" t="s">
        <v>1800</v>
      </c>
    </row>
    <row r="840" spans="1:2" ht="63.75" x14ac:dyDescent="0.25">
      <c r="A840" s="3" t="s">
        <v>77</v>
      </c>
      <c r="B840" s="3" t="s">
        <v>1801</v>
      </c>
    </row>
    <row r="841" spans="1:2" ht="51" x14ac:dyDescent="0.25">
      <c r="A841" s="3" t="s">
        <v>1255</v>
      </c>
      <c r="B841" s="3" t="s">
        <v>1803</v>
      </c>
    </row>
    <row r="842" spans="1:2" ht="51" x14ac:dyDescent="0.25">
      <c r="A842" s="3" t="s">
        <v>1247</v>
      </c>
      <c r="B842" s="3" t="s">
        <v>1792</v>
      </c>
    </row>
    <row r="843" spans="1:2" ht="38.25" x14ac:dyDescent="0.25">
      <c r="A843" s="3" t="s">
        <v>1248</v>
      </c>
      <c r="B843" s="3" t="s">
        <v>1793</v>
      </c>
    </row>
    <row r="844" spans="1:2" ht="25.5" x14ac:dyDescent="0.25">
      <c r="A844" s="3" t="s">
        <v>1249</v>
      </c>
      <c r="B844" s="3" t="s">
        <v>1794</v>
      </c>
    </row>
    <row r="845" spans="1:2" ht="25.5" x14ac:dyDescent="0.25">
      <c r="A845" s="3" t="s">
        <v>1254</v>
      </c>
      <c r="B845" s="3" t="s">
        <v>1802</v>
      </c>
    </row>
    <row r="846" spans="1:2" ht="63.75" x14ac:dyDescent="0.25">
      <c r="A846" s="3" t="s">
        <v>1242</v>
      </c>
      <c r="B846" s="3" t="s">
        <v>1786</v>
      </c>
    </row>
    <row r="847" spans="1:2" ht="76.5" x14ac:dyDescent="0.25">
      <c r="A847" s="3" t="s">
        <v>72</v>
      </c>
      <c r="B847" s="3" t="s">
        <v>1787</v>
      </c>
    </row>
    <row r="848" spans="1:2" ht="51" x14ac:dyDescent="0.25">
      <c r="A848" s="3" t="s">
        <v>1245</v>
      </c>
      <c r="B848" s="3" t="s">
        <v>1790</v>
      </c>
    </row>
    <row r="849" spans="1:2" ht="63.75" x14ac:dyDescent="0.25">
      <c r="A849" s="3" t="s">
        <v>1246</v>
      </c>
      <c r="B849" s="3" t="s">
        <v>1791</v>
      </c>
    </row>
    <row r="850" spans="1:2" ht="51" x14ac:dyDescent="0.25">
      <c r="A850" s="3" t="s">
        <v>1556</v>
      </c>
      <c r="B850" s="3" t="s">
        <v>2060</v>
      </c>
    </row>
    <row r="851" spans="1:2" ht="76.5" x14ac:dyDescent="0.25">
      <c r="A851" s="3" t="s">
        <v>1244</v>
      </c>
      <c r="B851" s="3" t="s">
        <v>1789</v>
      </c>
    </row>
    <row r="852" spans="1:2" ht="38.25" x14ac:dyDescent="0.25">
      <c r="A852" s="3" t="s">
        <v>1251</v>
      </c>
      <c r="B852" s="3" t="s">
        <v>1796</v>
      </c>
    </row>
    <row r="853" spans="1:2" ht="38.25" x14ac:dyDescent="0.25">
      <c r="A853" s="3" t="s">
        <v>1243</v>
      </c>
      <c r="B853" s="3" t="s">
        <v>1788</v>
      </c>
    </row>
    <row r="854" spans="1:2" ht="63.75" x14ac:dyDescent="0.25">
      <c r="A854" s="3" t="s">
        <v>1250</v>
      </c>
      <c r="B854" s="3" t="s">
        <v>1795</v>
      </c>
    </row>
    <row r="855" spans="1:2" ht="51" x14ac:dyDescent="0.25">
      <c r="A855" s="3" t="s">
        <v>1356</v>
      </c>
      <c r="B855" s="3" t="s">
        <v>1885</v>
      </c>
    </row>
    <row r="856" spans="1:2" ht="63.75" x14ac:dyDescent="0.25">
      <c r="A856" s="3" t="s">
        <v>75</v>
      </c>
      <c r="B856" s="3" t="s">
        <v>1798</v>
      </c>
    </row>
    <row r="857" spans="1:2" ht="25.5" x14ac:dyDescent="0.25">
      <c r="A857" s="3" t="s">
        <v>1176</v>
      </c>
      <c r="B857" s="3" t="s">
        <v>1728</v>
      </c>
    </row>
    <row r="858" spans="1:2" ht="51" x14ac:dyDescent="0.25">
      <c r="A858" s="3" t="s">
        <v>382</v>
      </c>
      <c r="B858" s="3" t="s">
        <v>2022</v>
      </c>
    </row>
    <row r="859" spans="1:2" ht="38.25" x14ac:dyDescent="0.25">
      <c r="A859" s="3" t="s">
        <v>1252</v>
      </c>
      <c r="B859" s="3" t="s">
        <v>1799</v>
      </c>
    </row>
    <row r="860" spans="1:2" ht="25.5" x14ac:dyDescent="0.25">
      <c r="A860" s="3" t="s">
        <v>74</v>
      </c>
      <c r="B860" s="3" t="s">
        <v>1797</v>
      </c>
    </row>
    <row r="861" spans="1:2" ht="51" x14ac:dyDescent="0.25">
      <c r="A861" s="3" t="s">
        <v>1256</v>
      </c>
      <c r="B861" s="3" t="s">
        <v>1805</v>
      </c>
    </row>
    <row r="862" spans="1:2" ht="51" x14ac:dyDescent="0.25">
      <c r="A862" s="3" t="s">
        <v>1146</v>
      </c>
      <c r="B862" s="3" t="s">
        <v>1701</v>
      </c>
    </row>
    <row r="863" spans="1:2" ht="63.75" x14ac:dyDescent="0.25">
      <c r="A863" s="3" t="s">
        <v>422</v>
      </c>
      <c r="B863" s="3" t="s">
        <v>2067</v>
      </c>
    </row>
    <row r="864" spans="1:2" ht="51" x14ac:dyDescent="0.25">
      <c r="A864" s="3" t="s">
        <v>1146</v>
      </c>
      <c r="B864" s="3" t="s">
        <v>1701</v>
      </c>
    </row>
    <row r="865" spans="1:2" ht="25.5" x14ac:dyDescent="0.25">
      <c r="A865" s="3" t="s">
        <v>1253</v>
      </c>
      <c r="B865" s="3" t="s">
        <v>1800</v>
      </c>
    </row>
    <row r="866" spans="1:2" ht="63.75" x14ac:dyDescent="0.25">
      <c r="A866" s="3" t="s">
        <v>77</v>
      </c>
      <c r="B866" s="3" t="s">
        <v>1801</v>
      </c>
    </row>
    <row r="867" spans="1:2" ht="51" x14ac:dyDescent="0.25">
      <c r="A867" s="3" t="s">
        <v>1255</v>
      </c>
      <c r="B867" s="3" t="s">
        <v>1803</v>
      </c>
    </row>
    <row r="868" spans="1:2" ht="51" x14ac:dyDescent="0.25">
      <c r="A868" s="3" t="s">
        <v>1247</v>
      </c>
      <c r="B868" s="3" t="s">
        <v>1792</v>
      </c>
    </row>
    <row r="869" spans="1:2" ht="38.25" x14ac:dyDescent="0.25">
      <c r="A869" s="3" t="s">
        <v>1248</v>
      </c>
      <c r="B869" s="3" t="s">
        <v>1793</v>
      </c>
    </row>
    <row r="870" spans="1:2" ht="25.5" x14ac:dyDescent="0.25">
      <c r="A870" s="3" t="s">
        <v>1249</v>
      </c>
      <c r="B870" s="3" t="s">
        <v>1794</v>
      </c>
    </row>
    <row r="871" spans="1:2" ht="25.5" x14ac:dyDescent="0.25">
      <c r="A871" s="3" t="s">
        <v>1254</v>
      </c>
      <c r="B871" s="3" t="s">
        <v>1802</v>
      </c>
    </row>
    <row r="872" spans="1:2" ht="63.75" x14ac:dyDescent="0.25">
      <c r="A872" s="3" t="s">
        <v>1242</v>
      </c>
      <c r="B872" s="3" t="s">
        <v>1786</v>
      </c>
    </row>
    <row r="873" spans="1:2" ht="76.5" x14ac:dyDescent="0.25">
      <c r="A873" s="3" t="s">
        <v>72</v>
      </c>
      <c r="B873" s="3" t="s">
        <v>1787</v>
      </c>
    </row>
    <row r="874" spans="1:2" ht="51" x14ac:dyDescent="0.25">
      <c r="A874" s="3" t="s">
        <v>1245</v>
      </c>
      <c r="B874" s="3" t="s">
        <v>1790</v>
      </c>
    </row>
    <row r="875" spans="1:2" ht="63.75" x14ac:dyDescent="0.25">
      <c r="A875" s="3" t="s">
        <v>1246</v>
      </c>
      <c r="B875" s="3" t="s">
        <v>1791</v>
      </c>
    </row>
    <row r="876" spans="1:2" ht="51" x14ac:dyDescent="0.25">
      <c r="A876" s="3" t="s">
        <v>1556</v>
      </c>
      <c r="B876" s="3" t="s">
        <v>2060</v>
      </c>
    </row>
    <row r="877" spans="1:2" ht="76.5" x14ac:dyDescent="0.25">
      <c r="A877" s="3" t="s">
        <v>1244</v>
      </c>
      <c r="B877" s="3" t="s">
        <v>1789</v>
      </c>
    </row>
    <row r="878" spans="1:2" ht="38.25" x14ac:dyDescent="0.25">
      <c r="A878" s="3" t="s">
        <v>1251</v>
      </c>
      <c r="B878" s="3" t="s">
        <v>1796</v>
      </c>
    </row>
    <row r="879" spans="1:2" ht="38.25" x14ac:dyDescent="0.25">
      <c r="A879" s="3" t="s">
        <v>1243</v>
      </c>
      <c r="B879" s="3" t="s">
        <v>1788</v>
      </c>
    </row>
    <row r="880" spans="1:2" ht="63.75" x14ac:dyDescent="0.25">
      <c r="A880" s="3" t="s">
        <v>1250</v>
      </c>
      <c r="B880" s="3" t="s">
        <v>1795</v>
      </c>
    </row>
    <row r="881" spans="1:2" ht="76.5" x14ac:dyDescent="0.25">
      <c r="A881" s="3" t="s">
        <v>80</v>
      </c>
      <c r="B881" s="3" t="s">
        <v>1804</v>
      </c>
    </row>
    <row r="882" spans="1:2" ht="63.75" x14ac:dyDescent="0.25">
      <c r="A882" s="3" t="s">
        <v>75</v>
      </c>
      <c r="B882" s="3" t="s">
        <v>1798</v>
      </c>
    </row>
    <row r="883" spans="1:2" ht="25.5" x14ac:dyDescent="0.25">
      <c r="A883" s="3" t="s">
        <v>1176</v>
      </c>
      <c r="B883" s="3" t="s">
        <v>1728</v>
      </c>
    </row>
    <row r="884" spans="1:2" ht="51" x14ac:dyDescent="0.25">
      <c r="A884" s="3" t="s">
        <v>382</v>
      </c>
      <c r="B884" s="3" t="s">
        <v>2022</v>
      </c>
    </row>
    <row r="885" spans="1:2" ht="38.25" x14ac:dyDescent="0.25">
      <c r="A885" s="3" t="s">
        <v>1252</v>
      </c>
      <c r="B885" s="3" t="s">
        <v>1799</v>
      </c>
    </row>
    <row r="886" spans="1:2" ht="25.5" x14ac:dyDescent="0.25">
      <c r="A886" s="3" t="s">
        <v>74</v>
      </c>
      <c r="B886" s="3" t="s">
        <v>1797</v>
      </c>
    </row>
    <row r="887" spans="1:2" ht="51" x14ac:dyDescent="0.25">
      <c r="A887" s="3" t="s">
        <v>1256</v>
      </c>
      <c r="B887" s="3" t="s">
        <v>1805</v>
      </c>
    </row>
    <row r="888" spans="1:2" ht="51" x14ac:dyDescent="0.25">
      <c r="A888" s="3" t="s">
        <v>1146</v>
      </c>
      <c r="B888" s="3" t="s">
        <v>1701</v>
      </c>
    </row>
    <row r="889" spans="1:2" ht="63.75" x14ac:dyDescent="0.25">
      <c r="A889" s="3" t="s">
        <v>422</v>
      </c>
      <c r="B889" s="3" t="s">
        <v>2067</v>
      </c>
    </row>
    <row r="890" spans="1:2" ht="51" x14ac:dyDescent="0.25">
      <c r="A890" s="3" t="s">
        <v>1146</v>
      </c>
      <c r="B890" s="3" t="s">
        <v>1701</v>
      </c>
    </row>
    <row r="891" spans="1:2" ht="25.5" x14ac:dyDescent="0.25">
      <c r="A891" s="3" t="s">
        <v>1253</v>
      </c>
      <c r="B891" s="3" t="s">
        <v>1800</v>
      </c>
    </row>
    <row r="892" spans="1:2" ht="63.75" x14ac:dyDescent="0.25">
      <c r="A892" s="3" t="s">
        <v>77</v>
      </c>
      <c r="B892" s="3" t="s">
        <v>1801</v>
      </c>
    </row>
    <row r="893" spans="1:2" ht="51" x14ac:dyDescent="0.25">
      <c r="A893" s="3" t="s">
        <v>1255</v>
      </c>
      <c r="B893" s="3" t="s">
        <v>1803</v>
      </c>
    </row>
    <row r="894" spans="1:2" ht="51" x14ac:dyDescent="0.25">
      <c r="A894" s="3" t="s">
        <v>1247</v>
      </c>
      <c r="B894" s="3" t="s">
        <v>1792</v>
      </c>
    </row>
    <row r="895" spans="1:2" ht="38.25" x14ac:dyDescent="0.25">
      <c r="A895" s="3" t="s">
        <v>1248</v>
      </c>
      <c r="B895" s="3" t="s">
        <v>1793</v>
      </c>
    </row>
    <row r="896" spans="1:2" ht="25.5" x14ac:dyDescent="0.25">
      <c r="A896" s="3" t="s">
        <v>1249</v>
      </c>
      <c r="B896" s="3" t="s">
        <v>1794</v>
      </c>
    </row>
    <row r="897" spans="1:2" ht="25.5" x14ac:dyDescent="0.25">
      <c r="A897" s="3" t="s">
        <v>1254</v>
      </c>
      <c r="B897" s="3" t="s">
        <v>1802</v>
      </c>
    </row>
    <row r="898" spans="1:2" ht="63.75" x14ac:dyDescent="0.25">
      <c r="A898" s="3" t="s">
        <v>1242</v>
      </c>
      <c r="B898" s="3" t="s">
        <v>1786</v>
      </c>
    </row>
    <row r="899" spans="1:2" ht="76.5" x14ac:dyDescent="0.25">
      <c r="A899" s="3" t="s">
        <v>72</v>
      </c>
      <c r="B899" s="3" t="s">
        <v>1787</v>
      </c>
    </row>
    <row r="900" spans="1:2" ht="51" x14ac:dyDescent="0.25">
      <c r="A900" s="3" t="s">
        <v>1245</v>
      </c>
      <c r="B900" s="3" t="s">
        <v>1790</v>
      </c>
    </row>
    <row r="901" spans="1:2" ht="63.75" x14ac:dyDescent="0.25">
      <c r="A901" s="3" t="s">
        <v>1246</v>
      </c>
      <c r="B901" s="3" t="s">
        <v>1791</v>
      </c>
    </row>
    <row r="902" spans="1:2" ht="51" x14ac:dyDescent="0.25">
      <c r="A902" s="3" t="s">
        <v>1556</v>
      </c>
      <c r="B902" s="3" t="s">
        <v>2060</v>
      </c>
    </row>
    <row r="903" spans="1:2" ht="76.5" x14ac:dyDescent="0.25">
      <c r="A903" s="3" t="s">
        <v>1244</v>
      </c>
      <c r="B903" s="3" t="s">
        <v>1789</v>
      </c>
    </row>
    <row r="904" spans="1:2" ht="38.25" x14ac:dyDescent="0.25">
      <c r="A904" s="3" t="s">
        <v>1251</v>
      </c>
      <c r="B904" s="3" t="s">
        <v>1796</v>
      </c>
    </row>
    <row r="905" spans="1:2" ht="38.25" x14ac:dyDescent="0.25">
      <c r="A905" s="3" t="s">
        <v>1243</v>
      </c>
      <c r="B905" s="3" t="s">
        <v>1788</v>
      </c>
    </row>
    <row r="906" spans="1:2" ht="63.75" x14ac:dyDescent="0.25">
      <c r="A906" s="3" t="s">
        <v>1250</v>
      </c>
      <c r="B906" s="3" t="s">
        <v>1795</v>
      </c>
    </row>
    <row r="907" spans="1:2" ht="51" x14ac:dyDescent="0.25">
      <c r="A907" s="3" t="s">
        <v>1356</v>
      </c>
      <c r="B907" s="3" t="s">
        <v>1885</v>
      </c>
    </row>
    <row r="908" spans="1:2" ht="63.75" x14ac:dyDescent="0.25">
      <c r="A908" s="3" t="s">
        <v>75</v>
      </c>
      <c r="B908" s="3" t="s">
        <v>1798</v>
      </c>
    </row>
    <row r="909" spans="1:2" ht="25.5" x14ac:dyDescent="0.25">
      <c r="A909" s="3" t="s">
        <v>1176</v>
      </c>
      <c r="B909" s="3" t="s">
        <v>1728</v>
      </c>
    </row>
    <row r="910" spans="1:2" ht="51" x14ac:dyDescent="0.25">
      <c r="A910" s="3" t="s">
        <v>382</v>
      </c>
      <c r="B910" s="3" t="s">
        <v>2022</v>
      </c>
    </row>
    <row r="911" spans="1:2" ht="38.25" x14ac:dyDescent="0.25">
      <c r="A911" s="3" t="s">
        <v>1252</v>
      </c>
      <c r="B911" s="3" t="s">
        <v>1799</v>
      </c>
    </row>
    <row r="912" spans="1:2" ht="25.5" x14ac:dyDescent="0.25">
      <c r="A912" s="3" t="s">
        <v>74</v>
      </c>
      <c r="B912" s="3" t="s">
        <v>1797</v>
      </c>
    </row>
    <row r="913" spans="1:2" ht="51" x14ac:dyDescent="0.25">
      <c r="A913" s="3" t="s">
        <v>1256</v>
      </c>
      <c r="B913" s="3" t="s">
        <v>1805</v>
      </c>
    </row>
    <row r="914" spans="1:2" ht="51" x14ac:dyDescent="0.25">
      <c r="A914" s="3" t="s">
        <v>1146</v>
      </c>
      <c r="B914" s="3" t="s">
        <v>1701</v>
      </c>
    </row>
    <row r="915" spans="1:2" ht="63.75" x14ac:dyDescent="0.25">
      <c r="A915" s="3" t="s">
        <v>422</v>
      </c>
      <c r="B915" s="3" t="s">
        <v>2067</v>
      </c>
    </row>
    <row r="916" spans="1:2" ht="51" x14ac:dyDescent="0.25">
      <c r="A916" s="3" t="s">
        <v>1146</v>
      </c>
      <c r="B916" s="3" t="s">
        <v>1701</v>
      </c>
    </row>
    <row r="917" spans="1:2" ht="25.5" x14ac:dyDescent="0.25">
      <c r="A917" s="3" t="s">
        <v>1253</v>
      </c>
      <c r="B917" s="3" t="s">
        <v>1800</v>
      </c>
    </row>
    <row r="918" spans="1:2" ht="63.75" x14ac:dyDescent="0.25">
      <c r="A918" s="3" t="s">
        <v>77</v>
      </c>
      <c r="B918" s="3" t="s">
        <v>1801</v>
      </c>
    </row>
    <row r="919" spans="1:2" ht="51" x14ac:dyDescent="0.25">
      <c r="A919" s="3" t="s">
        <v>1255</v>
      </c>
      <c r="B919" s="3" t="s">
        <v>1803</v>
      </c>
    </row>
    <row r="920" spans="1:2" ht="63.75" x14ac:dyDescent="0.25">
      <c r="A920" s="3" t="s">
        <v>1563</v>
      </c>
      <c r="B920" s="3" t="s">
        <v>2068</v>
      </c>
    </row>
    <row r="921" spans="1:2" ht="25.5" x14ac:dyDescent="0.25">
      <c r="A921" s="3" t="s">
        <v>1249</v>
      </c>
      <c r="B921" s="3" t="s">
        <v>1794</v>
      </c>
    </row>
    <row r="922" spans="1:2" ht="38.25" x14ac:dyDescent="0.25">
      <c r="A922" s="3" t="s">
        <v>1248</v>
      </c>
      <c r="B922" s="3" t="s">
        <v>1793</v>
      </c>
    </row>
    <row r="923" spans="1:2" ht="51" x14ac:dyDescent="0.25">
      <c r="A923" s="3" t="s">
        <v>433</v>
      </c>
      <c r="B923" s="3" t="s">
        <v>2069</v>
      </c>
    </row>
    <row r="924" spans="1:2" ht="25.5" x14ac:dyDescent="0.25">
      <c r="A924" s="3" t="s">
        <v>1254</v>
      </c>
      <c r="B924" s="3" t="s">
        <v>1802</v>
      </c>
    </row>
    <row r="925" spans="1:2" ht="51" x14ac:dyDescent="0.25">
      <c r="A925" s="3" t="s">
        <v>1556</v>
      </c>
      <c r="B925" s="3" t="s">
        <v>2060</v>
      </c>
    </row>
    <row r="926" spans="1:2" ht="76.5" x14ac:dyDescent="0.25">
      <c r="A926" s="3" t="s">
        <v>72</v>
      </c>
      <c r="B926" s="3" t="s">
        <v>1787</v>
      </c>
    </row>
    <row r="927" spans="1:2" ht="63.75" x14ac:dyDescent="0.25">
      <c r="A927" s="3" t="s">
        <v>1242</v>
      </c>
      <c r="B927" s="3" t="s">
        <v>1786</v>
      </c>
    </row>
    <row r="928" spans="1:2" ht="51" x14ac:dyDescent="0.25">
      <c r="A928" s="3" t="s">
        <v>1356</v>
      </c>
      <c r="B928" s="3" t="s">
        <v>1885</v>
      </c>
    </row>
    <row r="929" spans="1:2" ht="63.75" x14ac:dyDescent="0.25">
      <c r="A929" s="3" t="s">
        <v>1246</v>
      </c>
      <c r="B929" s="3" t="s">
        <v>1791</v>
      </c>
    </row>
    <row r="930" spans="1:2" ht="76.5" x14ac:dyDescent="0.25">
      <c r="A930" s="3" t="s">
        <v>1244</v>
      </c>
      <c r="B930" s="3" t="s">
        <v>1789</v>
      </c>
    </row>
    <row r="931" spans="1:2" ht="63.75" x14ac:dyDescent="0.25">
      <c r="A931" s="3" t="s">
        <v>1250</v>
      </c>
      <c r="B931" s="3" t="s">
        <v>1795</v>
      </c>
    </row>
    <row r="932" spans="1:2" ht="38.25" x14ac:dyDescent="0.25">
      <c r="A932" s="3" t="s">
        <v>1251</v>
      </c>
      <c r="B932" s="3" t="s">
        <v>1796</v>
      </c>
    </row>
    <row r="933" spans="1:2" ht="25.5" x14ac:dyDescent="0.25">
      <c r="A933" s="3" t="s">
        <v>1253</v>
      </c>
      <c r="B933" s="3" t="s">
        <v>1800</v>
      </c>
    </row>
    <row r="934" spans="1:2" ht="51" x14ac:dyDescent="0.25">
      <c r="A934" s="3" t="s">
        <v>382</v>
      </c>
      <c r="B934" s="3" t="s">
        <v>2022</v>
      </c>
    </row>
    <row r="935" spans="1:2" ht="51" x14ac:dyDescent="0.25">
      <c r="A935" s="3" t="s">
        <v>1564</v>
      </c>
      <c r="B935" s="3" t="s">
        <v>2070</v>
      </c>
    </row>
    <row r="936" spans="1:2" ht="38.25" x14ac:dyDescent="0.25">
      <c r="A936" s="3" t="s">
        <v>1252</v>
      </c>
      <c r="B936" s="3" t="s">
        <v>1799</v>
      </c>
    </row>
    <row r="937" spans="1:2" ht="25.5" x14ac:dyDescent="0.25">
      <c r="A937" s="3" t="s">
        <v>1176</v>
      </c>
      <c r="B937" s="3" t="s">
        <v>1728</v>
      </c>
    </row>
    <row r="938" spans="1:2" ht="38.25" x14ac:dyDescent="0.25">
      <c r="A938" s="3" t="s">
        <v>1171</v>
      </c>
      <c r="B938" s="3" t="s">
        <v>1723</v>
      </c>
    </row>
    <row r="939" spans="1:2" ht="25.5" x14ac:dyDescent="0.25">
      <c r="A939" s="3" t="s">
        <v>74</v>
      </c>
      <c r="B939" s="3" t="s">
        <v>1797</v>
      </c>
    </row>
    <row r="940" spans="1:2" ht="63.75" x14ac:dyDescent="0.25">
      <c r="A940" s="3" t="s">
        <v>75</v>
      </c>
      <c r="B940" s="3" t="s">
        <v>1798</v>
      </c>
    </row>
    <row r="941" spans="1:2" ht="51" x14ac:dyDescent="0.25">
      <c r="A941" s="3" t="s">
        <v>1146</v>
      </c>
      <c r="B941" s="3" t="s">
        <v>1701</v>
      </c>
    </row>
    <row r="942" spans="1:2" ht="51" x14ac:dyDescent="0.25">
      <c r="A942" s="3" t="s">
        <v>1255</v>
      </c>
      <c r="B942" s="3" t="s">
        <v>1803</v>
      </c>
    </row>
    <row r="943" spans="1:2" ht="51" x14ac:dyDescent="0.25">
      <c r="A943" s="3" t="s">
        <v>435</v>
      </c>
      <c r="B943" s="3" t="s">
        <v>2071</v>
      </c>
    </row>
    <row r="944" spans="1:2" ht="63.75" x14ac:dyDescent="0.25">
      <c r="A944" s="3" t="s">
        <v>437</v>
      </c>
      <c r="B944" s="3" t="s">
        <v>2072</v>
      </c>
    </row>
    <row r="945" spans="1:2" ht="76.5" x14ac:dyDescent="0.25">
      <c r="A945" s="3" t="s">
        <v>438</v>
      </c>
      <c r="B945" s="3" t="s">
        <v>2073</v>
      </c>
    </row>
    <row r="946" spans="1:2" ht="76.5" x14ac:dyDescent="0.25">
      <c r="A946" s="3" t="s">
        <v>439</v>
      </c>
      <c r="B946" s="3" t="s">
        <v>2074</v>
      </c>
    </row>
    <row r="947" spans="1:2" ht="38.25" x14ac:dyDescent="0.25">
      <c r="A947" s="3" t="s">
        <v>1436</v>
      </c>
      <c r="B947" s="3" t="s">
        <v>1945</v>
      </c>
    </row>
    <row r="948" spans="1:2" ht="51" x14ac:dyDescent="0.25">
      <c r="A948" s="3" t="s">
        <v>206</v>
      </c>
      <c r="B948" s="3" t="s">
        <v>1944</v>
      </c>
    </row>
    <row r="949" spans="1:2" ht="76.5" x14ac:dyDescent="0.25">
      <c r="A949" s="3" t="s">
        <v>441</v>
      </c>
      <c r="B949" s="3" t="s">
        <v>2075</v>
      </c>
    </row>
    <row r="950" spans="1:2" ht="89.25" x14ac:dyDescent="0.25">
      <c r="A950" s="3" t="s">
        <v>442</v>
      </c>
      <c r="B950" s="3" t="s">
        <v>2076</v>
      </c>
    </row>
    <row r="951" spans="1:2" ht="89.25" x14ac:dyDescent="0.25">
      <c r="A951" s="3" t="s">
        <v>443</v>
      </c>
      <c r="B951" s="3" t="s">
        <v>2077</v>
      </c>
    </row>
    <row r="952" spans="1:2" ht="51" x14ac:dyDescent="0.25">
      <c r="A952" s="3" t="s">
        <v>206</v>
      </c>
      <c r="B952" s="3" t="s">
        <v>1944</v>
      </c>
    </row>
    <row r="953" spans="1:2" ht="38.25" x14ac:dyDescent="0.25">
      <c r="A953" s="3" t="s">
        <v>1436</v>
      </c>
      <c r="B953" s="3" t="s">
        <v>1945</v>
      </c>
    </row>
    <row r="954" spans="1:2" ht="38.25" x14ac:dyDescent="0.25">
      <c r="A954" s="3" t="s">
        <v>1185</v>
      </c>
      <c r="B954" s="3" t="s">
        <v>1734</v>
      </c>
    </row>
    <row r="955" spans="1:2" ht="51" x14ac:dyDescent="0.25">
      <c r="A955" s="3" t="s">
        <v>1199</v>
      </c>
      <c r="B955" s="3" t="s">
        <v>1747</v>
      </c>
    </row>
    <row r="956" spans="1:2" ht="51" x14ac:dyDescent="0.25">
      <c r="A956" s="3" t="s">
        <v>444</v>
      </c>
      <c r="B956" s="3" t="s">
        <v>2078</v>
      </c>
    </row>
    <row r="957" spans="1:2" ht="25.5" x14ac:dyDescent="0.25">
      <c r="A957" s="3" t="s">
        <v>1195</v>
      </c>
      <c r="B957" s="3" t="s">
        <v>1744</v>
      </c>
    </row>
    <row r="958" spans="1:2" ht="51" x14ac:dyDescent="0.25">
      <c r="A958" s="3" t="s">
        <v>1180</v>
      </c>
      <c r="B958" s="3" t="s">
        <v>1731</v>
      </c>
    </row>
    <row r="959" spans="1:2" ht="25.5" x14ac:dyDescent="0.25">
      <c r="A959" s="3" t="s">
        <v>1194</v>
      </c>
      <c r="B959" s="3" t="s">
        <v>1743</v>
      </c>
    </row>
    <row r="960" spans="1:2" ht="25.5" x14ac:dyDescent="0.25">
      <c r="A960" s="3" t="s">
        <v>1194</v>
      </c>
      <c r="B960" s="3" t="s">
        <v>1743</v>
      </c>
    </row>
    <row r="961" spans="1:2" ht="38.25" x14ac:dyDescent="0.25">
      <c r="A961" s="3" t="s">
        <v>1192</v>
      </c>
      <c r="B961" s="3" t="s">
        <v>1741</v>
      </c>
    </row>
    <row r="962" spans="1:2" ht="51" x14ac:dyDescent="0.25">
      <c r="A962" s="3" t="s">
        <v>1187</v>
      </c>
      <c r="B962" s="3" t="s">
        <v>1736</v>
      </c>
    </row>
    <row r="963" spans="1:2" ht="51" x14ac:dyDescent="0.25">
      <c r="A963" s="3" t="s">
        <v>1222</v>
      </c>
      <c r="B963" s="3" t="s">
        <v>1770</v>
      </c>
    </row>
    <row r="964" spans="1:2" ht="38.25" x14ac:dyDescent="0.25">
      <c r="A964" s="3" t="s">
        <v>1189</v>
      </c>
      <c r="B964" s="3" t="s">
        <v>1738</v>
      </c>
    </row>
    <row r="965" spans="1:2" ht="63.75" x14ac:dyDescent="0.25">
      <c r="A965" s="3" t="s">
        <v>1216</v>
      </c>
      <c r="B965" s="3" t="s">
        <v>1764</v>
      </c>
    </row>
    <row r="966" spans="1:2" ht="38.25" x14ac:dyDescent="0.25">
      <c r="A966" s="3" t="s">
        <v>1212</v>
      </c>
      <c r="B966" s="3" t="s">
        <v>1760</v>
      </c>
    </row>
    <row r="967" spans="1:2" ht="38.25" x14ac:dyDescent="0.25">
      <c r="A967" s="3" t="s">
        <v>1309</v>
      </c>
      <c r="B967" s="3" t="s">
        <v>1851</v>
      </c>
    </row>
    <row r="968" spans="1:2" ht="76.5" x14ac:dyDescent="0.25">
      <c r="A968" s="3" t="s">
        <v>1215</v>
      </c>
      <c r="B968" s="3" t="s">
        <v>1763</v>
      </c>
    </row>
    <row r="969" spans="1:2" ht="38.25" x14ac:dyDescent="0.25">
      <c r="A969" s="3" t="s">
        <v>1152</v>
      </c>
      <c r="B969" s="3" t="s">
        <v>1706</v>
      </c>
    </row>
    <row r="970" spans="1:2" ht="38.25" x14ac:dyDescent="0.25">
      <c r="A970" s="3" t="s">
        <v>1185</v>
      </c>
      <c r="B970" s="3" t="s">
        <v>1734</v>
      </c>
    </row>
    <row r="971" spans="1:2" ht="38.25" x14ac:dyDescent="0.25">
      <c r="A971" s="3" t="s">
        <v>1181</v>
      </c>
      <c r="B971" s="3" t="s">
        <v>1732</v>
      </c>
    </row>
    <row r="972" spans="1:2" ht="63.75" x14ac:dyDescent="0.25">
      <c r="A972" s="3" t="s">
        <v>1183</v>
      </c>
      <c r="B972" s="3" t="s">
        <v>1733</v>
      </c>
    </row>
    <row r="973" spans="1:2" ht="51" x14ac:dyDescent="0.25">
      <c r="A973" s="3" t="s">
        <v>1187</v>
      </c>
      <c r="B973" s="3" t="s">
        <v>1736</v>
      </c>
    </row>
    <row r="974" spans="1:2" ht="25.5" x14ac:dyDescent="0.25">
      <c r="A974" s="3" t="s">
        <v>1195</v>
      </c>
      <c r="B974" s="3" t="s">
        <v>1744</v>
      </c>
    </row>
    <row r="975" spans="1:2" ht="38.25" x14ac:dyDescent="0.25">
      <c r="A975" s="3" t="s">
        <v>1192</v>
      </c>
      <c r="B975" s="3" t="s">
        <v>1741</v>
      </c>
    </row>
    <row r="976" spans="1:2" ht="51" x14ac:dyDescent="0.25">
      <c r="A976" s="3" t="s">
        <v>1180</v>
      </c>
      <c r="B976" s="3" t="s">
        <v>1731</v>
      </c>
    </row>
    <row r="977" spans="1:2" ht="38.25" x14ac:dyDescent="0.25">
      <c r="A977" s="3" t="s">
        <v>1189</v>
      </c>
      <c r="B977" s="3" t="s">
        <v>1738</v>
      </c>
    </row>
    <row r="978" spans="1:2" ht="38.25" x14ac:dyDescent="0.25">
      <c r="A978" s="3" t="s">
        <v>1190</v>
      </c>
      <c r="B978" s="3" t="s">
        <v>1739</v>
      </c>
    </row>
    <row r="979" spans="1:2" ht="25.5" x14ac:dyDescent="0.25">
      <c r="A979" s="3" t="s">
        <v>1179</v>
      </c>
      <c r="B979" s="3" t="s">
        <v>1730</v>
      </c>
    </row>
    <row r="980" spans="1:2" ht="25.5" x14ac:dyDescent="0.25">
      <c r="A980" s="3" t="s">
        <v>1194</v>
      </c>
      <c r="B980" s="3" t="s">
        <v>1743</v>
      </c>
    </row>
    <row r="981" spans="1:2" ht="51" x14ac:dyDescent="0.25">
      <c r="A981" s="3" t="s">
        <v>1186</v>
      </c>
      <c r="B981" s="3" t="s">
        <v>1735</v>
      </c>
    </row>
    <row r="982" spans="1:2" ht="63.75" x14ac:dyDescent="0.25">
      <c r="A982" s="3" t="s">
        <v>1193</v>
      </c>
      <c r="B982" s="3" t="s">
        <v>1742</v>
      </c>
    </row>
    <row r="983" spans="1:2" ht="51" x14ac:dyDescent="0.25">
      <c r="A983" s="3" t="s">
        <v>1188</v>
      </c>
      <c r="B983" s="3" t="s">
        <v>1737</v>
      </c>
    </row>
    <row r="984" spans="1:2" ht="38.25" x14ac:dyDescent="0.25">
      <c r="A984" s="3" t="s">
        <v>1165</v>
      </c>
      <c r="B984" s="3" t="s">
        <v>1717</v>
      </c>
    </row>
    <row r="985" spans="1:2" ht="38.25" x14ac:dyDescent="0.25">
      <c r="A985" s="3" t="s">
        <v>1197</v>
      </c>
      <c r="B985" s="3" t="s">
        <v>1745</v>
      </c>
    </row>
    <row r="986" spans="1:2" ht="38.25" x14ac:dyDescent="0.25">
      <c r="A986" s="3" t="s">
        <v>1198</v>
      </c>
      <c r="B986" s="3" t="s">
        <v>1746</v>
      </c>
    </row>
    <row r="987" spans="1:2" ht="51" x14ac:dyDescent="0.25">
      <c r="A987" s="3" t="s">
        <v>1199</v>
      </c>
      <c r="B987" s="3" t="s">
        <v>1747</v>
      </c>
    </row>
    <row r="988" spans="1:2" ht="25.5" x14ac:dyDescent="0.25">
      <c r="A988" s="3" t="s">
        <v>1195</v>
      </c>
      <c r="B988" s="3" t="s">
        <v>1744</v>
      </c>
    </row>
    <row r="989" spans="1:2" ht="89.25" x14ac:dyDescent="0.25">
      <c r="A989" s="3" t="s">
        <v>1200</v>
      </c>
      <c r="B989" s="3" t="s">
        <v>1748</v>
      </c>
    </row>
    <row r="990" spans="1:2" ht="51" x14ac:dyDescent="0.25">
      <c r="A990" s="3" t="s">
        <v>1180</v>
      </c>
      <c r="B990" s="3" t="s">
        <v>1731</v>
      </c>
    </row>
    <row r="991" spans="1:2" ht="51" x14ac:dyDescent="0.25">
      <c r="A991" s="3" t="s">
        <v>1201</v>
      </c>
      <c r="B991" s="3" t="s">
        <v>1749</v>
      </c>
    </row>
    <row r="992" spans="1:2" ht="63.75" x14ac:dyDescent="0.25">
      <c r="A992" s="3" t="s">
        <v>1193</v>
      </c>
      <c r="B992" s="3" t="s">
        <v>1742</v>
      </c>
    </row>
    <row r="993" spans="1:2" ht="38.25" x14ac:dyDescent="0.25">
      <c r="A993" s="3" t="s">
        <v>1202</v>
      </c>
      <c r="B993" s="3" t="s">
        <v>1750</v>
      </c>
    </row>
    <row r="994" spans="1:2" ht="51" x14ac:dyDescent="0.25">
      <c r="A994" s="3" t="s">
        <v>1203</v>
      </c>
      <c r="B994" s="3" t="s">
        <v>1751</v>
      </c>
    </row>
    <row r="995" spans="1:2" ht="38.25" x14ac:dyDescent="0.25">
      <c r="A995" s="3" t="s">
        <v>1204</v>
      </c>
      <c r="B995" s="3" t="s">
        <v>1752</v>
      </c>
    </row>
    <row r="996" spans="1:2" ht="38.25" x14ac:dyDescent="0.25">
      <c r="A996" s="3" t="s">
        <v>1205</v>
      </c>
      <c r="B996" s="3" t="s">
        <v>1753</v>
      </c>
    </row>
    <row r="997" spans="1:2" ht="51" x14ac:dyDescent="0.25">
      <c r="A997" s="3" t="s">
        <v>1206</v>
      </c>
      <c r="B997" s="3" t="s">
        <v>1754</v>
      </c>
    </row>
    <row r="998" spans="1:2" ht="38.25" x14ac:dyDescent="0.25">
      <c r="A998" s="3" t="s">
        <v>35</v>
      </c>
      <c r="B998" s="3" t="s">
        <v>1755</v>
      </c>
    </row>
    <row r="999" spans="1:2" ht="38.25" x14ac:dyDescent="0.25">
      <c r="A999" s="3" t="s">
        <v>1207</v>
      </c>
      <c r="B999" s="3" t="s">
        <v>1756</v>
      </c>
    </row>
    <row r="1000" spans="1:2" ht="25.5" x14ac:dyDescent="0.25">
      <c r="A1000" s="3" t="s">
        <v>1194</v>
      </c>
      <c r="B1000" s="3" t="s">
        <v>1743</v>
      </c>
    </row>
    <row r="1001" spans="1:2" ht="51" x14ac:dyDescent="0.25">
      <c r="A1001" s="3" t="s">
        <v>1208</v>
      </c>
      <c r="B1001" s="3" t="s">
        <v>1757</v>
      </c>
    </row>
    <row r="1002" spans="1:2" ht="51" x14ac:dyDescent="0.25">
      <c r="A1002" s="3" t="s">
        <v>1151</v>
      </c>
      <c r="B1002" s="3" t="s">
        <v>1705</v>
      </c>
    </row>
    <row r="1003" spans="1:2" ht="25.5" x14ac:dyDescent="0.25">
      <c r="A1003" s="3" t="s">
        <v>1145</v>
      </c>
      <c r="B1003" s="3" t="s">
        <v>1700</v>
      </c>
    </row>
    <row r="1004" spans="1:2" ht="51" x14ac:dyDescent="0.25">
      <c r="A1004" s="3" t="s">
        <v>1147</v>
      </c>
      <c r="B1004" s="3" t="s">
        <v>1702</v>
      </c>
    </row>
    <row r="1005" spans="1:2" ht="38.25" x14ac:dyDescent="0.25">
      <c r="A1005" s="3" t="s">
        <v>1158</v>
      </c>
      <c r="B1005" s="3" t="s">
        <v>1712</v>
      </c>
    </row>
    <row r="1006" spans="1:2" ht="51" x14ac:dyDescent="0.25">
      <c r="A1006" s="3" t="s">
        <v>1157</v>
      </c>
      <c r="B1006" s="3" t="s">
        <v>1711</v>
      </c>
    </row>
    <row r="1007" spans="1:2" ht="63.75" x14ac:dyDescent="0.25">
      <c r="A1007" s="3" t="s">
        <v>1159</v>
      </c>
      <c r="B1007" s="3" t="s">
        <v>1713</v>
      </c>
    </row>
    <row r="1008" spans="1:2" ht="38.25" x14ac:dyDescent="0.25">
      <c r="A1008" s="3" t="s">
        <v>1148</v>
      </c>
      <c r="B1008" s="3" t="s">
        <v>1703</v>
      </c>
    </row>
    <row r="1009" spans="1:2" ht="25.5" x14ac:dyDescent="0.25">
      <c r="A1009" s="3" t="s">
        <v>1160</v>
      </c>
      <c r="B1009" s="3" t="s">
        <v>1714</v>
      </c>
    </row>
    <row r="1010" spans="1:2" ht="63.75" x14ac:dyDescent="0.25">
      <c r="A1010" s="3" t="s">
        <v>1161</v>
      </c>
      <c r="B1010" s="3" t="s">
        <v>1715</v>
      </c>
    </row>
    <row r="1011" spans="1:2" ht="51" x14ac:dyDescent="0.25">
      <c r="A1011" s="3" t="s">
        <v>1144</v>
      </c>
      <c r="B1011" s="3" t="s">
        <v>1699</v>
      </c>
    </row>
    <row r="1012" spans="1:2" ht="63.75" x14ac:dyDescent="0.25">
      <c r="A1012" s="3" t="s">
        <v>1156</v>
      </c>
      <c r="B1012" s="3" t="s">
        <v>1710</v>
      </c>
    </row>
    <row r="1013" spans="1:2" ht="38.25" x14ac:dyDescent="0.25">
      <c r="A1013" s="3" t="s">
        <v>1152</v>
      </c>
      <c r="B1013" s="3" t="s">
        <v>1706</v>
      </c>
    </row>
    <row r="1014" spans="1:2" ht="38.25" x14ac:dyDescent="0.25">
      <c r="A1014" s="3" t="s">
        <v>1153</v>
      </c>
      <c r="B1014" s="3" t="s">
        <v>1707</v>
      </c>
    </row>
    <row r="1015" spans="1:2" ht="51" x14ac:dyDescent="0.25">
      <c r="A1015" s="3" t="s">
        <v>1146</v>
      </c>
      <c r="B1015" s="3" t="s">
        <v>1701</v>
      </c>
    </row>
    <row r="1016" spans="1:2" ht="76.5" x14ac:dyDescent="0.25">
      <c r="A1016" s="3" t="s">
        <v>1155</v>
      </c>
      <c r="B1016" s="3" t="s">
        <v>1709</v>
      </c>
    </row>
    <row r="1017" spans="1:2" ht="51" x14ac:dyDescent="0.25">
      <c r="A1017" s="3" t="s">
        <v>1154</v>
      </c>
      <c r="B1017" s="3" t="s">
        <v>1708</v>
      </c>
    </row>
    <row r="1018" spans="1:2" ht="76.5" x14ac:dyDescent="0.25">
      <c r="A1018" s="3" t="s">
        <v>1221</v>
      </c>
      <c r="B1018" s="3" t="s">
        <v>1769</v>
      </c>
    </row>
    <row r="1019" spans="1:2" ht="51" x14ac:dyDescent="0.25">
      <c r="A1019" s="3" t="s">
        <v>1219</v>
      </c>
      <c r="B1019" s="3" t="s">
        <v>1767</v>
      </c>
    </row>
    <row r="1020" spans="1:2" ht="51" x14ac:dyDescent="0.25">
      <c r="A1020" s="3" t="s">
        <v>1222</v>
      </c>
      <c r="B1020" s="3" t="s">
        <v>1770</v>
      </c>
    </row>
    <row r="1021" spans="1:2" ht="38.25" x14ac:dyDescent="0.25">
      <c r="A1021" s="3" t="s">
        <v>1218</v>
      </c>
      <c r="B1021" s="3" t="s">
        <v>1766</v>
      </c>
    </row>
    <row r="1022" spans="1:2" ht="76.5" x14ac:dyDescent="0.25">
      <c r="A1022" s="3" t="s">
        <v>1215</v>
      </c>
      <c r="B1022" s="3" t="s">
        <v>1763</v>
      </c>
    </row>
    <row r="1023" spans="1:2" ht="51" x14ac:dyDescent="0.25">
      <c r="A1023" s="3" t="s">
        <v>1180</v>
      </c>
      <c r="B1023" s="3" t="s">
        <v>1731</v>
      </c>
    </row>
    <row r="1024" spans="1:2" ht="38.25" x14ac:dyDescent="0.25">
      <c r="A1024" s="3" t="s">
        <v>1185</v>
      </c>
      <c r="B1024" s="3" t="s">
        <v>1734</v>
      </c>
    </row>
    <row r="1025" spans="1:2" ht="51" x14ac:dyDescent="0.25">
      <c r="A1025" s="3" t="s">
        <v>1217</v>
      </c>
      <c r="B1025" s="3" t="s">
        <v>1765</v>
      </c>
    </row>
    <row r="1026" spans="1:2" ht="51" x14ac:dyDescent="0.25">
      <c r="A1026" s="3" t="s">
        <v>1211</v>
      </c>
      <c r="B1026" s="3" t="s">
        <v>1759</v>
      </c>
    </row>
    <row r="1027" spans="1:2" ht="51" x14ac:dyDescent="0.25">
      <c r="A1027" s="3" t="s">
        <v>1187</v>
      </c>
      <c r="B1027" s="3" t="s">
        <v>1736</v>
      </c>
    </row>
    <row r="1028" spans="1:2" ht="38.25" x14ac:dyDescent="0.25">
      <c r="A1028" s="3" t="s">
        <v>1189</v>
      </c>
      <c r="B1028" s="3" t="s">
        <v>1738</v>
      </c>
    </row>
    <row r="1029" spans="1:2" ht="63.75" x14ac:dyDescent="0.25">
      <c r="A1029" s="3" t="s">
        <v>1214</v>
      </c>
      <c r="B1029" s="3" t="s">
        <v>1762</v>
      </c>
    </row>
    <row r="1030" spans="1:2" ht="38.25" x14ac:dyDescent="0.25">
      <c r="A1030" s="3" t="s">
        <v>1212</v>
      </c>
      <c r="B1030" s="3" t="s">
        <v>1760</v>
      </c>
    </row>
    <row r="1031" spans="1:2" ht="89.25" x14ac:dyDescent="0.25">
      <c r="A1031" s="3" t="s">
        <v>1200</v>
      </c>
      <c r="B1031" s="3" t="s">
        <v>1748</v>
      </c>
    </row>
    <row r="1032" spans="1:2" ht="25.5" x14ac:dyDescent="0.25">
      <c r="A1032" s="3" t="s">
        <v>1213</v>
      </c>
      <c r="B1032" s="3" t="s">
        <v>1761</v>
      </c>
    </row>
    <row r="1033" spans="1:2" ht="63.75" x14ac:dyDescent="0.25">
      <c r="A1033" s="3" t="s">
        <v>1216</v>
      </c>
      <c r="B1033" s="3" t="s">
        <v>1764</v>
      </c>
    </row>
    <row r="1034" spans="1:2" ht="38.25" x14ac:dyDescent="0.25">
      <c r="A1034" s="3" t="s">
        <v>1192</v>
      </c>
      <c r="B1034" s="3" t="s">
        <v>1741</v>
      </c>
    </row>
    <row r="1035" spans="1:2" ht="51" x14ac:dyDescent="0.25">
      <c r="A1035" s="3" t="s">
        <v>1199</v>
      </c>
      <c r="B1035" s="3" t="s">
        <v>1747</v>
      </c>
    </row>
    <row r="1036" spans="1:2" ht="63.75" x14ac:dyDescent="0.25">
      <c r="A1036" s="3" t="s">
        <v>1193</v>
      </c>
      <c r="B1036" s="3" t="s">
        <v>1742</v>
      </c>
    </row>
    <row r="1037" spans="1:2" ht="63.75" x14ac:dyDescent="0.25">
      <c r="A1037" s="3" t="s">
        <v>1220</v>
      </c>
      <c r="B1037" s="3" t="s">
        <v>1768</v>
      </c>
    </row>
    <row r="1038" spans="1:2" ht="38.25" x14ac:dyDescent="0.25">
      <c r="A1038" s="3" t="s">
        <v>1165</v>
      </c>
      <c r="B1038" s="3" t="s">
        <v>1717</v>
      </c>
    </row>
    <row r="1039" spans="1:2" ht="25.5" x14ac:dyDescent="0.25">
      <c r="A1039" s="3" t="s">
        <v>1210</v>
      </c>
      <c r="B1039" s="3" t="s">
        <v>1758</v>
      </c>
    </row>
    <row r="1040" spans="1:2" ht="25.5" x14ac:dyDescent="0.25">
      <c r="A1040" s="3" t="s">
        <v>1194</v>
      </c>
      <c r="B1040" s="3" t="s">
        <v>1743</v>
      </c>
    </row>
    <row r="1041" spans="1:2" ht="25.5" x14ac:dyDescent="0.25">
      <c r="A1041" s="3" t="s">
        <v>1195</v>
      </c>
      <c r="B1041" s="3" t="s">
        <v>1744</v>
      </c>
    </row>
    <row r="1042" spans="1:2" ht="63.75" x14ac:dyDescent="0.25">
      <c r="A1042" s="3" t="s">
        <v>1549</v>
      </c>
      <c r="B1042" s="3" t="s">
        <v>2053</v>
      </c>
    </row>
    <row r="1043" spans="1:2" ht="51" x14ac:dyDescent="0.25">
      <c r="A1043" s="3" t="s">
        <v>1550</v>
      </c>
      <c r="B1043" s="3" t="s">
        <v>2054</v>
      </c>
    </row>
    <row r="1044" spans="1:2" ht="51" x14ac:dyDescent="0.25">
      <c r="A1044" s="3" t="s">
        <v>1551</v>
      </c>
      <c r="B1044" s="3" t="s">
        <v>2055</v>
      </c>
    </row>
    <row r="1045" spans="1:2" ht="25.5" x14ac:dyDescent="0.25">
      <c r="A1045" s="3" t="s">
        <v>1552</v>
      </c>
      <c r="B1045" s="3" t="s">
        <v>2056</v>
      </c>
    </row>
    <row r="1046" spans="1:2" ht="25.5" x14ac:dyDescent="0.25">
      <c r="A1046" s="3" t="s">
        <v>1553</v>
      </c>
      <c r="B1046" s="3" t="s">
        <v>2057</v>
      </c>
    </row>
    <row r="1047" spans="1:2" ht="63.75" x14ac:dyDescent="0.25">
      <c r="A1047" s="3" t="s">
        <v>1554</v>
      </c>
      <c r="B1047" s="3" t="s">
        <v>2058</v>
      </c>
    </row>
    <row r="1048" spans="1:2" ht="63.75" x14ac:dyDescent="0.25">
      <c r="A1048" s="3" t="s">
        <v>1555</v>
      </c>
      <c r="B1048" s="3" t="s">
        <v>2059</v>
      </c>
    </row>
    <row r="1049" spans="1:2" ht="51" x14ac:dyDescent="0.25">
      <c r="A1049" s="3" t="s">
        <v>1556</v>
      </c>
      <c r="B1049" s="3" t="s">
        <v>2060</v>
      </c>
    </row>
    <row r="1050" spans="1:2" ht="63.75" x14ac:dyDescent="0.25">
      <c r="A1050" s="3" t="s">
        <v>1557</v>
      </c>
      <c r="B1050" s="3" t="s">
        <v>2061</v>
      </c>
    </row>
    <row r="1051" spans="1:2" ht="63.75" x14ac:dyDescent="0.25">
      <c r="A1051" s="3" t="s">
        <v>1242</v>
      </c>
      <c r="B1051" s="3" t="s">
        <v>1786</v>
      </c>
    </row>
    <row r="1052" spans="1:2" ht="25.5" x14ac:dyDescent="0.25">
      <c r="A1052" s="3" t="s">
        <v>1558</v>
      </c>
      <c r="B1052" s="3" t="s">
        <v>2062</v>
      </c>
    </row>
    <row r="1053" spans="1:2" ht="63.75" x14ac:dyDescent="0.25">
      <c r="A1053" s="3" t="s">
        <v>1246</v>
      </c>
      <c r="B1053" s="3" t="s">
        <v>1791</v>
      </c>
    </row>
    <row r="1054" spans="1:2" ht="63.75" x14ac:dyDescent="0.25">
      <c r="A1054" s="3" t="s">
        <v>1559</v>
      </c>
      <c r="B1054" s="3" t="s">
        <v>2063</v>
      </c>
    </row>
    <row r="1055" spans="1:2" ht="25.5" x14ac:dyDescent="0.25">
      <c r="A1055" s="3" t="s">
        <v>1560</v>
      </c>
      <c r="B1055" s="3" t="s">
        <v>2064</v>
      </c>
    </row>
    <row r="1056" spans="1:2" ht="38.25" x14ac:dyDescent="0.25">
      <c r="A1056" s="3" t="s">
        <v>1252</v>
      </c>
      <c r="B1056" s="3" t="s">
        <v>1799</v>
      </c>
    </row>
    <row r="1057" spans="1:2" ht="25.5" x14ac:dyDescent="0.25">
      <c r="A1057" s="3" t="s">
        <v>1253</v>
      </c>
      <c r="B1057" s="3" t="s">
        <v>1800</v>
      </c>
    </row>
    <row r="1058" spans="1:2" ht="51" x14ac:dyDescent="0.25">
      <c r="A1058" s="3" t="s">
        <v>1561</v>
      </c>
      <c r="B1058" s="3" t="s">
        <v>2065</v>
      </c>
    </row>
    <row r="1059" spans="1:2" ht="51" x14ac:dyDescent="0.25">
      <c r="A1059" s="3" t="s">
        <v>1151</v>
      </c>
      <c r="B1059" s="3" t="s">
        <v>1705</v>
      </c>
    </row>
    <row r="1060" spans="1:2" ht="63.75" x14ac:dyDescent="0.25">
      <c r="A1060" s="3" t="s">
        <v>1562</v>
      </c>
      <c r="B1060" s="3" t="s">
        <v>2066</v>
      </c>
    </row>
    <row r="1061" spans="1:2" ht="38.25" x14ac:dyDescent="0.25">
      <c r="A1061" s="3" t="s">
        <v>1251</v>
      </c>
      <c r="B1061" s="3" t="s">
        <v>1796</v>
      </c>
    </row>
    <row r="1062" spans="1:2" ht="25.5" x14ac:dyDescent="0.25">
      <c r="A1062" s="3" t="s">
        <v>1176</v>
      </c>
      <c r="B1062" s="3" t="s">
        <v>1728</v>
      </c>
    </row>
    <row r="1063" spans="1:2" ht="51" x14ac:dyDescent="0.25">
      <c r="A1063" s="3" t="s">
        <v>1147</v>
      </c>
      <c r="B1063" s="3" t="s">
        <v>1702</v>
      </c>
    </row>
    <row r="1064" spans="1:2" ht="51" x14ac:dyDescent="0.25">
      <c r="A1064" s="3" t="s">
        <v>1146</v>
      </c>
      <c r="B1064" s="3" t="s">
        <v>1701</v>
      </c>
    </row>
    <row r="1065" spans="1:2" ht="38.25" x14ac:dyDescent="0.25">
      <c r="A1065" s="3" t="s">
        <v>1174</v>
      </c>
      <c r="B1065" s="3" t="s">
        <v>1726</v>
      </c>
    </row>
    <row r="1066" spans="1:2" ht="63.75" x14ac:dyDescent="0.25">
      <c r="A1066" s="3" t="s">
        <v>1554</v>
      </c>
      <c r="B1066" s="3" t="s">
        <v>2058</v>
      </c>
    </row>
    <row r="1067" spans="1:2" ht="76.5" x14ac:dyDescent="0.25">
      <c r="A1067" s="3" t="s">
        <v>1215</v>
      </c>
      <c r="B1067" s="3" t="s">
        <v>1763</v>
      </c>
    </row>
    <row r="1068" spans="1:2" ht="51" x14ac:dyDescent="0.25">
      <c r="A1068" s="3" t="s">
        <v>453</v>
      </c>
      <c r="B1068" s="3" t="s">
        <v>2079</v>
      </c>
    </row>
    <row r="1069" spans="1:2" ht="51" x14ac:dyDescent="0.25">
      <c r="A1069" s="3" t="s">
        <v>1147</v>
      </c>
      <c r="B1069" s="3" t="s">
        <v>1702</v>
      </c>
    </row>
    <row r="1070" spans="1:2" ht="51" x14ac:dyDescent="0.25">
      <c r="A1070" s="3" t="s">
        <v>1565</v>
      </c>
      <c r="B1070" s="3" t="s">
        <v>2080</v>
      </c>
    </row>
    <row r="1071" spans="1:2" ht="76.5" x14ac:dyDescent="0.25">
      <c r="A1071" s="3" t="s">
        <v>454</v>
      </c>
      <c r="B1071" s="3" t="s">
        <v>2081</v>
      </c>
    </row>
    <row r="1072" spans="1:2" ht="89.25" x14ac:dyDescent="0.25">
      <c r="A1072" s="3" t="s">
        <v>456</v>
      </c>
      <c r="B1072" s="3" t="s">
        <v>2082</v>
      </c>
    </row>
    <row r="1073" spans="1:2" ht="25.5" x14ac:dyDescent="0.25">
      <c r="A1073" s="3" t="s">
        <v>1213</v>
      </c>
      <c r="B1073" s="3" t="s">
        <v>1761</v>
      </c>
    </row>
    <row r="1074" spans="1:2" ht="51" x14ac:dyDescent="0.25">
      <c r="A1074" s="3" t="s">
        <v>1219</v>
      </c>
      <c r="B1074" s="3" t="s">
        <v>1767</v>
      </c>
    </row>
    <row r="1075" spans="1:2" ht="63.75" x14ac:dyDescent="0.25">
      <c r="A1075" s="3" t="s">
        <v>1233</v>
      </c>
      <c r="B1075" s="3" t="s">
        <v>1779</v>
      </c>
    </row>
    <row r="1076" spans="1:2" ht="51" x14ac:dyDescent="0.25">
      <c r="A1076" s="3" t="s">
        <v>457</v>
      </c>
      <c r="B1076" s="3" t="s">
        <v>2083</v>
      </c>
    </row>
    <row r="1077" spans="1:2" ht="38.25" x14ac:dyDescent="0.25">
      <c r="A1077" s="3" t="s">
        <v>1239</v>
      </c>
      <c r="B1077" s="3" t="s">
        <v>1784</v>
      </c>
    </row>
    <row r="1078" spans="1:2" ht="76.5" x14ac:dyDescent="0.25">
      <c r="A1078" s="3" t="s">
        <v>459</v>
      </c>
      <c r="B1078" s="3" t="s">
        <v>2084</v>
      </c>
    </row>
    <row r="1079" spans="1:2" ht="38.25" x14ac:dyDescent="0.25">
      <c r="A1079" s="3" t="s">
        <v>1212</v>
      </c>
      <c r="B1079" s="3" t="s">
        <v>1760</v>
      </c>
    </row>
    <row r="1080" spans="1:2" ht="51" x14ac:dyDescent="0.25">
      <c r="A1080" s="3" t="s">
        <v>1170</v>
      </c>
      <c r="B1080" s="3" t="s">
        <v>1722</v>
      </c>
    </row>
    <row r="1081" spans="1:2" ht="63.75" x14ac:dyDescent="0.25">
      <c r="A1081" s="3" t="s">
        <v>1236</v>
      </c>
      <c r="B1081" s="3" t="s">
        <v>1781</v>
      </c>
    </row>
    <row r="1082" spans="1:2" ht="51" x14ac:dyDescent="0.25">
      <c r="A1082" s="3" t="s">
        <v>1151</v>
      </c>
      <c r="B1082" s="3" t="s">
        <v>1705</v>
      </c>
    </row>
    <row r="1083" spans="1:2" ht="38.25" x14ac:dyDescent="0.25">
      <c r="A1083" s="3" t="s">
        <v>1239</v>
      </c>
      <c r="B1083" s="3" t="s">
        <v>1784</v>
      </c>
    </row>
    <row r="1084" spans="1:2" ht="38.25" x14ac:dyDescent="0.25">
      <c r="A1084" s="3" t="s">
        <v>1240</v>
      </c>
      <c r="B1084" s="3" t="s">
        <v>1785</v>
      </c>
    </row>
    <row r="1085" spans="1:2" ht="63.75" x14ac:dyDescent="0.25">
      <c r="A1085" s="3" t="s">
        <v>1238</v>
      </c>
      <c r="B1085" s="3" t="s">
        <v>1783</v>
      </c>
    </row>
    <row r="1086" spans="1:2" ht="51" x14ac:dyDescent="0.25">
      <c r="A1086" s="3" t="s">
        <v>1231</v>
      </c>
      <c r="B1086" s="3" t="s">
        <v>1777</v>
      </c>
    </row>
    <row r="1087" spans="1:2" ht="25.5" x14ac:dyDescent="0.25">
      <c r="A1087" s="3" t="s">
        <v>1237</v>
      </c>
      <c r="B1087" s="3" t="s">
        <v>1782</v>
      </c>
    </row>
    <row r="1088" spans="1:2" ht="51" x14ac:dyDescent="0.25">
      <c r="A1088" s="3" t="s">
        <v>1219</v>
      </c>
      <c r="B1088" s="3" t="s">
        <v>1767</v>
      </c>
    </row>
    <row r="1089" spans="1:2" ht="51" x14ac:dyDescent="0.25">
      <c r="A1089" s="3" t="s">
        <v>1146</v>
      </c>
      <c r="B1089" s="3" t="s">
        <v>1701</v>
      </c>
    </row>
    <row r="1090" spans="1:2" ht="38.25" x14ac:dyDescent="0.25">
      <c r="A1090" s="3" t="s">
        <v>1174</v>
      </c>
      <c r="B1090" s="3" t="s">
        <v>1726</v>
      </c>
    </row>
    <row r="1091" spans="1:2" ht="51" x14ac:dyDescent="0.25">
      <c r="A1091" s="3" t="s">
        <v>1228</v>
      </c>
      <c r="B1091" s="3" t="s">
        <v>1774</v>
      </c>
    </row>
    <row r="1092" spans="1:2" ht="51" x14ac:dyDescent="0.25">
      <c r="A1092" s="3" t="s">
        <v>1227</v>
      </c>
      <c r="B1092" s="3" t="s">
        <v>1773</v>
      </c>
    </row>
    <row r="1093" spans="1:2" ht="63.75" x14ac:dyDescent="0.25">
      <c r="A1093" s="3" t="s">
        <v>1226</v>
      </c>
      <c r="B1093" s="3" t="s">
        <v>1772</v>
      </c>
    </row>
    <row r="1094" spans="1:2" ht="25.5" x14ac:dyDescent="0.25">
      <c r="A1094" s="3" t="s">
        <v>1230</v>
      </c>
      <c r="B1094" s="3" t="s">
        <v>1776</v>
      </c>
    </row>
    <row r="1095" spans="1:2" ht="63.75" x14ac:dyDescent="0.25">
      <c r="A1095" s="3" t="s">
        <v>1233</v>
      </c>
      <c r="B1095" s="3" t="s">
        <v>1779</v>
      </c>
    </row>
    <row r="1096" spans="1:2" ht="51" x14ac:dyDescent="0.25">
      <c r="A1096" s="3" t="s">
        <v>1147</v>
      </c>
      <c r="B1096" s="3" t="s">
        <v>1702</v>
      </c>
    </row>
    <row r="1097" spans="1:2" ht="38.25" x14ac:dyDescent="0.25">
      <c r="A1097" s="3" t="s">
        <v>1232</v>
      </c>
      <c r="B1097" s="3" t="s">
        <v>1778</v>
      </c>
    </row>
    <row r="1098" spans="1:2" ht="51" x14ac:dyDescent="0.25">
      <c r="A1098" s="3" t="s">
        <v>1231</v>
      </c>
      <c r="B1098" s="3" t="s">
        <v>1777</v>
      </c>
    </row>
    <row r="1099" spans="1:2" ht="51" x14ac:dyDescent="0.25">
      <c r="A1099" s="3" t="s">
        <v>1234</v>
      </c>
      <c r="B1099" s="3" t="s">
        <v>1780</v>
      </c>
    </row>
    <row r="1100" spans="1:2" ht="51" x14ac:dyDescent="0.25">
      <c r="A1100" s="3" t="s">
        <v>1146</v>
      </c>
      <c r="B1100" s="3" t="s">
        <v>1701</v>
      </c>
    </row>
    <row r="1101" spans="1:2" ht="51" x14ac:dyDescent="0.25">
      <c r="A1101" s="3" t="s">
        <v>1219</v>
      </c>
      <c r="B1101" s="3" t="s">
        <v>1767</v>
      </c>
    </row>
    <row r="1102" spans="1:2" ht="51" x14ac:dyDescent="0.25">
      <c r="A1102" s="3" t="s">
        <v>1222</v>
      </c>
      <c r="B1102" s="3" t="s">
        <v>1770</v>
      </c>
    </row>
    <row r="1103" spans="1:2" ht="76.5" x14ac:dyDescent="0.25">
      <c r="A1103" s="3" t="s">
        <v>1215</v>
      </c>
      <c r="B1103" s="3" t="s">
        <v>1763</v>
      </c>
    </row>
    <row r="1104" spans="1:2" ht="51" x14ac:dyDescent="0.25">
      <c r="A1104" s="3" t="s">
        <v>1180</v>
      </c>
      <c r="B1104" s="3" t="s">
        <v>1731</v>
      </c>
    </row>
    <row r="1105" spans="1:2" ht="38.25" x14ac:dyDescent="0.25">
      <c r="A1105" s="3" t="s">
        <v>1566</v>
      </c>
      <c r="B1105" s="3" t="s">
        <v>2085</v>
      </c>
    </row>
    <row r="1106" spans="1:2" ht="38.25" x14ac:dyDescent="0.25">
      <c r="A1106" s="3" t="s">
        <v>1185</v>
      </c>
      <c r="B1106" s="3" t="s">
        <v>1734</v>
      </c>
    </row>
    <row r="1107" spans="1:2" ht="51" x14ac:dyDescent="0.25">
      <c r="A1107" s="3" t="s">
        <v>1217</v>
      </c>
      <c r="B1107" s="3" t="s">
        <v>1765</v>
      </c>
    </row>
    <row r="1108" spans="1:2" ht="51" x14ac:dyDescent="0.25">
      <c r="A1108" s="3" t="s">
        <v>1187</v>
      </c>
      <c r="B1108" s="3" t="s">
        <v>1736</v>
      </c>
    </row>
    <row r="1109" spans="1:2" ht="38.25" x14ac:dyDescent="0.25">
      <c r="A1109" s="3" t="s">
        <v>1189</v>
      </c>
      <c r="B1109" s="3" t="s">
        <v>1738</v>
      </c>
    </row>
    <row r="1110" spans="1:2" ht="38.25" x14ac:dyDescent="0.25">
      <c r="A1110" s="3" t="s">
        <v>1212</v>
      </c>
      <c r="B1110" s="3" t="s">
        <v>1760</v>
      </c>
    </row>
    <row r="1111" spans="1:2" ht="89.25" x14ac:dyDescent="0.25">
      <c r="A1111" s="3" t="s">
        <v>1200</v>
      </c>
      <c r="B1111" s="3" t="s">
        <v>1748</v>
      </c>
    </row>
    <row r="1112" spans="1:2" ht="25.5" x14ac:dyDescent="0.25">
      <c r="A1112" s="3" t="s">
        <v>1213</v>
      </c>
      <c r="B1112" s="3" t="s">
        <v>1761</v>
      </c>
    </row>
    <row r="1113" spans="1:2" ht="51" x14ac:dyDescent="0.25">
      <c r="A1113" s="3" t="s">
        <v>1565</v>
      </c>
      <c r="B1113" s="3" t="s">
        <v>2080</v>
      </c>
    </row>
    <row r="1114" spans="1:2" ht="63.75" x14ac:dyDescent="0.25">
      <c r="A1114" s="3" t="s">
        <v>1216</v>
      </c>
      <c r="B1114" s="3" t="s">
        <v>1764</v>
      </c>
    </row>
    <row r="1115" spans="1:2" ht="38.25" x14ac:dyDescent="0.25">
      <c r="A1115" s="3" t="s">
        <v>1192</v>
      </c>
      <c r="B1115" s="3" t="s">
        <v>1741</v>
      </c>
    </row>
    <row r="1116" spans="1:2" ht="51" x14ac:dyDescent="0.25">
      <c r="A1116" s="3" t="s">
        <v>1199</v>
      </c>
      <c r="B1116" s="3" t="s">
        <v>1747</v>
      </c>
    </row>
    <row r="1117" spans="1:2" ht="63.75" x14ac:dyDescent="0.25">
      <c r="A1117" s="3" t="s">
        <v>1193</v>
      </c>
      <c r="B1117" s="3" t="s">
        <v>1742</v>
      </c>
    </row>
    <row r="1118" spans="1:2" ht="25.5" x14ac:dyDescent="0.25">
      <c r="A1118" s="3" t="s">
        <v>1210</v>
      </c>
      <c r="B1118" s="3" t="s">
        <v>1758</v>
      </c>
    </row>
    <row r="1119" spans="1:2" ht="63.75" x14ac:dyDescent="0.25">
      <c r="A1119" s="3" t="s">
        <v>1233</v>
      </c>
      <c r="B1119" s="3" t="s">
        <v>1779</v>
      </c>
    </row>
    <row r="1120" spans="1:2" ht="25.5" x14ac:dyDescent="0.25">
      <c r="A1120" s="3" t="s">
        <v>1194</v>
      </c>
      <c r="B1120" s="3" t="s">
        <v>1743</v>
      </c>
    </row>
    <row r="1121" spans="1:2" ht="25.5" x14ac:dyDescent="0.25">
      <c r="A1121" s="3" t="s">
        <v>1195</v>
      </c>
      <c r="B1121" s="3" t="s">
        <v>1744</v>
      </c>
    </row>
    <row r="1122" spans="1:2" ht="38.25" x14ac:dyDescent="0.25">
      <c r="A1122" s="3" t="s">
        <v>1205</v>
      </c>
      <c r="B1122" s="3" t="s">
        <v>1753</v>
      </c>
    </row>
    <row r="1123" spans="1:2" ht="25.5" x14ac:dyDescent="0.25">
      <c r="A1123" s="3" t="s">
        <v>1195</v>
      </c>
      <c r="B1123" s="3" t="s">
        <v>1744</v>
      </c>
    </row>
    <row r="1124" spans="1:2" ht="25.5" x14ac:dyDescent="0.25">
      <c r="A1124" s="3" t="s">
        <v>1567</v>
      </c>
      <c r="B1124" s="3" t="s">
        <v>2086</v>
      </c>
    </row>
    <row r="1125" spans="1:2" ht="25.5" x14ac:dyDescent="0.25">
      <c r="A1125" s="3" t="s">
        <v>1568</v>
      </c>
      <c r="B1125" s="3" t="s">
        <v>2087</v>
      </c>
    </row>
    <row r="1126" spans="1:2" ht="51" x14ac:dyDescent="0.25">
      <c r="A1126" s="3" t="s">
        <v>1180</v>
      </c>
      <c r="B1126" s="3" t="s">
        <v>1731</v>
      </c>
    </row>
    <row r="1127" spans="1:2" ht="25.5" x14ac:dyDescent="0.25">
      <c r="A1127" s="3" t="s">
        <v>1569</v>
      </c>
      <c r="B1127" s="3" t="s">
        <v>2088</v>
      </c>
    </row>
    <row r="1128" spans="1:2" ht="51" x14ac:dyDescent="0.25">
      <c r="A1128" s="3" t="s">
        <v>1201</v>
      </c>
      <c r="B1128" s="3" t="s">
        <v>1749</v>
      </c>
    </row>
    <row r="1129" spans="1:2" ht="38.25" x14ac:dyDescent="0.25">
      <c r="A1129" s="3" t="s">
        <v>1570</v>
      </c>
      <c r="B1129" s="3" t="s">
        <v>2089</v>
      </c>
    </row>
    <row r="1130" spans="1:2" ht="25.5" x14ac:dyDescent="0.25">
      <c r="A1130" s="3" t="s">
        <v>1571</v>
      </c>
      <c r="B1130" s="3" t="s">
        <v>2090</v>
      </c>
    </row>
    <row r="1131" spans="1:2" ht="25.5" x14ac:dyDescent="0.25">
      <c r="A1131" s="3" t="s">
        <v>1224</v>
      </c>
      <c r="B1131" s="3" t="s">
        <v>1771</v>
      </c>
    </row>
    <row r="1132" spans="1:2" ht="38.25" x14ac:dyDescent="0.25">
      <c r="A1132" s="3" t="s">
        <v>1572</v>
      </c>
      <c r="B1132" s="3" t="s">
        <v>2091</v>
      </c>
    </row>
    <row r="1133" spans="1:2" ht="76.5" x14ac:dyDescent="0.25">
      <c r="A1133" s="3" t="s">
        <v>1215</v>
      </c>
      <c r="B1133" s="3" t="s">
        <v>1763</v>
      </c>
    </row>
    <row r="1134" spans="1:2" ht="38.25" x14ac:dyDescent="0.25">
      <c r="A1134" s="3" t="s">
        <v>1207</v>
      </c>
      <c r="B1134" s="3" t="s">
        <v>1756</v>
      </c>
    </row>
    <row r="1135" spans="1:2" ht="76.5" x14ac:dyDescent="0.25">
      <c r="A1135" s="3" t="s">
        <v>1221</v>
      </c>
      <c r="B1135" s="3" t="s">
        <v>1769</v>
      </c>
    </row>
    <row r="1136" spans="1:2" ht="51" x14ac:dyDescent="0.25">
      <c r="A1136" s="3" t="s">
        <v>1222</v>
      </c>
      <c r="B1136" s="3" t="s">
        <v>1770</v>
      </c>
    </row>
    <row r="1137" spans="1:2" ht="76.5" x14ac:dyDescent="0.25">
      <c r="A1137" s="3" t="s">
        <v>1215</v>
      </c>
      <c r="B1137" s="3" t="s">
        <v>1763</v>
      </c>
    </row>
    <row r="1138" spans="1:2" ht="51" x14ac:dyDescent="0.25">
      <c r="A1138" s="3" t="s">
        <v>1180</v>
      </c>
      <c r="B1138" s="3" t="s">
        <v>1731</v>
      </c>
    </row>
    <row r="1139" spans="1:2" ht="38.25" x14ac:dyDescent="0.25">
      <c r="A1139" s="3" t="s">
        <v>1185</v>
      </c>
      <c r="B1139" s="3" t="s">
        <v>1734</v>
      </c>
    </row>
    <row r="1140" spans="1:2" ht="51" x14ac:dyDescent="0.25">
      <c r="A1140" s="3" t="s">
        <v>1211</v>
      </c>
      <c r="B1140" s="3" t="s">
        <v>1759</v>
      </c>
    </row>
    <row r="1141" spans="1:2" ht="51" x14ac:dyDescent="0.25">
      <c r="A1141" s="3" t="s">
        <v>1187</v>
      </c>
      <c r="B1141" s="3" t="s">
        <v>1736</v>
      </c>
    </row>
    <row r="1142" spans="1:2" ht="38.25" x14ac:dyDescent="0.25">
      <c r="A1142" s="3" t="s">
        <v>1212</v>
      </c>
      <c r="B1142" s="3" t="s">
        <v>1760</v>
      </c>
    </row>
    <row r="1143" spans="1:2" ht="89.25" x14ac:dyDescent="0.25">
      <c r="A1143" s="3" t="s">
        <v>1200</v>
      </c>
      <c r="B1143" s="3" t="s">
        <v>1748</v>
      </c>
    </row>
    <row r="1144" spans="1:2" ht="63.75" x14ac:dyDescent="0.25">
      <c r="A1144" s="3" t="s">
        <v>1216</v>
      </c>
      <c r="B1144" s="3" t="s">
        <v>1764</v>
      </c>
    </row>
    <row r="1145" spans="1:2" ht="38.25" x14ac:dyDescent="0.25">
      <c r="A1145" s="3" t="s">
        <v>1192</v>
      </c>
      <c r="B1145" s="3" t="s">
        <v>1741</v>
      </c>
    </row>
    <row r="1146" spans="1:2" ht="51" x14ac:dyDescent="0.25">
      <c r="A1146" s="3" t="s">
        <v>1199</v>
      </c>
      <c r="B1146" s="3" t="s">
        <v>1747</v>
      </c>
    </row>
    <row r="1147" spans="1:2" ht="63.75" x14ac:dyDescent="0.25">
      <c r="A1147" s="3" t="s">
        <v>1193</v>
      </c>
      <c r="B1147" s="3" t="s">
        <v>1742</v>
      </c>
    </row>
    <row r="1148" spans="1:2" ht="38.25" x14ac:dyDescent="0.25">
      <c r="A1148" s="3" t="s">
        <v>1165</v>
      </c>
      <c r="B1148" s="3" t="s">
        <v>1717</v>
      </c>
    </row>
    <row r="1149" spans="1:2" ht="25.5" x14ac:dyDescent="0.25">
      <c r="A1149" s="3" t="s">
        <v>1210</v>
      </c>
      <c r="B1149" s="3" t="s">
        <v>1758</v>
      </c>
    </row>
    <row r="1150" spans="1:2" ht="25.5" x14ac:dyDescent="0.25">
      <c r="A1150" s="3" t="s">
        <v>1224</v>
      </c>
      <c r="B1150" s="3" t="s">
        <v>1771</v>
      </c>
    </row>
    <row r="1151" spans="1:2" ht="25.5" x14ac:dyDescent="0.25">
      <c r="A1151" s="3" t="s">
        <v>1194</v>
      </c>
      <c r="B1151" s="3" t="s">
        <v>1743</v>
      </c>
    </row>
    <row r="1152" spans="1:2" ht="25.5" x14ac:dyDescent="0.25">
      <c r="A1152" s="3" t="s">
        <v>1195</v>
      </c>
      <c r="B1152" s="3" t="s">
        <v>1744</v>
      </c>
    </row>
    <row r="1153" spans="1:2" ht="38.25" x14ac:dyDescent="0.25">
      <c r="A1153" s="3" t="s">
        <v>1316</v>
      </c>
      <c r="B1153" s="3" t="s">
        <v>1856</v>
      </c>
    </row>
    <row r="1154" spans="1:2" ht="63.75" x14ac:dyDescent="0.25">
      <c r="A1154" s="3" t="s">
        <v>378</v>
      </c>
      <c r="B1154" s="3" t="s">
        <v>2019</v>
      </c>
    </row>
    <row r="1155" spans="1:2" ht="25.5" x14ac:dyDescent="0.25">
      <c r="A1155" s="3" t="s">
        <v>1528</v>
      </c>
      <c r="B1155" s="3" t="s">
        <v>2020</v>
      </c>
    </row>
    <row r="1156" spans="1:2" ht="51" x14ac:dyDescent="0.25">
      <c r="A1156" s="3" t="s">
        <v>380</v>
      </c>
      <c r="B1156" s="3" t="s">
        <v>2021</v>
      </c>
    </row>
    <row r="1157" spans="1:2" ht="51" x14ac:dyDescent="0.25">
      <c r="A1157" s="3" t="s">
        <v>382</v>
      </c>
      <c r="B1157" s="3" t="s">
        <v>2022</v>
      </c>
    </row>
    <row r="1158" spans="1:2" ht="102" x14ac:dyDescent="0.25">
      <c r="A1158" s="3" t="s">
        <v>468</v>
      </c>
      <c r="B1158" s="3" t="s">
        <v>2092</v>
      </c>
    </row>
    <row r="1159" spans="1:2" ht="63.75" x14ac:dyDescent="0.25">
      <c r="A1159" s="3" t="s">
        <v>1360</v>
      </c>
      <c r="B1159" s="3" t="s">
        <v>1889</v>
      </c>
    </row>
    <row r="1160" spans="1:2" ht="89.25" x14ac:dyDescent="0.25">
      <c r="A1160" s="3" t="s">
        <v>163</v>
      </c>
      <c r="B1160" s="3" t="s">
        <v>1890</v>
      </c>
    </row>
    <row r="1161" spans="1:2" ht="89.25" x14ac:dyDescent="0.25">
      <c r="A1161" s="3" t="s">
        <v>160</v>
      </c>
      <c r="B1161" s="3" t="s">
        <v>1887</v>
      </c>
    </row>
    <row r="1162" spans="1:2" ht="63.75" x14ac:dyDescent="0.25">
      <c r="A1162" s="3" t="s">
        <v>1574</v>
      </c>
      <c r="B1162" s="3" t="s">
        <v>2093</v>
      </c>
    </row>
    <row r="1163" spans="1:2" ht="38.25" x14ac:dyDescent="0.25">
      <c r="A1163" s="3" t="s">
        <v>1575</v>
      </c>
      <c r="B1163" s="3" t="s">
        <v>2094</v>
      </c>
    </row>
    <row r="1164" spans="1:2" ht="38.25" x14ac:dyDescent="0.25">
      <c r="A1164" s="3" t="s">
        <v>1576</v>
      </c>
      <c r="B1164" s="3" t="s">
        <v>2095</v>
      </c>
    </row>
    <row r="1165" spans="1:2" ht="51" x14ac:dyDescent="0.25">
      <c r="A1165" s="3" t="s">
        <v>1228</v>
      </c>
      <c r="B1165" s="3" t="s">
        <v>1774</v>
      </c>
    </row>
    <row r="1166" spans="1:2" ht="38.25" x14ac:dyDescent="0.25">
      <c r="A1166" s="3" t="s">
        <v>1148</v>
      </c>
      <c r="B1166" s="3" t="s">
        <v>1703</v>
      </c>
    </row>
    <row r="1167" spans="1:2" ht="51" x14ac:dyDescent="0.25">
      <c r="A1167" s="3" t="s">
        <v>475</v>
      </c>
      <c r="B1167" s="3" t="s">
        <v>2096</v>
      </c>
    </row>
    <row r="1168" spans="1:2" ht="63.75" x14ac:dyDescent="0.25">
      <c r="A1168" s="3" t="s">
        <v>1156</v>
      </c>
      <c r="B1168" s="3" t="s">
        <v>1710</v>
      </c>
    </row>
    <row r="1169" spans="1:2" ht="51" x14ac:dyDescent="0.25">
      <c r="A1169" s="3" t="s">
        <v>382</v>
      </c>
      <c r="B1169" s="3" t="s">
        <v>2022</v>
      </c>
    </row>
    <row r="1170" spans="1:2" ht="38.25" x14ac:dyDescent="0.25">
      <c r="A1170" s="3" t="s">
        <v>1379</v>
      </c>
      <c r="B1170" s="3" t="s">
        <v>1905</v>
      </c>
    </row>
    <row r="1171" spans="1:2" ht="63.75" x14ac:dyDescent="0.25">
      <c r="A1171" s="3" t="s">
        <v>478</v>
      </c>
      <c r="B1171" s="3" t="s">
        <v>2097</v>
      </c>
    </row>
    <row r="1172" spans="1:2" ht="76.5" x14ac:dyDescent="0.25">
      <c r="A1172" s="3" t="s">
        <v>1579</v>
      </c>
      <c r="B1172" s="3" t="s">
        <v>2098</v>
      </c>
    </row>
    <row r="1173" spans="1:2" ht="114.75" x14ac:dyDescent="0.25">
      <c r="A1173" s="3" t="s">
        <v>480</v>
      </c>
      <c r="B1173" s="3" t="s">
        <v>2099</v>
      </c>
    </row>
    <row r="1174" spans="1:2" ht="89.25" x14ac:dyDescent="0.25">
      <c r="A1174" s="3" t="s">
        <v>163</v>
      </c>
      <c r="B1174" s="3" t="s">
        <v>1890</v>
      </c>
    </row>
    <row r="1175" spans="1:2" ht="76.5" x14ac:dyDescent="0.25">
      <c r="A1175" s="3" t="s">
        <v>482</v>
      </c>
      <c r="B1175" s="3" t="s">
        <v>2100</v>
      </c>
    </row>
    <row r="1176" spans="1:2" ht="63.75" x14ac:dyDescent="0.25">
      <c r="A1176" s="3" t="s">
        <v>1574</v>
      </c>
      <c r="B1176" s="3" t="s">
        <v>2093</v>
      </c>
    </row>
    <row r="1177" spans="1:2" ht="38.25" x14ac:dyDescent="0.25">
      <c r="A1177" s="3" t="s">
        <v>1575</v>
      </c>
      <c r="B1177" s="3" t="s">
        <v>2094</v>
      </c>
    </row>
    <row r="1178" spans="1:2" ht="38.25" x14ac:dyDescent="0.25">
      <c r="A1178" s="3" t="s">
        <v>1576</v>
      </c>
      <c r="B1178" s="3" t="s">
        <v>2095</v>
      </c>
    </row>
    <row r="1179" spans="1:2" ht="51" x14ac:dyDescent="0.25">
      <c r="A1179" s="3" t="s">
        <v>1228</v>
      </c>
      <c r="B1179" s="3" t="s">
        <v>1774</v>
      </c>
    </row>
    <row r="1180" spans="1:2" ht="38.25" x14ac:dyDescent="0.25">
      <c r="A1180" s="3" t="s">
        <v>1148</v>
      </c>
      <c r="B1180" s="3" t="s">
        <v>1703</v>
      </c>
    </row>
    <row r="1181" spans="1:2" ht="51" x14ac:dyDescent="0.25">
      <c r="A1181" s="3" t="s">
        <v>475</v>
      </c>
      <c r="B1181" s="3" t="s">
        <v>2096</v>
      </c>
    </row>
    <row r="1182" spans="1:2" ht="63.75" x14ac:dyDescent="0.25">
      <c r="A1182" s="3" t="s">
        <v>1156</v>
      </c>
      <c r="B1182" s="3" t="s">
        <v>1710</v>
      </c>
    </row>
    <row r="1183" spans="1:2" ht="51" x14ac:dyDescent="0.25">
      <c r="A1183" s="3" t="s">
        <v>382</v>
      </c>
      <c r="B1183" s="3" t="s">
        <v>2022</v>
      </c>
    </row>
    <row r="1184" spans="1:2" ht="38.25" x14ac:dyDescent="0.25">
      <c r="A1184" s="3" t="s">
        <v>1379</v>
      </c>
      <c r="B1184" s="3" t="s">
        <v>1905</v>
      </c>
    </row>
    <row r="1185" spans="1:2" ht="63.75" x14ac:dyDescent="0.25">
      <c r="A1185" s="3" t="s">
        <v>478</v>
      </c>
      <c r="B1185" s="3" t="s">
        <v>2097</v>
      </c>
    </row>
    <row r="1186" spans="1:2" ht="76.5" x14ac:dyDescent="0.25">
      <c r="A1186" s="3" t="s">
        <v>236</v>
      </c>
      <c r="B1186" s="3" t="s">
        <v>1956</v>
      </c>
    </row>
    <row r="1187" spans="1:2" ht="102" x14ac:dyDescent="0.25">
      <c r="A1187" s="3" t="s">
        <v>488</v>
      </c>
      <c r="B1187" s="3" t="s">
        <v>2101</v>
      </c>
    </row>
    <row r="1188" spans="1:2" ht="51" x14ac:dyDescent="0.25">
      <c r="A1188" s="3" t="s">
        <v>1151</v>
      </c>
      <c r="B1188" s="3" t="s">
        <v>1705</v>
      </c>
    </row>
    <row r="1189" spans="1:2" ht="25.5" x14ac:dyDescent="0.25">
      <c r="A1189" s="3" t="s">
        <v>1145</v>
      </c>
      <c r="B1189" s="3" t="s">
        <v>1700</v>
      </c>
    </row>
    <row r="1190" spans="1:2" ht="51" x14ac:dyDescent="0.25">
      <c r="A1190" s="3" t="s">
        <v>1147</v>
      </c>
      <c r="B1190" s="3" t="s">
        <v>1702</v>
      </c>
    </row>
    <row r="1191" spans="1:2" ht="38.25" x14ac:dyDescent="0.25">
      <c r="A1191" s="3" t="s">
        <v>1158</v>
      </c>
      <c r="B1191" s="3" t="s">
        <v>1712</v>
      </c>
    </row>
    <row r="1192" spans="1:2" ht="51" x14ac:dyDescent="0.25">
      <c r="A1192" s="3" t="s">
        <v>1157</v>
      </c>
      <c r="B1192" s="3" t="s">
        <v>1711</v>
      </c>
    </row>
    <row r="1193" spans="1:2" ht="63.75" x14ac:dyDescent="0.25">
      <c r="A1193" s="3" t="s">
        <v>1159</v>
      </c>
      <c r="B1193" s="3" t="s">
        <v>1713</v>
      </c>
    </row>
    <row r="1194" spans="1:2" ht="38.25" x14ac:dyDescent="0.25">
      <c r="A1194" s="3" t="s">
        <v>1148</v>
      </c>
      <c r="B1194" s="3" t="s">
        <v>1703</v>
      </c>
    </row>
    <row r="1195" spans="1:2" ht="25.5" x14ac:dyDescent="0.25">
      <c r="A1195" s="3" t="s">
        <v>1160</v>
      </c>
      <c r="B1195" s="3" t="s">
        <v>1714</v>
      </c>
    </row>
    <row r="1196" spans="1:2" ht="63.75" x14ac:dyDescent="0.25">
      <c r="A1196" s="3" t="s">
        <v>1161</v>
      </c>
      <c r="B1196" s="3" t="s">
        <v>1715</v>
      </c>
    </row>
    <row r="1197" spans="1:2" ht="51" x14ac:dyDescent="0.25">
      <c r="A1197" s="3" t="s">
        <v>1144</v>
      </c>
      <c r="B1197" s="3" t="s">
        <v>1699</v>
      </c>
    </row>
    <row r="1198" spans="1:2" ht="63.75" x14ac:dyDescent="0.25">
      <c r="A1198" s="3" t="s">
        <v>1156</v>
      </c>
      <c r="B1198" s="3" t="s">
        <v>1710</v>
      </c>
    </row>
    <row r="1199" spans="1:2" ht="38.25" x14ac:dyDescent="0.25">
      <c r="A1199" s="3" t="s">
        <v>1152</v>
      </c>
      <c r="B1199" s="3" t="s">
        <v>1706</v>
      </c>
    </row>
    <row r="1200" spans="1:2" ht="38.25" x14ac:dyDescent="0.25">
      <c r="A1200" s="3" t="s">
        <v>1153</v>
      </c>
      <c r="B1200" s="3" t="s">
        <v>1707</v>
      </c>
    </row>
    <row r="1201" spans="1:2" ht="51" x14ac:dyDescent="0.25">
      <c r="A1201" s="3" t="s">
        <v>1146</v>
      </c>
      <c r="B1201" s="3" t="s">
        <v>1701</v>
      </c>
    </row>
    <row r="1202" spans="1:2" ht="76.5" x14ac:dyDescent="0.25">
      <c r="A1202" s="3" t="s">
        <v>1155</v>
      </c>
      <c r="B1202" s="3" t="s">
        <v>1709</v>
      </c>
    </row>
    <row r="1203" spans="1:2" ht="25.5" x14ac:dyDescent="0.25">
      <c r="A1203" s="3" t="s">
        <v>1443</v>
      </c>
      <c r="B1203" s="3" t="s">
        <v>1950</v>
      </c>
    </row>
    <row r="1204" spans="1:2" ht="63.75" x14ac:dyDescent="0.25">
      <c r="A1204" s="3" t="s">
        <v>437</v>
      </c>
      <c r="B1204" s="3" t="s">
        <v>2072</v>
      </c>
    </row>
    <row r="1205" spans="1:2" ht="76.5" x14ac:dyDescent="0.25">
      <c r="A1205" s="3" t="s">
        <v>493</v>
      </c>
      <c r="B1205" s="3" t="s">
        <v>2102</v>
      </c>
    </row>
    <row r="1206" spans="1:2" ht="76.5" x14ac:dyDescent="0.25">
      <c r="A1206" s="3" t="s">
        <v>441</v>
      </c>
      <c r="B1206" s="3" t="s">
        <v>2075</v>
      </c>
    </row>
    <row r="1207" spans="1:2" ht="89.25" x14ac:dyDescent="0.25">
      <c r="A1207" s="3" t="s">
        <v>496</v>
      </c>
      <c r="B1207" s="3" t="s">
        <v>2103</v>
      </c>
    </row>
    <row r="1208" spans="1:2" ht="25.5" x14ac:dyDescent="0.25">
      <c r="A1208" s="3" t="s">
        <v>1443</v>
      </c>
      <c r="B1208" s="3" t="s">
        <v>1950</v>
      </c>
    </row>
    <row r="1209" spans="1:2" ht="63.75" x14ac:dyDescent="0.25">
      <c r="A1209" s="3" t="s">
        <v>1554</v>
      </c>
      <c r="B1209" s="3" t="s">
        <v>2058</v>
      </c>
    </row>
    <row r="1210" spans="1:2" ht="76.5" x14ac:dyDescent="0.25">
      <c r="A1210" s="3" t="s">
        <v>1215</v>
      </c>
      <c r="B1210" s="3" t="s">
        <v>1763</v>
      </c>
    </row>
    <row r="1211" spans="1:2" ht="51" x14ac:dyDescent="0.25">
      <c r="A1211" s="3" t="s">
        <v>453</v>
      </c>
      <c r="B1211" s="3" t="s">
        <v>2079</v>
      </c>
    </row>
    <row r="1212" spans="1:2" ht="51" x14ac:dyDescent="0.25">
      <c r="A1212" s="3" t="s">
        <v>1147</v>
      </c>
      <c r="B1212" s="3" t="s">
        <v>1702</v>
      </c>
    </row>
    <row r="1213" spans="1:2" ht="51" x14ac:dyDescent="0.25">
      <c r="A1213" s="3" t="s">
        <v>1565</v>
      </c>
      <c r="B1213" s="3" t="s">
        <v>2080</v>
      </c>
    </row>
    <row r="1214" spans="1:2" ht="76.5" x14ac:dyDescent="0.25">
      <c r="A1214" s="3" t="s">
        <v>454</v>
      </c>
      <c r="B1214" s="3" t="s">
        <v>2081</v>
      </c>
    </row>
    <row r="1215" spans="1:2" ht="89.25" x14ac:dyDescent="0.25">
      <c r="A1215" s="3" t="s">
        <v>456</v>
      </c>
      <c r="B1215" s="3" t="s">
        <v>2082</v>
      </c>
    </row>
    <row r="1216" spans="1:2" ht="25.5" x14ac:dyDescent="0.25">
      <c r="A1216" s="3" t="s">
        <v>1213</v>
      </c>
      <c r="B1216" s="3" t="s">
        <v>1761</v>
      </c>
    </row>
    <row r="1217" spans="1:2" ht="51" x14ac:dyDescent="0.25">
      <c r="A1217" s="3" t="s">
        <v>1219</v>
      </c>
      <c r="B1217" s="3" t="s">
        <v>1767</v>
      </c>
    </row>
    <row r="1218" spans="1:2" ht="63.75" x14ac:dyDescent="0.25">
      <c r="A1218" s="3" t="s">
        <v>1233</v>
      </c>
      <c r="B1218" s="3" t="s">
        <v>1779</v>
      </c>
    </row>
    <row r="1219" spans="1:2" ht="51" x14ac:dyDescent="0.25">
      <c r="A1219" s="3" t="s">
        <v>457</v>
      </c>
      <c r="B1219" s="3" t="s">
        <v>2083</v>
      </c>
    </row>
    <row r="1220" spans="1:2" ht="38.25" x14ac:dyDescent="0.25">
      <c r="A1220" s="3" t="s">
        <v>1239</v>
      </c>
      <c r="B1220" s="3" t="s">
        <v>1784</v>
      </c>
    </row>
    <row r="1221" spans="1:2" ht="76.5" x14ac:dyDescent="0.25">
      <c r="A1221" s="3" t="s">
        <v>459</v>
      </c>
      <c r="B1221" s="3" t="s">
        <v>2084</v>
      </c>
    </row>
    <row r="1222" spans="1:2" ht="38.25" x14ac:dyDescent="0.25">
      <c r="A1222" s="3" t="s">
        <v>1212</v>
      </c>
      <c r="B1222" s="3" t="s">
        <v>1760</v>
      </c>
    </row>
    <row r="1223" spans="1:2" ht="51" x14ac:dyDescent="0.25">
      <c r="A1223" s="3" t="s">
        <v>1147</v>
      </c>
      <c r="B1223" s="3" t="s">
        <v>1702</v>
      </c>
    </row>
    <row r="1224" spans="1:2" ht="76.5" x14ac:dyDescent="0.25">
      <c r="A1224" s="3" t="s">
        <v>499</v>
      </c>
      <c r="B1224" s="3" t="s">
        <v>2104</v>
      </c>
    </row>
    <row r="1225" spans="1:2" ht="38.25" x14ac:dyDescent="0.25">
      <c r="A1225" s="3" t="s">
        <v>1585</v>
      </c>
      <c r="B1225" s="3" t="s">
        <v>1703</v>
      </c>
    </row>
    <row r="1226" spans="1:2" ht="76.5" x14ac:dyDescent="0.25">
      <c r="A1226" s="3" t="s">
        <v>500</v>
      </c>
      <c r="B1226" s="3" t="s">
        <v>2105</v>
      </c>
    </row>
    <row r="1227" spans="1:2" ht="51" x14ac:dyDescent="0.25">
      <c r="A1227" s="3" t="s">
        <v>1228</v>
      </c>
      <c r="B1227" s="3" t="s">
        <v>1774</v>
      </c>
    </row>
    <row r="1228" spans="1:2" ht="51" x14ac:dyDescent="0.25">
      <c r="A1228" s="3" t="s">
        <v>501</v>
      </c>
      <c r="B1228" s="3" t="s">
        <v>2106</v>
      </c>
    </row>
    <row r="1229" spans="1:2" ht="51" x14ac:dyDescent="0.25">
      <c r="A1229" s="3" t="s">
        <v>502</v>
      </c>
      <c r="B1229" s="3" t="s">
        <v>2107</v>
      </c>
    </row>
    <row r="1230" spans="1:2" ht="51" x14ac:dyDescent="0.25">
      <c r="A1230" s="3" t="s">
        <v>503</v>
      </c>
      <c r="B1230" s="3" t="s">
        <v>2108</v>
      </c>
    </row>
    <row r="1231" spans="1:2" ht="51" x14ac:dyDescent="0.25">
      <c r="A1231" s="3" t="s">
        <v>504</v>
      </c>
      <c r="B1231" s="3" t="s">
        <v>2109</v>
      </c>
    </row>
    <row r="1232" spans="1:2" ht="51" x14ac:dyDescent="0.25">
      <c r="A1232" s="3" t="s">
        <v>505</v>
      </c>
      <c r="B1232" s="3" t="s">
        <v>2110</v>
      </c>
    </row>
    <row r="1233" spans="1:2" ht="25.5" x14ac:dyDescent="0.25">
      <c r="A1233" s="3" t="s">
        <v>506</v>
      </c>
      <c r="B1233" s="3" t="s">
        <v>2111</v>
      </c>
    </row>
    <row r="1234" spans="1:2" ht="38.25" x14ac:dyDescent="0.25">
      <c r="A1234" s="3" t="s">
        <v>507</v>
      </c>
      <c r="B1234" s="3" t="s">
        <v>2112</v>
      </c>
    </row>
    <row r="1235" spans="1:2" ht="25.5" x14ac:dyDescent="0.25">
      <c r="A1235" s="3" t="s">
        <v>510</v>
      </c>
      <c r="B1235" s="3" t="s">
        <v>2113</v>
      </c>
    </row>
    <row r="1236" spans="1:2" ht="63.75" x14ac:dyDescent="0.25">
      <c r="A1236" s="3" t="s">
        <v>1246</v>
      </c>
      <c r="B1236" s="3" t="s">
        <v>1791</v>
      </c>
    </row>
    <row r="1237" spans="1:2" x14ac:dyDescent="0.25">
      <c r="A1237" s="3" t="s">
        <v>1545</v>
      </c>
      <c r="B1237" s="3" t="s">
        <v>2049</v>
      </c>
    </row>
    <row r="1238" spans="1:2" ht="25.5" x14ac:dyDescent="0.25">
      <c r="A1238" s="3" t="s">
        <v>511</v>
      </c>
      <c r="B1238" s="3" t="s">
        <v>2114</v>
      </c>
    </row>
    <row r="1239" spans="1:2" ht="25.5" x14ac:dyDescent="0.25">
      <c r="A1239" s="3" t="s">
        <v>512</v>
      </c>
      <c r="B1239" s="3" t="s">
        <v>2115</v>
      </c>
    </row>
    <row r="1240" spans="1:2" ht="51" x14ac:dyDescent="0.25">
      <c r="A1240" s="3" t="s">
        <v>1247</v>
      </c>
      <c r="B1240" s="3" t="s">
        <v>1792</v>
      </c>
    </row>
    <row r="1241" spans="1:2" ht="76.5" x14ac:dyDescent="0.25">
      <c r="A1241" s="3" t="s">
        <v>1244</v>
      </c>
      <c r="B1241" s="3" t="s">
        <v>1789</v>
      </c>
    </row>
    <row r="1242" spans="1:2" ht="89.25" x14ac:dyDescent="0.25">
      <c r="A1242" s="3" t="s">
        <v>513</v>
      </c>
      <c r="B1242" s="3" t="s">
        <v>2116</v>
      </c>
    </row>
    <row r="1243" spans="1:2" ht="51" x14ac:dyDescent="0.25">
      <c r="A1243" s="3" t="s">
        <v>514</v>
      </c>
      <c r="B1243" s="3" t="s">
        <v>2117</v>
      </c>
    </row>
    <row r="1244" spans="1:2" ht="25.5" x14ac:dyDescent="0.25">
      <c r="A1244" s="3" t="s">
        <v>1253</v>
      </c>
      <c r="B1244" s="3" t="s">
        <v>1800</v>
      </c>
    </row>
    <row r="1245" spans="1:2" ht="25.5" x14ac:dyDescent="0.25">
      <c r="A1245" s="3" t="s">
        <v>1176</v>
      </c>
      <c r="B1245" s="3" t="s">
        <v>1728</v>
      </c>
    </row>
    <row r="1246" spans="1:2" ht="51" x14ac:dyDescent="0.25">
      <c r="A1246" s="3" t="s">
        <v>515</v>
      </c>
      <c r="B1246" s="3" t="s">
        <v>2118</v>
      </c>
    </row>
    <row r="1247" spans="1:2" ht="63.75" x14ac:dyDescent="0.25">
      <c r="A1247" s="3" t="s">
        <v>516</v>
      </c>
      <c r="B1247" s="3" t="s">
        <v>2119</v>
      </c>
    </row>
    <row r="1248" spans="1:2" ht="51" x14ac:dyDescent="0.25">
      <c r="A1248" s="3" t="s">
        <v>1146</v>
      </c>
      <c r="B1248" s="3" t="s">
        <v>1701</v>
      </c>
    </row>
    <row r="1249" spans="1:2" ht="38.25" x14ac:dyDescent="0.25">
      <c r="A1249" s="3" t="s">
        <v>517</v>
      </c>
      <c r="B1249" s="3" t="s">
        <v>2120</v>
      </c>
    </row>
    <row r="1250" spans="1:2" ht="25.5" x14ac:dyDescent="0.25">
      <c r="A1250" s="3" t="s">
        <v>1261</v>
      </c>
      <c r="B1250" s="3" t="s">
        <v>1806</v>
      </c>
    </row>
    <row r="1251" spans="1:2" ht="25.5" x14ac:dyDescent="0.25">
      <c r="A1251" s="3" t="s">
        <v>519</v>
      </c>
      <c r="B1251" s="3" t="s">
        <v>2121</v>
      </c>
    </row>
    <row r="1252" spans="1:2" ht="51" x14ac:dyDescent="0.25">
      <c r="A1252" s="3" t="s">
        <v>1151</v>
      </c>
      <c r="B1252" s="3" t="s">
        <v>1705</v>
      </c>
    </row>
    <row r="1253" spans="1:2" ht="25.5" x14ac:dyDescent="0.25">
      <c r="A1253" s="3" t="s">
        <v>520</v>
      </c>
      <c r="B1253" s="3" t="s">
        <v>2122</v>
      </c>
    </row>
    <row r="1254" spans="1:2" ht="38.25" x14ac:dyDescent="0.25">
      <c r="A1254" s="3" t="s">
        <v>521</v>
      </c>
      <c r="B1254" s="3" t="s">
        <v>2123</v>
      </c>
    </row>
    <row r="1255" spans="1:2" ht="25.5" x14ac:dyDescent="0.25">
      <c r="A1255" s="3" t="s">
        <v>522</v>
      </c>
      <c r="B1255" s="3" t="s">
        <v>2124</v>
      </c>
    </row>
    <row r="1256" spans="1:2" ht="51" x14ac:dyDescent="0.25">
      <c r="A1256" s="3" t="s">
        <v>523</v>
      </c>
      <c r="B1256" s="3" t="s">
        <v>2125</v>
      </c>
    </row>
    <row r="1257" spans="1:2" ht="51" x14ac:dyDescent="0.25">
      <c r="A1257" s="3" t="s">
        <v>524</v>
      </c>
      <c r="B1257" s="3" t="s">
        <v>2126</v>
      </c>
    </row>
    <row r="1258" spans="1:2" ht="51" x14ac:dyDescent="0.25">
      <c r="A1258" s="3" t="s">
        <v>525</v>
      </c>
      <c r="B1258" s="3" t="s">
        <v>2127</v>
      </c>
    </row>
    <row r="1259" spans="1:2" ht="25.5" x14ac:dyDescent="0.25">
      <c r="A1259" s="3" t="s">
        <v>526</v>
      </c>
      <c r="B1259" s="3" t="s">
        <v>2128</v>
      </c>
    </row>
    <row r="1260" spans="1:2" ht="51" x14ac:dyDescent="0.25">
      <c r="A1260" s="3" t="s">
        <v>1255</v>
      </c>
      <c r="B1260" s="3" t="s">
        <v>1803</v>
      </c>
    </row>
    <row r="1261" spans="1:2" ht="63.75" x14ac:dyDescent="0.25">
      <c r="A1261" s="3" t="s">
        <v>1242</v>
      </c>
      <c r="B1261" s="3" t="s">
        <v>1786</v>
      </c>
    </row>
    <row r="1262" spans="1:2" ht="25.5" x14ac:dyDescent="0.25">
      <c r="A1262" s="3" t="s">
        <v>1538</v>
      </c>
      <c r="B1262" s="3" t="s">
        <v>2042</v>
      </c>
    </row>
    <row r="1263" spans="1:2" ht="63.75" x14ac:dyDescent="0.25">
      <c r="A1263" s="3" t="s">
        <v>1557</v>
      </c>
      <c r="B1263" s="3" t="s">
        <v>2061</v>
      </c>
    </row>
    <row r="1264" spans="1:2" ht="63.75" x14ac:dyDescent="0.25">
      <c r="A1264" s="3" t="s">
        <v>1156</v>
      </c>
      <c r="B1264" s="3" t="s">
        <v>1710</v>
      </c>
    </row>
    <row r="1265" spans="1:2" ht="51" x14ac:dyDescent="0.25">
      <c r="A1265" s="3" t="s">
        <v>1219</v>
      </c>
      <c r="B1265" s="3" t="s">
        <v>1767</v>
      </c>
    </row>
    <row r="1266" spans="1:2" ht="51" x14ac:dyDescent="0.25">
      <c r="A1266" s="3" t="s">
        <v>1222</v>
      </c>
      <c r="B1266" s="3" t="s">
        <v>1770</v>
      </c>
    </row>
    <row r="1267" spans="1:2" ht="76.5" x14ac:dyDescent="0.25">
      <c r="A1267" s="3" t="s">
        <v>1215</v>
      </c>
      <c r="B1267" s="3" t="s">
        <v>1763</v>
      </c>
    </row>
    <row r="1268" spans="1:2" ht="51" x14ac:dyDescent="0.25">
      <c r="A1268" s="3" t="s">
        <v>1180</v>
      </c>
      <c r="B1268" s="3" t="s">
        <v>1731</v>
      </c>
    </row>
    <row r="1269" spans="1:2" ht="38.25" x14ac:dyDescent="0.25">
      <c r="A1269" s="3" t="s">
        <v>1566</v>
      </c>
      <c r="B1269" s="3" t="s">
        <v>2085</v>
      </c>
    </row>
    <row r="1270" spans="1:2" ht="38.25" x14ac:dyDescent="0.25">
      <c r="A1270" s="3" t="s">
        <v>1185</v>
      </c>
      <c r="B1270" s="3" t="s">
        <v>1734</v>
      </c>
    </row>
    <row r="1271" spans="1:2" ht="51" x14ac:dyDescent="0.25">
      <c r="A1271" s="3" t="s">
        <v>453</v>
      </c>
      <c r="B1271" s="3" t="s">
        <v>2079</v>
      </c>
    </row>
    <row r="1272" spans="1:2" ht="38.25" x14ac:dyDescent="0.25">
      <c r="A1272" s="3" t="s">
        <v>1189</v>
      </c>
      <c r="B1272" s="3" t="s">
        <v>1738</v>
      </c>
    </row>
    <row r="1273" spans="1:2" ht="38.25" x14ac:dyDescent="0.25">
      <c r="A1273" s="3" t="s">
        <v>1212</v>
      </c>
      <c r="B1273" s="3" t="s">
        <v>1760</v>
      </c>
    </row>
    <row r="1274" spans="1:2" ht="89.25" x14ac:dyDescent="0.25">
      <c r="A1274" s="3" t="s">
        <v>1200</v>
      </c>
      <c r="B1274" s="3" t="s">
        <v>1748</v>
      </c>
    </row>
    <row r="1275" spans="1:2" ht="25.5" x14ac:dyDescent="0.25">
      <c r="A1275" s="3" t="s">
        <v>1213</v>
      </c>
      <c r="B1275" s="3" t="s">
        <v>1761</v>
      </c>
    </row>
    <row r="1276" spans="1:2" ht="51" x14ac:dyDescent="0.25">
      <c r="A1276" s="3" t="s">
        <v>1565</v>
      </c>
      <c r="B1276" s="3" t="s">
        <v>2080</v>
      </c>
    </row>
    <row r="1277" spans="1:2" ht="63.75" x14ac:dyDescent="0.25">
      <c r="A1277" s="3" t="s">
        <v>1216</v>
      </c>
      <c r="B1277" s="3" t="s">
        <v>1764</v>
      </c>
    </row>
    <row r="1278" spans="1:2" ht="38.25" x14ac:dyDescent="0.25">
      <c r="A1278" s="3" t="s">
        <v>1192</v>
      </c>
      <c r="B1278" s="3" t="s">
        <v>1741</v>
      </c>
    </row>
    <row r="1279" spans="1:2" ht="51" x14ac:dyDescent="0.25">
      <c r="A1279" s="3" t="s">
        <v>1199</v>
      </c>
      <c r="B1279" s="3" t="s">
        <v>1747</v>
      </c>
    </row>
    <row r="1280" spans="1:2" ht="63.75" x14ac:dyDescent="0.25">
      <c r="A1280" s="3" t="s">
        <v>1193</v>
      </c>
      <c r="B1280" s="3" t="s">
        <v>1742</v>
      </c>
    </row>
    <row r="1281" spans="1:2" ht="25.5" x14ac:dyDescent="0.25">
      <c r="A1281" s="3" t="s">
        <v>1210</v>
      </c>
      <c r="B1281" s="3" t="s">
        <v>1758</v>
      </c>
    </row>
    <row r="1282" spans="1:2" ht="63.75" x14ac:dyDescent="0.25">
      <c r="A1282" s="3" t="s">
        <v>1233</v>
      </c>
      <c r="B1282" s="3" t="s">
        <v>1779</v>
      </c>
    </row>
    <row r="1283" spans="1:2" ht="25.5" x14ac:dyDescent="0.25">
      <c r="A1283" s="3" t="s">
        <v>1194</v>
      </c>
      <c r="B1283" s="3" t="s">
        <v>1743</v>
      </c>
    </row>
    <row r="1284" spans="1:2" ht="25.5" x14ac:dyDescent="0.25">
      <c r="A1284" s="3" t="s">
        <v>1195</v>
      </c>
      <c r="B1284" s="3" t="s">
        <v>1744</v>
      </c>
    </row>
    <row r="1285" spans="1:2" ht="25.5" x14ac:dyDescent="0.25">
      <c r="A1285" s="3" t="s">
        <v>510</v>
      </c>
      <c r="B1285" s="3" t="s">
        <v>2113</v>
      </c>
    </row>
    <row r="1286" spans="1:2" ht="63.75" x14ac:dyDescent="0.25">
      <c r="A1286" s="3" t="s">
        <v>1246</v>
      </c>
      <c r="B1286" s="3" t="s">
        <v>1791</v>
      </c>
    </row>
    <row r="1287" spans="1:2" x14ac:dyDescent="0.25">
      <c r="A1287" s="3" t="s">
        <v>1545</v>
      </c>
      <c r="B1287" s="3" t="s">
        <v>2049</v>
      </c>
    </row>
    <row r="1288" spans="1:2" ht="25.5" x14ac:dyDescent="0.25">
      <c r="A1288" s="3" t="s">
        <v>511</v>
      </c>
      <c r="B1288" s="3" t="s">
        <v>2114</v>
      </c>
    </row>
    <row r="1289" spans="1:2" ht="25.5" x14ac:dyDescent="0.25">
      <c r="A1289" s="3" t="s">
        <v>512</v>
      </c>
      <c r="B1289" s="3" t="s">
        <v>2115</v>
      </c>
    </row>
    <row r="1290" spans="1:2" ht="51" x14ac:dyDescent="0.25">
      <c r="A1290" s="3" t="s">
        <v>1247</v>
      </c>
      <c r="B1290" s="3" t="s">
        <v>1792</v>
      </c>
    </row>
    <row r="1291" spans="1:2" ht="76.5" x14ac:dyDescent="0.25">
      <c r="A1291" s="3" t="s">
        <v>1244</v>
      </c>
      <c r="B1291" s="3" t="s">
        <v>1789</v>
      </c>
    </row>
    <row r="1292" spans="1:2" ht="89.25" x14ac:dyDescent="0.25">
      <c r="A1292" s="3" t="s">
        <v>513</v>
      </c>
      <c r="B1292" s="3" t="s">
        <v>2116</v>
      </c>
    </row>
    <row r="1293" spans="1:2" ht="51" x14ac:dyDescent="0.25">
      <c r="A1293" s="3" t="s">
        <v>514</v>
      </c>
      <c r="B1293" s="3" t="s">
        <v>2117</v>
      </c>
    </row>
    <row r="1294" spans="1:2" ht="25.5" x14ac:dyDescent="0.25">
      <c r="A1294" s="3" t="s">
        <v>1253</v>
      </c>
      <c r="B1294" s="3" t="s">
        <v>1800</v>
      </c>
    </row>
    <row r="1295" spans="1:2" ht="25.5" x14ac:dyDescent="0.25">
      <c r="A1295" s="3" t="s">
        <v>1176</v>
      </c>
      <c r="B1295" s="3" t="s">
        <v>1728</v>
      </c>
    </row>
    <row r="1296" spans="1:2" ht="51" x14ac:dyDescent="0.25">
      <c r="A1296" s="3" t="s">
        <v>515</v>
      </c>
      <c r="B1296" s="3" t="s">
        <v>2118</v>
      </c>
    </row>
    <row r="1297" spans="1:2" ht="63.75" x14ac:dyDescent="0.25">
      <c r="A1297" s="3" t="s">
        <v>516</v>
      </c>
      <c r="B1297" s="3" t="s">
        <v>2119</v>
      </c>
    </row>
    <row r="1298" spans="1:2" ht="51" x14ac:dyDescent="0.25">
      <c r="A1298" s="3" t="s">
        <v>1146</v>
      </c>
      <c r="B1298" s="3" t="s">
        <v>1701</v>
      </c>
    </row>
    <row r="1299" spans="1:2" ht="38.25" x14ac:dyDescent="0.25">
      <c r="A1299" s="3" t="s">
        <v>517</v>
      </c>
      <c r="B1299" s="3" t="s">
        <v>2120</v>
      </c>
    </row>
    <row r="1300" spans="1:2" ht="25.5" x14ac:dyDescent="0.25">
      <c r="A1300" s="3" t="s">
        <v>1261</v>
      </c>
      <c r="B1300" s="3" t="s">
        <v>1806</v>
      </c>
    </row>
    <row r="1301" spans="1:2" ht="25.5" x14ac:dyDescent="0.25">
      <c r="A1301" s="3" t="s">
        <v>519</v>
      </c>
      <c r="B1301" s="3" t="s">
        <v>2121</v>
      </c>
    </row>
    <row r="1302" spans="1:2" ht="51" x14ac:dyDescent="0.25">
      <c r="A1302" s="3" t="s">
        <v>1151</v>
      </c>
      <c r="B1302" s="3" t="s">
        <v>1705</v>
      </c>
    </row>
    <row r="1303" spans="1:2" ht="25.5" x14ac:dyDescent="0.25">
      <c r="A1303" s="3" t="s">
        <v>520</v>
      </c>
      <c r="B1303" s="3" t="s">
        <v>2122</v>
      </c>
    </row>
    <row r="1304" spans="1:2" ht="38.25" x14ac:dyDescent="0.25">
      <c r="A1304" s="3" t="s">
        <v>521</v>
      </c>
      <c r="B1304" s="3" t="s">
        <v>2123</v>
      </c>
    </row>
    <row r="1305" spans="1:2" ht="25.5" x14ac:dyDescent="0.25">
      <c r="A1305" s="3" t="s">
        <v>522</v>
      </c>
      <c r="B1305" s="3" t="s">
        <v>2124</v>
      </c>
    </row>
    <row r="1306" spans="1:2" ht="51" x14ac:dyDescent="0.25">
      <c r="A1306" s="3" t="s">
        <v>523</v>
      </c>
      <c r="B1306" s="3" t="s">
        <v>2125</v>
      </c>
    </row>
    <row r="1307" spans="1:2" ht="51" x14ac:dyDescent="0.25">
      <c r="A1307" s="3" t="s">
        <v>524</v>
      </c>
      <c r="B1307" s="3" t="s">
        <v>2126</v>
      </c>
    </row>
    <row r="1308" spans="1:2" ht="51" x14ac:dyDescent="0.25">
      <c r="A1308" s="3" t="s">
        <v>525</v>
      </c>
      <c r="B1308" s="3" t="s">
        <v>2127</v>
      </c>
    </row>
    <row r="1309" spans="1:2" ht="25.5" x14ac:dyDescent="0.25">
      <c r="A1309" s="3" t="s">
        <v>526</v>
      </c>
      <c r="B1309" s="3" t="s">
        <v>2128</v>
      </c>
    </row>
    <row r="1310" spans="1:2" ht="51" x14ac:dyDescent="0.25">
      <c r="A1310" s="3" t="s">
        <v>1255</v>
      </c>
      <c r="B1310" s="3" t="s">
        <v>1803</v>
      </c>
    </row>
    <row r="1311" spans="1:2" ht="63.75" x14ac:dyDescent="0.25">
      <c r="A1311" s="3" t="s">
        <v>1242</v>
      </c>
      <c r="B1311" s="3" t="s">
        <v>1786</v>
      </c>
    </row>
    <row r="1312" spans="1:2" ht="25.5" x14ac:dyDescent="0.25">
      <c r="A1312" s="3" t="s">
        <v>1538</v>
      </c>
      <c r="B1312" s="3" t="s">
        <v>2042</v>
      </c>
    </row>
    <row r="1313" spans="1:2" ht="63.75" x14ac:dyDescent="0.25">
      <c r="A1313" s="3" t="s">
        <v>1557</v>
      </c>
      <c r="B1313" s="3" t="s">
        <v>2061</v>
      </c>
    </row>
    <row r="1314" spans="1:2" ht="63.75" x14ac:dyDescent="0.25">
      <c r="A1314" s="3" t="s">
        <v>1156</v>
      </c>
      <c r="B1314" s="3" t="s">
        <v>1710</v>
      </c>
    </row>
    <row r="1315" spans="1:2" ht="25.5" x14ac:dyDescent="0.25">
      <c r="A1315" s="3" t="s">
        <v>1261</v>
      </c>
      <c r="B1315" s="3" t="s">
        <v>1806</v>
      </c>
    </row>
    <row r="1316" spans="1:2" ht="51" x14ac:dyDescent="0.25">
      <c r="A1316" s="3" t="s">
        <v>453</v>
      </c>
      <c r="B1316" s="3" t="s">
        <v>2079</v>
      </c>
    </row>
    <row r="1317" spans="1:2" ht="38.25" x14ac:dyDescent="0.25">
      <c r="A1317" s="3" t="s">
        <v>532</v>
      </c>
      <c r="B1317" s="3" t="s">
        <v>2129</v>
      </c>
    </row>
    <row r="1318" spans="1:2" ht="38.25" x14ac:dyDescent="0.25">
      <c r="A1318" s="3" t="s">
        <v>1171</v>
      </c>
      <c r="B1318" s="3" t="s">
        <v>1723</v>
      </c>
    </row>
    <row r="1319" spans="1:2" ht="25.5" x14ac:dyDescent="0.25">
      <c r="A1319" s="3" t="s">
        <v>533</v>
      </c>
      <c r="B1319" s="3" t="s">
        <v>2130</v>
      </c>
    </row>
    <row r="1320" spans="1:2" ht="25.5" x14ac:dyDescent="0.25">
      <c r="A1320" s="3" t="s">
        <v>534</v>
      </c>
      <c r="B1320" s="3" t="s">
        <v>2131</v>
      </c>
    </row>
    <row r="1321" spans="1:2" ht="51" x14ac:dyDescent="0.25">
      <c r="A1321" s="3" t="s">
        <v>1170</v>
      </c>
      <c r="B1321" s="3" t="s">
        <v>1722</v>
      </c>
    </row>
    <row r="1322" spans="1:2" ht="38.25" x14ac:dyDescent="0.25">
      <c r="A1322" s="3" t="s">
        <v>1185</v>
      </c>
      <c r="B1322" s="3" t="s">
        <v>1734</v>
      </c>
    </row>
    <row r="1323" spans="1:2" ht="38.25" x14ac:dyDescent="0.25">
      <c r="A1323" s="3" t="s">
        <v>1240</v>
      </c>
      <c r="B1323" s="3" t="s">
        <v>1785</v>
      </c>
    </row>
    <row r="1324" spans="1:2" ht="38.25" x14ac:dyDescent="0.25">
      <c r="A1324" s="3" t="s">
        <v>1189</v>
      </c>
      <c r="B1324" s="3" t="s">
        <v>1738</v>
      </c>
    </row>
    <row r="1325" spans="1:2" ht="102" x14ac:dyDescent="0.25">
      <c r="A1325" s="3" t="s">
        <v>420</v>
      </c>
      <c r="B1325" s="3" t="s">
        <v>2132</v>
      </c>
    </row>
    <row r="1326" spans="1:2" ht="114.75" x14ac:dyDescent="0.25">
      <c r="A1326" s="3" t="s">
        <v>539</v>
      </c>
      <c r="B1326" s="3" t="s">
        <v>2133</v>
      </c>
    </row>
    <row r="1327" spans="1:2" ht="25.5" x14ac:dyDescent="0.25">
      <c r="A1327" s="3" t="s">
        <v>1443</v>
      </c>
      <c r="B1327" s="3" t="s">
        <v>1950</v>
      </c>
    </row>
    <row r="1328" spans="1:2" ht="127.5" x14ac:dyDescent="0.25">
      <c r="A1328" s="3" t="s">
        <v>543</v>
      </c>
      <c r="B1328" s="3" t="s">
        <v>2134</v>
      </c>
    </row>
    <row r="1329" spans="1:2" ht="140.25" x14ac:dyDescent="0.25">
      <c r="A1329" s="3" t="s">
        <v>544</v>
      </c>
      <c r="B1329" s="3" t="s">
        <v>2135</v>
      </c>
    </row>
    <row r="1330" spans="1:2" ht="38.25" x14ac:dyDescent="0.25">
      <c r="A1330" s="3" t="s">
        <v>1436</v>
      </c>
      <c r="B1330" s="3" t="s">
        <v>1945</v>
      </c>
    </row>
    <row r="1331" spans="1:2" ht="76.5" x14ac:dyDescent="0.25">
      <c r="A1331" s="3" t="s">
        <v>545</v>
      </c>
      <c r="B1331" s="3" t="s">
        <v>2136</v>
      </c>
    </row>
    <row r="1332" spans="1:2" ht="102" x14ac:dyDescent="0.25">
      <c r="A1332" s="3" t="s">
        <v>420</v>
      </c>
      <c r="B1332" s="3" t="s">
        <v>2132</v>
      </c>
    </row>
    <row r="1333" spans="1:2" ht="89.25" x14ac:dyDescent="0.25">
      <c r="A1333" s="3" t="s">
        <v>425</v>
      </c>
      <c r="B1333" s="3" t="s">
        <v>2137</v>
      </c>
    </row>
    <row r="1334" spans="1:2" ht="89.25" x14ac:dyDescent="0.25">
      <c r="A1334" s="3" t="s">
        <v>550</v>
      </c>
      <c r="B1334" s="3" t="s">
        <v>2138</v>
      </c>
    </row>
    <row r="1335" spans="1:2" ht="25.5" x14ac:dyDescent="0.25">
      <c r="A1335" s="3" t="s">
        <v>1443</v>
      </c>
      <c r="B1335" s="3" t="s">
        <v>1950</v>
      </c>
    </row>
    <row r="1336" spans="1:2" ht="102" x14ac:dyDescent="0.25">
      <c r="A1336" s="3" t="s">
        <v>554</v>
      </c>
      <c r="B1336" s="3" t="s">
        <v>2139</v>
      </c>
    </row>
    <row r="1337" spans="1:2" ht="114.75" x14ac:dyDescent="0.25">
      <c r="A1337" s="3" t="s">
        <v>556</v>
      </c>
      <c r="B1337" s="3" t="s">
        <v>2140</v>
      </c>
    </row>
    <row r="1338" spans="1:2" ht="38.25" x14ac:dyDescent="0.25">
      <c r="A1338" s="3" t="s">
        <v>1436</v>
      </c>
      <c r="B1338" s="3" t="s">
        <v>1945</v>
      </c>
    </row>
    <row r="1339" spans="1:2" ht="76.5" x14ac:dyDescent="0.25">
      <c r="A1339" s="3" t="s">
        <v>545</v>
      </c>
      <c r="B1339" s="3" t="s">
        <v>2136</v>
      </c>
    </row>
    <row r="1340" spans="1:2" ht="89.25" x14ac:dyDescent="0.25">
      <c r="A1340" s="3" t="s">
        <v>425</v>
      </c>
      <c r="B1340" s="3" t="s">
        <v>2137</v>
      </c>
    </row>
    <row r="1341" spans="1:2" ht="25.5" x14ac:dyDescent="0.25">
      <c r="A1341" s="3" t="s">
        <v>1443</v>
      </c>
      <c r="B1341" s="3" t="s">
        <v>1950</v>
      </c>
    </row>
    <row r="1342" spans="1:2" ht="76.5" x14ac:dyDescent="0.25">
      <c r="A1342" s="3" t="s">
        <v>560</v>
      </c>
      <c r="B1342" s="3" t="s">
        <v>2141</v>
      </c>
    </row>
    <row r="1343" spans="1:2" ht="76.5" x14ac:dyDescent="0.25">
      <c r="A1343" s="3" t="s">
        <v>432</v>
      </c>
      <c r="B1343" s="3" t="s">
        <v>2142</v>
      </c>
    </row>
    <row r="1344" spans="1:2" ht="51" x14ac:dyDescent="0.25">
      <c r="A1344" s="3" t="s">
        <v>206</v>
      </c>
      <c r="B1344" s="3" t="s">
        <v>1944</v>
      </c>
    </row>
    <row r="1345" spans="1:2" ht="38.25" x14ac:dyDescent="0.25">
      <c r="A1345" s="3" t="s">
        <v>1436</v>
      </c>
      <c r="B1345" s="3" t="s">
        <v>1945</v>
      </c>
    </row>
    <row r="1346" spans="1:2" ht="102" x14ac:dyDescent="0.25">
      <c r="A1346" s="3" t="s">
        <v>562</v>
      </c>
      <c r="B1346" s="3" t="s">
        <v>2143</v>
      </c>
    </row>
    <row r="1347" spans="1:2" ht="102" x14ac:dyDescent="0.25">
      <c r="A1347" s="3" t="s">
        <v>563</v>
      </c>
      <c r="B1347" s="3" t="s">
        <v>2144</v>
      </c>
    </row>
    <row r="1348" spans="1:2" ht="76.5" x14ac:dyDescent="0.25">
      <c r="A1348" s="3" t="s">
        <v>432</v>
      </c>
      <c r="B1348" s="3" t="s">
        <v>2142</v>
      </c>
    </row>
    <row r="1349" spans="1:2" ht="89.25" x14ac:dyDescent="0.25">
      <c r="A1349" s="3" t="s">
        <v>428</v>
      </c>
      <c r="B1349" s="3" t="s">
        <v>2145</v>
      </c>
    </row>
    <row r="1350" spans="1:2" ht="102" x14ac:dyDescent="0.25">
      <c r="A1350" s="3" t="s">
        <v>566</v>
      </c>
      <c r="B1350" s="3" t="s">
        <v>2146</v>
      </c>
    </row>
    <row r="1351" spans="1:2" ht="25.5" x14ac:dyDescent="0.25">
      <c r="A1351" s="3" t="s">
        <v>1443</v>
      </c>
      <c r="B1351" s="3" t="s">
        <v>1950</v>
      </c>
    </row>
    <row r="1352" spans="1:2" ht="127.5" x14ac:dyDescent="0.25">
      <c r="A1352" s="3" t="s">
        <v>570</v>
      </c>
      <c r="B1352" s="3" t="s">
        <v>2147</v>
      </c>
    </row>
    <row r="1353" spans="1:2" ht="127.5" x14ac:dyDescent="0.25">
      <c r="A1353" s="3" t="s">
        <v>571</v>
      </c>
      <c r="B1353" s="3" t="s">
        <v>2148</v>
      </c>
    </row>
    <row r="1354" spans="1:2" ht="38.25" x14ac:dyDescent="0.25">
      <c r="A1354" s="3" t="s">
        <v>1436</v>
      </c>
      <c r="B1354" s="3" t="s">
        <v>1945</v>
      </c>
    </row>
    <row r="1355" spans="1:2" ht="51" x14ac:dyDescent="0.25">
      <c r="A1355" s="3" t="s">
        <v>206</v>
      </c>
      <c r="B1355" s="3" t="s">
        <v>1944</v>
      </c>
    </row>
    <row r="1356" spans="1:2" ht="89.25" x14ac:dyDescent="0.25">
      <c r="A1356" s="3" t="s">
        <v>428</v>
      </c>
      <c r="B1356" s="3" t="s">
        <v>2145</v>
      </c>
    </row>
    <row r="1357" spans="1:2" ht="76.5" x14ac:dyDescent="0.25">
      <c r="A1357" s="3" t="s">
        <v>430</v>
      </c>
      <c r="B1357" s="3" t="s">
        <v>2149</v>
      </c>
    </row>
    <row r="1358" spans="1:2" ht="76.5" x14ac:dyDescent="0.25">
      <c r="A1358" s="3" t="s">
        <v>576</v>
      </c>
      <c r="B1358" s="3" t="s">
        <v>2150</v>
      </c>
    </row>
    <row r="1359" spans="1:2" ht="25.5" x14ac:dyDescent="0.25">
      <c r="A1359" s="3" t="s">
        <v>1443</v>
      </c>
      <c r="B1359" s="3" t="s">
        <v>1950</v>
      </c>
    </row>
    <row r="1360" spans="1:2" ht="102" x14ac:dyDescent="0.25">
      <c r="A1360" s="3" t="s">
        <v>580</v>
      </c>
      <c r="B1360" s="3" t="s">
        <v>2151</v>
      </c>
    </row>
    <row r="1361" spans="1:2" ht="102" x14ac:dyDescent="0.25">
      <c r="A1361" s="3" t="s">
        <v>581</v>
      </c>
      <c r="B1361" s="3" t="s">
        <v>2152</v>
      </c>
    </row>
    <row r="1362" spans="1:2" ht="38.25" x14ac:dyDescent="0.25">
      <c r="A1362" s="3" t="s">
        <v>1436</v>
      </c>
      <c r="B1362" s="3" t="s">
        <v>1945</v>
      </c>
    </row>
    <row r="1363" spans="1:2" ht="51" x14ac:dyDescent="0.25">
      <c r="A1363" s="3" t="s">
        <v>206</v>
      </c>
      <c r="B1363" s="3" t="s">
        <v>1944</v>
      </c>
    </row>
    <row r="1364" spans="1:2" ht="76.5" x14ac:dyDescent="0.25">
      <c r="A1364" s="3" t="s">
        <v>430</v>
      </c>
      <c r="B1364" s="3" t="s">
        <v>2149</v>
      </c>
    </row>
    <row r="1365" spans="1:2" ht="51" x14ac:dyDescent="0.25">
      <c r="A1365" s="3" t="s">
        <v>585</v>
      </c>
      <c r="B1365" s="3" t="s">
        <v>2153</v>
      </c>
    </row>
    <row r="1366" spans="1:2" ht="76.5" x14ac:dyDescent="0.25">
      <c r="A1366" s="3" t="s">
        <v>587</v>
      </c>
      <c r="B1366" s="3" t="s">
        <v>2154</v>
      </c>
    </row>
    <row r="1367" spans="1:2" ht="25.5" x14ac:dyDescent="0.25">
      <c r="A1367" s="3" t="s">
        <v>1443</v>
      </c>
      <c r="B1367" s="3" t="s">
        <v>1950</v>
      </c>
    </row>
    <row r="1368" spans="1:2" ht="76.5" x14ac:dyDescent="0.25">
      <c r="A1368" s="3" t="s">
        <v>591</v>
      </c>
      <c r="B1368" s="3" t="s">
        <v>2155</v>
      </c>
    </row>
    <row r="1369" spans="1:2" ht="76.5" x14ac:dyDescent="0.25">
      <c r="A1369" s="3" t="s">
        <v>592</v>
      </c>
      <c r="B1369" s="3" t="s">
        <v>2156</v>
      </c>
    </row>
    <row r="1370" spans="1:2" ht="51" x14ac:dyDescent="0.25">
      <c r="A1370" s="3" t="s">
        <v>585</v>
      </c>
      <c r="B1370" s="3" t="s">
        <v>2153</v>
      </c>
    </row>
    <row r="1371" spans="1:2" ht="76.5" x14ac:dyDescent="0.25">
      <c r="A1371" s="3" t="s">
        <v>594</v>
      </c>
      <c r="B1371" s="3" t="s">
        <v>2157</v>
      </c>
    </row>
    <row r="1372" spans="1:2" ht="51" x14ac:dyDescent="0.25">
      <c r="A1372" s="3" t="s">
        <v>585</v>
      </c>
      <c r="B1372" s="3" t="s">
        <v>2153</v>
      </c>
    </row>
    <row r="1373" spans="1:2" ht="89.25" x14ac:dyDescent="0.25">
      <c r="A1373" s="3" t="s">
        <v>598</v>
      </c>
      <c r="B1373" s="3" t="s">
        <v>2158</v>
      </c>
    </row>
    <row r="1374" spans="1:2" ht="76.5" x14ac:dyDescent="0.25">
      <c r="A1374" s="3" t="s">
        <v>599</v>
      </c>
      <c r="B1374" s="3" t="s">
        <v>2159</v>
      </c>
    </row>
    <row r="1375" spans="1:2" ht="51" x14ac:dyDescent="0.25">
      <c r="A1375" s="3" t="s">
        <v>602</v>
      </c>
      <c r="B1375" s="3" t="s">
        <v>2160</v>
      </c>
    </row>
    <row r="1376" spans="1:2" ht="76.5" x14ac:dyDescent="0.25">
      <c r="A1376" s="3" t="s">
        <v>604</v>
      </c>
      <c r="B1376" s="3" t="s">
        <v>2161</v>
      </c>
    </row>
    <row r="1377" spans="1:2" ht="25.5" x14ac:dyDescent="0.25">
      <c r="A1377" s="3" t="s">
        <v>1443</v>
      </c>
      <c r="B1377" s="3" t="s">
        <v>1950</v>
      </c>
    </row>
    <row r="1378" spans="1:2" ht="51" x14ac:dyDescent="0.25">
      <c r="A1378" s="3" t="s">
        <v>602</v>
      </c>
      <c r="B1378" s="3" t="s">
        <v>2160</v>
      </c>
    </row>
    <row r="1379" spans="1:2" ht="89.25" x14ac:dyDescent="0.25">
      <c r="A1379" s="3" t="s">
        <v>608</v>
      </c>
      <c r="B1379" s="3" t="s">
        <v>2162</v>
      </c>
    </row>
    <row r="1380" spans="1:2" ht="76.5" x14ac:dyDescent="0.25">
      <c r="A1380" s="3" t="s">
        <v>599</v>
      </c>
      <c r="B1380" s="3" t="s">
        <v>2159</v>
      </c>
    </row>
    <row r="1381" spans="1:2" ht="51" x14ac:dyDescent="0.25">
      <c r="A1381" s="3" t="s">
        <v>602</v>
      </c>
      <c r="B1381" s="3" t="s">
        <v>2160</v>
      </c>
    </row>
    <row r="1382" spans="1:2" ht="76.5" x14ac:dyDescent="0.25">
      <c r="A1382" s="3" t="s">
        <v>612</v>
      </c>
      <c r="B1382" s="3" t="s">
        <v>2163</v>
      </c>
    </row>
    <row r="1383" spans="1:2" ht="89.25" x14ac:dyDescent="0.25">
      <c r="A1383" s="3" t="s">
        <v>613</v>
      </c>
      <c r="B1383" s="3" t="s">
        <v>2164</v>
      </c>
    </row>
    <row r="1384" spans="1:2" ht="76.5" x14ac:dyDescent="0.25">
      <c r="A1384" s="3" t="s">
        <v>594</v>
      </c>
      <c r="B1384" s="3" t="s">
        <v>2157</v>
      </c>
    </row>
    <row r="1385" spans="1:2" ht="63.75" x14ac:dyDescent="0.25">
      <c r="A1385" s="3" t="s">
        <v>616</v>
      </c>
      <c r="B1385" s="3" t="s">
        <v>2165</v>
      </c>
    </row>
    <row r="1386" spans="1:2" ht="63.75" x14ac:dyDescent="0.25">
      <c r="A1386" s="3" t="s">
        <v>1489</v>
      </c>
      <c r="B1386" s="3" t="s">
        <v>1975</v>
      </c>
    </row>
    <row r="1387" spans="1:2" ht="25.5" x14ac:dyDescent="0.25">
      <c r="A1387" s="3" t="s">
        <v>1443</v>
      </c>
      <c r="B1387" s="3" t="s">
        <v>1950</v>
      </c>
    </row>
    <row r="1388" spans="1:2" ht="38.25" x14ac:dyDescent="0.25">
      <c r="A1388" s="3" t="s">
        <v>531</v>
      </c>
      <c r="B1388" s="3" t="s">
        <v>2166</v>
      </c>
    </row>
    <row r="1389" spans="1:2" ht="63.75" x14ac:dyDescent="0.25">
      <c r="A1389" s="3" t="s">
        <v>619</v>
      </c>
      <c r="B1389" s="3" t="s">
        <v>2167</v>
      </c>
    </row>
    <row r="1390" spans="1:2" ht="63.75" x14ac:dyDescent="0.25">
      <c r="A1390" s="3" t="s">
        <v>621</v>
      </c>
      <c r="B1390" s="3" t="s">
        <v>2168</v>
      </c>
    </row>
    <row r="1391" spans="1:2" ht="51" x14ac:dyDescent="0.25">
      <c r="A1391" s="3" t="s">
        <v>1322</v>
      </c>
      <c r="B1391" s="3" t="s">
        <v>1861</v>
      </c>
    </row>
    <row r="1392" spans="1:2" ht="25.5" x14ac:dyDescent="0.25">
      <c r="A1392" s="3" t="s">
        <v>1323</v>
      </c>
      <c r="B1392" s="3" t="s">
        <v>1862</v>
      </c>
    </row>
    <row r="1393" spans="1:2" ht="38.25" x14ac:dyDescent="0.25">
      <c r="A1393" s="3" t="s">
        <v>531</v>
      </c>
      <c r="B1393" s="3" t="s">
        <v>2166</v>
      </c>
    </row>
    <row r="1394" spans="1:2" ht="89.25" x14ac:dyDescent="0.25">
      <c r="A1394" s="3" t="s">
        <v>625</v>
      </c>
      <c r="B1394" s="3" t="s">
        <v>2169</v>
      </c>
    </row>
    <row r="1395" spans="1:2" ht="25.5" x14ac:dyDescent="0.25">
      <c r="A1395" s="3" t="s">
        <v>1443</v>
      </c>
      <c r="B1395" s="3" t="s">
        <v>1950</v>
      </c>
    </row>
    <row r="1396" spans="1:2" ht="63.75" x14ac:dyDescent="0.25">
      <c r="A1396" s="3" t="s">
        <v>509</v>
      </c>
      <c r="B1396" s="3" t="s">
        <v>2170</v>
      </c>
    </row>
    <row r="1397" spans="1:2" ht="114.75" x14ac:dyDescent="0.25">
      <c r="A1397" s="3" t="s">
        <v>630</v>
      </c>
      <c r="B1397" s="3" t="s">
        <v>2171</v>
      </c>
    </row>
    <row r="1398" spans="1:2" ht="114.75" x14ac:dyDescent="0.25">
      <c r="A1398" s="3" t="s">
        <v>631</v>
      </c>
      <c r="B1398" s="3" t="s">
        <v>2172</v>
      </c>
    </row>
    <row r="1399" spans="1:2" ht="25.5" x14ac:dyDescent="0.25">
      <c r="A1399" s="3" t="s">
        <v>1301</v>
      </c>
      <c r="B1399" s="3" t="s">
        <v>1845</v>
      </c>
    </row>
    <row r="1400" spans="1:2" ht="63.75" x14ac:dyDescent="0.25">
      <c r="A1400" s="3" t="s">
        <v>509</v>
      </c>
      <c r="B1400" s="3" t="s">
        <v>2170</v>
      </c>
    </row>
    <row r="1401" spans="1:2" ht="114.75" x14ac:dyDescent="0.25">
      <c r="A1401" s="3" t="s">
        <v>635</v>
      </c>
      <c r="B1401" s="3" t="s">
        <v>2173</v>
      </c>
    </row>
    <row r="1402" spans="1:2" ht="114.75" x14ac:dyDescent="0.25">
      <c r="A1402" s="3" t="s">
        <v>636</v>
      </c>
      <c r="B1402" s="3" t="s">
        <v>2174</v>
      </c>
    </row>
    <row r="1403" spans="1:2" ht="25.5" x14ac:dyDescent="0.25">
      <c r="A1403" s="3" t="s">
        <v>1301</v>
      </c>
      <c r="B1403" s="3" t="s">
        <v>1845</v>
      </c>
    </row>
    <row r="1404" spans="1:2" ht="89.25" x14ac:dyDescent="0.25">
      <c r="A1404" s="3" t="s">
        <v>530</v>
      </c>
      <c r="B1404" s="3" t="s">
        <v>2175</v>
      </c>
    </row>
    <row r="1405" spans="1:2" ht="25.5" x14ac:dyDescent="0.25">
      <c r="A1405" s="3" t="s">
        <v>1443</v>
      </c>
      <c r="B1405" s="3" t="s">
        <v>1950</v>
      </c>
    </row>
    <row r="1406" spans="1:2" ht="102" x14ac:dyDescent="0.25">
      <c r="A1406" s="3" t="s">
        <v>638</v>
      </c>
      <c r="B1406" s="3" t="s">
        <v>2176</v>
      </c>
    </row>
    <row r="1407" spans="1:2" ht="63.75" x14ac:dyDescent="0.25">
      <c r="A1407" s="3" t="s">
        <v>509</v>
      </c>
      <c r="B1407" s="3" t="s">
        <v>2170</v>
      </c>
    </row>
    <row r="1408" spans="1:2" ht="76.5" x14ac:dyDescent="0.25">
      <c r="A1408" s="3" t="s">
        <v>640</v>
      </c>
      <c r="B1408" s="3" t="s">
        <v>2177</v>
      </c>
    </row>
    <row r="1409" spans="1:2" ht="25.5" x14ac:dyDescent="0.25">
      <c r="A1409" s="3" t="s">
        <v>1443</v>
      </c>
      <c r="B1409" s="3" t="s">
        <v>1950</v>
      </c>
    </row>
    <row r="1410" spans="1:2" ht="76.5" x14ac:dyDescent="0.25">
      <c r="A1410" s="3" t="s">
        <v>414</v>
      </c>
      <c r="B1410" s="3" t="s">
        <v>2178</v>
      </c>
    </row>
    <row r="1411" spans="1:2" ht="89.25" x14ac:dyDescent="0.25">
      <c r="A1411" s="3" t="s">
        <v>645</v>
      </c>
      <c r="B1411" s="3" t="s">
        <v>2179</v>
      </c>
    </row>
    <row r="1412" spans="1:2" ht="89.25" x14ac:dyDescent="0.25">
      <c r="A1412" s="3" t="s">
        <v>646</v>
      </c>
      <c r="B1412" s="3" t="s">
        <v>2180</v>
      </c>
    </row>
    <row r="1413" spans="1:2" ht="25.5" x14ac:dyDescent="0.25">
      <c r="A1413" s="3" t="s">
        <v>1301</v>
      </c>
      <c r="B1413" s="3" t="s">
        <v>1845</v>
      </c>
    </row>
    <row r="1414" spans="1:2" ht="76.5" x14ac:dyDescent="0.25">
      <c r="A1414" s="3" t="s">
        <v>414</v>
      </c>
      <c r="B1414" s="3" t="s">
        <v>2178</v>
      </c>
    </row>
    <row r="1415" spans="1:2" ht="76.5" x14ac:dyDescent="0.25">
      <c r="A1415" s="3" t="s">
        <v>452</v>
      </c>
      <c r="B1415" s="3" t="s">
        <v>2181</v>
      </c>
    </row>
    <row r="1416" spans="1:2" ht="89.25" x14ac:dyDescent="0.25">
      <c r="A1416" s="3" t="s">
        <v>649</v>
      </c>
      <c r="B1416" s="3" t="s">
        <v>2182</v>
      </c>
    </row>
    <row r="1417" spans="1:2" ht="25.5" x14ac:dyDescent="0.25">
      <c r="A1417" s="3" t="s">
        <v>1443</v>
      </c>
      <c r="B1417" s="3" t="s">
        <v>1950</v>
      </c>
    </row>
    <row r="1418" spans="1:2" ht="76.5" x14ac:dyDescent="0.25">
      <c r="A1418" s="3" t="s">
        <v>452</v>
      </c>
      <c r="B1418" s="3" t="s">
        <v>2181</v>
      </c>
    </row>
    <row r="1419" spans="1:2" ht="89.25" x14ac:dyDescent="0.25">
      <c r="A1419" s="3" t="s">
        <v>654</v>
      </c>
      <c r="B1419" s="3" t="s">
        <v>2183</v>
      </c>
    </row>
    <row r="1420" spans="1:2" ht="38.25" x14ac:dyDescent="0.25">
      <c r="A1420" s="3" t="s">
        <v>304</v>
      </c>
      <c r="B1420" s="3" t="s">
        <v>1990</v>
      </c>
    </row>
    <row r="1421" spans="1:2" ht="25.5" x14ac:dyDescent="0.25">
      <c r="A1421" s="3" t="s">
        <v>1443</v>
      </c>
      <c r="B1421" s="3" t="s">
        <v>1950</v>
      </c>
    </row>
    <row r="1422" spans="1:2" ht="89.25" x14ac:dyDescent="0.25">
      <c r="A1422" s="3" t="s">
        <v>658</v>
      </c>
      <c r="B1422" s="3" t="s">
        <v>2184</v>
      </c>
    </row>
    <row r="1423" spans="1:2" ht="76.5" x14ac:dyDescent="0.25">
      <c r="A1423" s="3" t="s">
        <v>660</v>
      </c>
      <c r="B1423" s="3" t="s">
        <v>2185</v>
      </c>
    </row>
    <row r="1424" spans="1:2" ht="25.5" x14ac:dyDescent="0.25">
      <c r="A1424" s="3" t="s">
        <v>1443</v>
      </c>
      <c r="B1424" s="3" t="s">
        <v>1950</v>
      </c>
    </row>
    <row r="1425" spans="1:2" ht="89.25" x14ac:dyDescent="0.25">
      <c r="A1425" s="3" t="s">
        <v>664</v>
      </c>
      <c r="B1425" s="3" t="s">
        <v>2186</v>
      </c>
    </row>
    <row r="1426" spans="1:2" ht="76.5" x14ac:dyDescent="0.25">
      <c r="A1426" s="3" t="s">
        <v>666</v>
      </c>
      <c r="B1426" s="3" t="s">
        <v>2187</v>
      </c>
    </row>
    <row r="1427" spans="1:2" ht="89.25" x14ac:dyDescent="0.25">
      <c r="A1427" s="3" t="s">
        <v>669</v>
      </c>
      <c r="B1427" s="3" t="s">
        <v>2188</v>
      </c>
    </row>
    <row r="1428" spans="1:2" ht="25.5" x14ac:dyDescent="0.25">
      <c r="A1428" s="3" t="s">
        <v>1443</v>
      </c>
      <c r="B1428" s="3" t="s">
        <v>1950</v>
      </c>
    </row>
    <row r="1429" spans="1:2" ht="76.5" x14ac:dyDescent="0.25">
      <c r="A1429" s="3" t="s">
        <v>670</v>
      </c>
      <c r="B1429" s="3" t="s">
        <v>2189</v>
      </c>
    </row>
    <row r="1430" spans="1:2" ht="76.5" x14ac:dyDescent="0.25">
      <c r="A1430" s="3" t="s">
        <v>672</v>
      </c>
      <c r="B1430" s="3" t="s">
        <v>2190</v>
      </c>
    </row>
    <row r="1431" spans="1:2" ht="25.5" x14ac:dyDescent="0.25">
      <c r="A1431" s="3" t="s">
        <v>1443</v>
      </c>
      <c r="B1431" s="3" t="s">
        <v>1950</v>
      </c>
    </row>
    <row r="1432" spans="1:2" ht="76.5" x14ac:dyDescent="0.25">
      <c r="A1432" s="3" t="s">
        <v>675</v>
      </c>
      <c r="B1432" s="3" t="s">
        <v>2191</v>
      </c>
    </row>
    <row r="1433" spans="1:2" ht="25.5" x14ac:dyDescent="0.25">
      <c r="A1433" s="3" t="s">
        <v>154</v>
      </c>
      <c r="B1433" s="3" t="s">
        <v>1884</v>
      </c>
    </row>
    <row r="1434" spans="1:2" ht="76.5" x14ac:dyDescent="0.25">
      <c r="A1434" s="3" t="s">
        <v>679</v>
      </c>
      <c r="B1434" s="3" t="s">
        <v>2192</v>
      </c>
    </row>
    <row r="1435" spans="1:2" ht="76.5" x14ac:dyDescent="0.25">
      <c r="A1435" s="3" t="s">
        <v>672</v>
      </c>
      <c r="B1435" s="3" t="s">
        <v>2190</v>
      </c>
    </row>
    <row r="1436" spans="1:2" ht="25.5" x14ac:dyDescent="0.25">
      <c r="A1436" s="3" t="s">
        <v>368</v>
      </c>
      <c r="B1436" s="3" t="s">
        <v>2015</v>
      </c>
    </row>
    <row r="1437" spans="1:2" ht="76.5" x14ac:dyDescent="0.25">
      <c r="A1437" s="3" t="s">
        <v>683</v>
      </c>
      <c r="B1437" s="3" t="s">
        <v>2193</v>
      </c>
    </row>
    <row r="1438" spans="1:2" ht="76.5" x14ac:dyDescent="0.25">
      <c r="A1438" s="3" t="s">
        <v>672</v>
      </c>
      <c r="B1438" s="3" t="s">
        <v>2190</v>
      </c>
    </row>
    <row r="1439" spans="1:2" ht="89.25" x14ac:dyDescent="0.25">
      <c r="A1439" s="3" t="s">
        <v>686</v>
      </c>
      <c r="B1439" s="3" t="s">
        <v>2194</v>
      </c>
    </row>
    <row r="1440" spans="1:2" ht="25.5" x14ac:dyDescent="0.25">
      <c r="A1440" s="3" t="s">
        <v>1443</v>
      </c>
      <c r="B1440" s="3" t="s">
        <v>1950</v>
      </c>
    </row>
    <row r="1441" spans="1:2" ht="76.5" x14ac:dyDescent="0.25">
      <c r="A1441" s="3" t="s">
        <v>689</v>
      </c>
      <c r="B1441" s="3" t="s">
        <v>2195</v>
      </c>
    </row>
    <row r="1442" spans="1:2" ht="89.25" x14ac:dyDescent="0.25">
      <c r="A1442" s="3" t="s">
        <v>692</v>
      </c>
      <c r="B1442" s="3" t="s">
        <v>2196</v>
      </c>
    </row>
    <row r="1443" spans="1:2" ht="25.5" x14ac:dyDescent="0.25">
      <c r="A1443" s="3" t="s">
        <v>1443</v>
      </c>
      <c r="B1443" s="3" t="s">
        <v>1950</v>
      </c>
    </row>
    <row r="1444" spans="1:2" ht="76.5" x14ac:dyDescent="0.25">
      <c r="A1444" s="3" t="s">
        <v>695</v>
      </c>
      <c r="B1444" s="3" t="s">
        <v>2197</v>
      </c>
    </row>
    <row r="1445" spans="1:2" ht="25.5" x14ac:dyDescent="0.25">
      <c r="A1445" s="3" t="s">
        <v>1443</v>
      </c>
      <c r="B1445" s="3" t="s">
        <v>1950</v>
      </c>
    </row>
    <row r="1446" spans="1:2" ht="89.25" x14ac:dyDescent="0.25">
      <c r="A1446" s="3" t="s">
        <v>699</v>
      </c>
      <c r="B1446" s="3" t="s">
        <v>2198</v>
      </c>
    </row>
    <row r="1447" spans="1:2" ht="114.75" x14ac:dyDescent="0.25">
      <c r="A1447" s="3" t="s">
        <v>701</v>
      </c>
      <c r="B1447" s="3" t="s">
        <v>2199</v>
      </c>
    </row>
    <row r="1448" spans="1:2" ht="63.75" x14ac:dyDescent="0.25">
      <c r="A1448" s="3" t="s">
        <v>1257</v>
      </c>
      <c r="B1448" s="3" t="s">
        <v>1977</v>
      </c>
    </row>
    <row r="1449" spans="1:2" ht="89.25" x14ac:dyDescent="0.25">
      <c r="A1449" s="3" t="s">
        <v>705</v>
      </c>
      <c r="B1449" s="3" t="s">
        <v>2200</v>
      </c>
    </row>
    <row r="1450" spans="1:2" ht="25.5" x14ac:dyDescent="0.25">
      <c r="A1450" s="3" t="s">
        <v>1443</v>
      </c>
      <c r="B1450" s="3" t="s">
        <v>1950</v>
      </c>
    </row>
    <row r="1451" spans="1:2" ht="76.5" x14ac:dyDescent="0.25">
      <c r="A1451" s="3" t="s">
        <v>1241</v>
      </c>
      <c r="B1451" s="3" t="s">
        <v>1937</v>
      </c>
    </row>
    <row r="1452" spans="1:2" ht="102" x14ac:dyDescent="0.25">
      <c r="A1452" s="3" t="s">
        <v>710</v>
      </c>
      <c r="B1452" s="3" t="s">
        <v>2201</v>
      </c>
    </row>
    <row r="1453" spans="1:2" ht="25.5" x14ac:dyDescent="0.25">
      <c r="A1453" s="3" t="s">
        <v>1443</v>
      </c>
      <c r="B1453" s="3" t="s">
        <v>1950</v>
      </c>
    </row>
    <row r="1454" spans="1:2" ht="51" x14ac:dyDescent="0.25">
      <c r="A1454" s="3" t="s">
        <v>1151</v>
      </c>
      <c r="B1454" s="3" t="s">
        <v>1705</v>
      </c>
    </row>
    <row r="1455" spans="1:2" ht="51" x14ac:dyDescent="0.25">
      <c r="A1455" s="3" t="s">
        <v>1147</v>
      </c>
      <c r="B1455" s="3" t="s">
        <v>1702</v>
      </c>
    </row>
    <row r="1456" spans="1:2" ht="38.25" x14ac:dyDescent="0.25">
      <c r="A1456" s="3" t="s">
        <v>1158</v>
      </c>
      <c r="B1456" s="3" t="s">
        <v>1712</v>
      </c>
    </row>
    <row r="1457" spans="1:2" ht="63.75" x14ac:dyDescent="0.25">
      <c r="A1457" s="3" t="s">
        <v>1156</v>
      </c>
      <c r="B1457" s="3" t="s">
        <v>1710</v>
      </c>
    </row>
    <row r="1458" spans="1:2" ht="38.25" x14ac:dyDescent="0.25">
      <c r="A1458" s="3" t="s">
        <v>1251</v>
      </c>
      <c r="B1458" s="3" t="s">
        <v>1796</v>
      </c>
    </row>
    <row r="1459" spans="1:2" ht="51" x14ac:dyDescent="0.25">
      <c r="A1459" s="3" t="s">
        <v>1157</v>
      </c>
      <c r="B1459" s="3" t="s">
        <v>1711</v>
      </c>
    </row>
    <row r="1460" spans="1:2" ht="63.75" x14ac:dyDescent="0.25">
      <c r="A1460" s="3" t="s">
        <v>1159</v>
      </c>
      <c r="B1460" s="3" t="s">
        <v>1713</v>
      </c>
    </row>
    <row r="1461" spans="1:2" ht="38.25" x14ac:dyDescent="0.25">
      <c r="A1461" s="3" t="s">
        <v>1148</v>
      </c>
      <c r="B1461" s="3" t="s">
        <v>1703</v>
      </c>
    </row>
    <row r="1462" spans="1:2" ht="25.5" x14ac:dyDescent="0.25">
      <c r="A1462" s="3" t="s">
        <v>1160</v>
      </c>
      <c r="B1462" s="3" t="s">
        <v>1714</v>
      </c>
    </row>
    <row r="1463" spans="1:2" ht="63.75" x14ac:dyDescent="0.25">
      <c r="A1463" s="3" t="s">
        <v>1161</v>
      </c>
      <c r="B1463" s="3" t="s">
        <v>1715</v>
      </c>
    </row>
    <row r="1464" spans="1:2" ht="51" x14ac:dyDescent="0.25">
      <c r="A1464" s="3" t="s">
        <v>1144</v>
      </c>
      <c r="B1464" s="3" t="s">
        <v>1699</v>
      </c>
    </row>
    <row r="1465" spans="1:2" ht="25.5" x14ac:dyDescent="0.25">
      <c r="A1465" s="3" t="s">
        <v>1145</v>
      </c>
      <c r="B1465" s="3" t="s">
        <v>1700</v>
      </c>
    </row>
    <row r="1466" spans="1:2" ht="51" x14ac:dyDescent="0.25">
      <c r="A1466" s="3" t="s">
        <v>1146</v>
      </c>
      <c r="B1466" s="3" t="s">
        <v>1701</v>
      </c>
    </row>
    <row r="1467" spans="1:2" ht="51" x14ac:dyDescent="0.25">
      <c r="A1467" s="3" t="s">
        <v>1154</v>
      </c>
      <c r="B1467" s="3" t="s">
        <v>1708</v>
      </c>
    </row>
    <row r="1468" spans="1:2" ht="76.5" x14ac:dyDescent="0.25">
      <c r="A1468" s="3" t="s">
        <v>1155</v>
      </c>
      <c r="B1468" s="3" t="s">
        <v>1709</v>
      </c>
    </row>
    <row r="1469" spans="1:2" ht="114.75" x14ac:dyDescent="0.25">
      <c r="A1469" s="3" t="s">
        <v>716</v>
      </c>
      <c r="B1469" s="3" t="s">
        <v>2202</v>
      </c>
    </row>
    <row r="1470" spans="1:2" ht="25.5" x14ac:dyDescent="0.25">
      <c r="A1470" s="3" t="s">
        <v>1443</v>
      </c>
      <c r="B1470" s="3" t="s">
        <v>1950</v>
      </c>
    </row>
    <row r="1471" spans="1:2" ht="127.5" x14ac:dyDescent="0.25">
      <c r="A1471" s="3" t="s">
        <v>719</v>
      </c>
      <c r="B1471" s="3" t="s">
        <v>2203</v>
      </c>
    </row>
    <row r="1472" spans="1:2" ht="127.5" x14ac:dyDescent="0.25">
      <c r="A1472" s="3" t="s">
        <v>722</v>
      </c>
      <c r="B1472" s="3" t="s">
        <v>2204</v>
      </c>
    </row>
    <row r="1473" spans="1:2" ht="25.5" x14ac:dyDescent="0.25">
      <c r="A1473" s="3" t="s">
        <v>404</v>
      </c>
      <c r="B1473" s="3" t="s">
        <v>2034</v>
      </c>
    </row>
    <row r="1474" spans="1:2" ht="127.5" x14ac:dyDescent="0.25">
      <c r="A1474" s="3" t="s">
        <v>719</v>
      </c>
      <c r="B1474" s="3" t="s">
        <v>2203</v>
      </c>
    </row>
    <row r="1475" spans="1:2" ht="114.75" x14ac:dyDescent="0.25">
      <c r="A1475" s="3" t="s">
        <v>726</v>
      </c>
      <c r="B1475" s="3" t="s">
        <v>2205</v>
      </c>
    </row>
    <row r="1476" spans="1:2" ht="25.5" x14ac:dyDescent="0.25">
      <c r="A1476" s="3" t="s">
        <v>1443</v>
      </c>
      <c r="B1476" s="3" t="s">
        <v>1950</v>
      </c>
    </row>
    <row r="1477" spans="1:2" ht="102" x14ac:dyDescent="0.25">
      <c r="A1477" s="3" t="s">
        <v>727</v>
      </c>
      <c r="B1477" s="3" t="s">
        <v>2206</v>
      </c>
    </row>
    <row r="1478" spans="1:2" ht="127.5" x14ac:dyDescent="0.25">
      <c r="A1478" s="3" t="s">
        <v>729</v>
      </c>
      <c r="B1478" s="3" t="s">
        <v>2207</v>
      </c>
    </row>
    <row r="1479" spans="1:2" ht="25.5" x14ac:dyDescent="0.25">
      <c r="A1479" s="3" t="s">
        <v>404</v>
      </c>
      <c r="B1479" s="3" t="s">
        <v>2034</v>
      </c>
    </row>
    <row r="1480" spans="1:2" ht="102" x14ac:dyDescent="0.25">
      <c r="A1480" s="3" t="s">
        <v>727</v>
      </c>
      <c r="B1480" s="3" t="s">
        <v>2206</v>
      </c>
    </row>
    <row r="1481" spans="1:2" ht="114.75" x14ac:dyDescent="0.25">
      <c r="A1481" s="3" t="s">
        <v>731</v>
      </c>
      <c r="B1481" s="3" t="s">
        <v>2208</v>
      </c>
    </row>
    <row r="1482" spans="1:2" ht="76.5" x14ac:dyDescent="0.25">
      <c r="A1482" s="3" t="s">
        <v>732</v>
      </c>
      <c r="B1482" s="3" t="s">
        <v>2209</v>
      </c>
    </row>
    <row r="1483" spans="1:2" ht="76.5" x14ac:dyDescent="0.25">
      <c r="A1483" s="3" t="s">
        <v>594</v>
      </c>
      <c r="B1483" s="3" t="s">
        <v>2157</v>
      </c>
    </row>
    <row r="1484" spans="1:2" ht="102" x14ac:dyDescent="0.25">
      <c r="A1484" s="3" t="s">
        <v>727</v>
      </c>
      <c r="B1484" s="3" t="s">
        <v>2206</v>
      </c>
    </row>
    <row r="1485" spans="1:2" ht="76.5" x14ac:dyDescent="0.25">
      <c r="A1485" s="3" t="s">
        <v>736</v>
      </c>
      <c r="B1485" s="3" t="s">
        <v>2210</v>
      </c>
    </row>
    <row r="1486" spans="1:2" ht="25.5" x14ac:dyDescent="0.25">
      <c r="A1486" s="3" t="s">
        <v>1443</v>
      </c>
      <c r="B1486" s="3" t="s">
        <v>1950</v>
      </c>
    </row>
    <row r="1487" spans="1:2" ht="76.5" x14ac:dyDescent="0.25">
      <c r="A1487" s="3" t="s">
        <v>529</v>
      </c>
      <c r="B1487" s="3" t="s">
        <v>2211</v>
      </c>
    </row>
    <row r="1488" spans="1:2" ht="63.75" x14ac:dyDescent="0.25">
      <c r="A1488" s="3" t="s">
        <v>1339</v>
      </c>
      <c r="B1488" s="3" t="s">
        <v>1874</v>
      </c>
    </row>
    <row r="1489" spans="1:2" ht="114.75" x14ac:dyDescent="0.25">
      <c r="A1489" s="3" t="s">
        <v>741</v>
      </c>
      <c r="B1489" s="3" t="s">
        <v>2212</v>
      </c>
    </row>
    <row r="1490" spans="1:2" ht="76.5" x14ac:dyDescent="0.25">
      <c r="A1490" s="3" t="s">
        <v>742</v>
      </c>
      <c r="B1490" s="3" t="s">
        <v>2213</v>
      </c>
    </row>
    <row r="1491" spans="1:2" ht="89.25" x14ac:dyDescent="0.25">
      <c r="A1491" s="3" t="s">
        <v>743</v>
      </c>
      <c r="B1491" s="3" t="s">
        <v>2214</v>
      </c>
    </row>
    <row r="1492" spans="1:2" ht="38.25" x14ac:dyDescent="0.25">
      <c r="A1492" s="3" t="s">
        <v>1287</v>
      </c>
      <c r="B1492" s="3" t="s">
        <v>1833</v>
      </c>
    </row>
    <row r="1493" spans="1:2" ht="51" x14ac:dyDescent="0.25">
      <c r="A1493" s="3" t="s">
        <v>1345</v>
      </c>
      <c r="B1493" s="3" t="s">
        <v>1878</v>
      </c>
    </row>
    <row r="1494" spans="1:2" ht="76.5" x14ac:dyDescent="0.25">
      <c r="A1494" s="3" t="s">
        <v>529</v>
      </c>
      <c r="B1494" s="3" t="s">
        <v>2211</v>
      </c>
    </row>
    <row r="1495" spans="1:2" ht="102" x14ac:dyDescent="0.25">
      <c r="A1495" s="3" t="s">
        <v>747</v>
      </c>
      <c r="B1495" s="3" t="s">
        <v>2215</v>
      </c>
    </row>
    <row r="1496" spans="1:2" ht="25.5" x14ac:dyDescent="0.25">
      <c r="A1496" s="3" t="s">
        <v>1301</v>
      </c>
      <c r="B1496" s="3" t="s">
        <v>1845</v>
      </c>
    </row>
    <row r="1497" spans="1:2" ht="38.25" x14ac:dyDescent="0.25">
      <c r="A1497" s="3" t="s">
        <v>1171</v>
      </c>
      <c r="B1497" s="3" t="s">
        <v>1723</v>
      </c>
    </row>
    <row r="1498" spans="1:2" ht="38.25" x14ac:dyDescent="0.25">
      <c r="A1498" s="3" t="s">
        <v>1239</v>
      </c>
      <c r="B1498" s="3" t="s">
        <v>1784</v>
      </c>
    </row>
    <row r="1499" spans="1:2" ht="25.5" x14ac:dyDescent="0.25">
      <c r="A1499" s="3" t="s">
        <v>1315</v>
      </c>
      <c r="B1499" s="3" t="s">
        <v>1855</v>
      </c>
    </row>
    <row r="1500" spans="1:2" ht="38.25" x14ac:dyDescent="0.25">
      <c r="A1500" s="3" t="s">
        <v>1316</v>
      </c>
      <c r="B1500" s="3" t="s">
        <v>1856</v>
      </c>
    </row>
    <row r="1501" spans="1:2" ht="38.25" x14ac:dyDescent="0.25">
      <c r="A1501" s="3" t="s">
        <v>1317</v>
      </c>
      <c r="B1501" s="3" t="s">
        <v>1857</v>
      </c>
    </row>
    <row r="1502" spans="1:2" ht="76.5" x14ac:dyDescent="0.25">
      <c r="A1502" s="3" t="s">
        <v>1304</v>
      </c>
      <c r="B1502" s="3" t="s">
        <v>1847</v>
      </c>
    </row>
    <row r="1503" spans="1:2" ht="76.5" x14ac:dyDescent="0.25">
      <c r="A1503" s="3" t="s">
        <v>1303</v>
      </c>
      <c r="B1503" s="3" t="s">
        <v>1846</v>
      </c>
    </row>
    <row r="1504" spans="1:2" ht="102" x14ac:dyDescent="0.25">
      <c r="A1504" s="3" t="s">
        <v>755</v>
      </c>
      <c r="B1504" s="3" t="s">
        <v>2216</v>
      </c>
    </row>
    <row r="1505" spans="1:2" ht="89.25" x14ac:dyDescent="0.25">
      <c r="A1505" s="3" t="s">
        <v>160</v>
      </c>
      <c r="B1505" s="3" t="s">
        <v>1887</v>
      </c>
    </row>
    <row r="1506" spans="1:2" ht="25.5" x14ac:dyDescent="0.25">
      <c r="A1506" s="3" t="s">
        <v>1312</v>
      </c>
      <c r="B1506" s="3" t="s">
        <v>1854</v>
      </c>
    </row>
    <row r="1507" spans="1:2" ht="38.25" x14ac:dyDescent="0.25">
      <c r="A1507" s="3" t="s">
        <v>1171</v>
      </c>
      <c r="B1507" s="3" t="s">
        <v>1723</v>
      </c>
    </row>
    <row r="1508" spans="1:2" ht="38.25" x14ac:dyDescent="0.25">
      <c r="A1508" s="3" t="s">
        <v>1239</v>
      </c>
      <c r="B1508" s="3" t="s">
        <v>1784</v>
      </c>
    </row>
    <row r="1509" spans="1:2" ht="25.5" x14ac:dyDescent="0.25">
      <c r="A1509" s="3" t="s">
        <v>1315</v>
      </c>
      <c r="B1509" s="3" t="s">
        <v>1855</v>
      </c>
    </row>
    <row r="1510" spans="1:2" ht="38.25" x14ac:dyDescent="0.25">
      <c r="A1510" s="3" t="s">
        <v>1316</v>
      </c>
      <c r="B1510" s="3" t="s">
        <v>1856</v>
      </c>
    </row>
    <row r="1511" spans="1:2" ht="38.25" x14ac:dyDescent="0.25">
      <c r="A1511" s="3" t="s">
        <v>1317</v>
      </c>
      <c r="B1511" s="3" t="s">
        <v>1857</v>
      </c>
    </row>
    <row r="1512" spans="1:2" ht="76.5" x14ac:dyDescent="0.25">
      <c r="A1512" s="3" t="s">
        <v>1304</v>
      </c>
      <c r="B1512" s="3" t="s">
        <v>1847</v>
      </c>
    </row>
    <row r="1513" spans="1:2" ht="76.5" x14ac:dyDescent="0.25">
      <c r="A1513" s="3" t="s">
        <v>1303</v>
      </c>
      <c r="B1513" s="3" t="s">
        <v>1846</v>
      </c>
    </row>
    <row r="1514" spans="1:2" ht="51" x14ac:dyDescent="0.25">
      <c r="A1514" s="3" t="s">
        <v>193</v>
      </c>
      <c r="B1514" s="3" t="s">
        <v>1925</v>
      </c>
    </row>
    <row r="1515" spans="1:2" ht="89.25" x14ac:dyDescent="0.25">
      <c r="A1515" s="3" t="s">
        <v>765</v>
      </c>
      <c r="B1515" s="3" t="s">
        <v>2217</v>
      </c>
    </row>
    <row r="1516" spans="1:2" ht="25.5" x14ac:dyDescent="0.25">
      <c r="A1516" s="3" t="s">
        <v>1443</v>
      </c>
      <c r="B1516" s="3" t="s">
        <v>1950</v>
      </c>
    </row>
    <row r="1517" spans="1:2" ht="51" x14ac:dyDescent="0.25">
      <c r="A1517" s="3" t="s">
        <v>193</v>
      </c>
      <c r="B1517" s="3" t="s">
        <v>1925</v>
      </c>
    </row>
    <row r="1518" spans="1:2" ht="102" x14ac:dyDescent="0.25">
      <c r="A1518" s="3" t="s">
        <v>770</v>
      </c>
      <c r="B1518" s="3" t="s">
        <v>2218</v>
      </c>
    </row>
    <row r="1519" spans="1:2" ht="25.5" x14ac:dyDescent="0.25">
      <c r="A1519" s="3" t="s">
        <v>1280</v>
      </c>
      <c r="B1519" s="3" t="s">
        <v>1827</v>
      </c>
    </row>
    <row r="1520" spans="1:2" ht="51" x14ac:dyDescent="0.25">
      <c r="A1520" s="3" t="s">
        <v>773</v>
      </c>
      <c r="B1520" s="3" t="s">
        <v>2219</v>
      </c>
    </row>
    <row r="1521" spans="1:2" ht="51" x14ac:dyDescent="0.25">
      <c r="A1521" s="3" t="s">
        <v>193</v>
      </c>
      <c r="B1521" s="3" t="s">
        <v>1925</v>
      </c>
    </row>
    <row r="1522" spans="1:2" ht="51" x14ac:dyDescent="0.25">
      <c r="A1522" s="3" t="s">
        <v>1367</v>
      </c>
      <c r="B1522" s="3" t="s">
        <v>1897</v>
      </c>
    </row>
    <row r="1523" spans="1:2" ht="114.75" x14ac:dyDescent="0.25">
      <c r="A1523" s="3" t="s">
        <v>98</v>
      </c>
      <c r="B1523" s="3" t="s">
        <v>1832</v>
      </c>
    </row>
    <row r="1524" spans="1:2" ht="89.25" x14ac:dyDescent="0.25">
      <c r="A1524" s="3" t="s">
        <v>775</v>
      </c>
      <c r="B1524" s="3" t="s">
        <v>2220</v>
      </c>
    </row>
    <row r="1525" spans="1:2" ht="102" x14ac:dyDescent="0.25">
      <c r="A1525" s="3" t="s">
        <v>776</v>
      </c>
      <c r="B1525" s="3" t="s">
        <v>2221</v>
      </c>
    </row>
    <row r="1526" spans="1:2" ht="25.5" x14ac:dyDescent="0.25">
      <c r="A1526" s="3" t="s">
        <v>1288</v>
      </c>
      <c r="B1526" s="3" t="s">
        <v>1834</v>
      </c>
    </row>
    <row r="1527" spans="1:2" ht="76.5" x14ac:dyDescent="0.25">
      <c r="A1527" s="3" t="s">
        <v>1303</v>
      </c>
      <c r="B1527" s="3" t="s">
        <v>1846</v>
      </c>
    </row>
    <row r="1528" spans="1:2" ht="76.5" x14ac:dyDescent="0.25">
      <c r="A1528" s="3" t="s">
        <v>1304</v>
      </c>
      <c r="B1528" s="3" t="s">
        <v>1847</v>
      </c>
    </row>
    <row r="1529" spans="1:2" ht="63.75" x14ac:dyDescent="0.25">
      <c r="A1529" s="3" t="s">
        <v>1305</v>
      </c>
      <c r="B1529" s="3" t="s">
        <v>1848</v>
      </c>
    </row>
    <row r="1530" spans="1:2" ht="38.25" x14ac:dyDescent="0.25">
      <c r="A1530" s="3" t="s">
        <v>1376</v>
      </c>
      <c r="B1530" s="3" t="s">
        <v>1902</v>
      </c>
    </row>
    <row r="1531" spans="1:2" ht="38.25" x14ac:dyDescent="0.25">
      <c r="A1531" s="3" t="s">
        <v>1205</v>
      </c>
      <c r="B1531" s="3" t="s">
        <v>1753</v>
      </c>
    </row>
    <row r="1532" spans="1:2" ht="51" x14ac:dyDescent="0.25">
      <c r="A1532" s="3" t="s">
        <v>1377</v>
      </c>
      <c r="B1532" s="3" t="s">
        <v>1903</v>
      </c>
    </row>
    <row r="1533" spans="1:2" ht="51" x14ac:dyDescent="0.25">
      <c r="A1533" s="3" t="s">
        <v>1157</v>
      </c>
      <c r="B1533" s="3" t="s">
        <v>1711</v>
      </c>
    </row>
    <row r="1534" spans="1:2" ht="38.25" x14ac:dyDescent="0.25">
      <c r="A1534" s="3" t="s">
        <v>1378</v>
      </c>
      <c r="B1534" s="3" t="s">
        <v>1904</v>
      </c>
    </row>
    <row r="1535" spans="1:2" ht="38.25" x14ac:dyDescent="0.25">
      <c r="A1535" s="3" t="s">
        <v>1379</v>
      </c>
      <c r="B1535" s="3" t="s">
        <v>1905</v>
      </c>
    </row>
    <row r="1536" spans="1:2" ht="25.5" x14ac:dyDescent="0.25">
      <c r="A1536" s="3" t="s">
        <v>1380</v>
      </c>
      <c r="B1536" s="3" t="s">
        <v>1906</v>
      </c>
    </row>
    <row r="1537" spans="1:2" ht="51" x14ac:dyDescent="0.25">
      <c r="A1537" s="3" t="s">
        <v>1180</v>
      </c>
      <c r="B1537" s="3" t="s">
        <v>1731</v>
      </c>
    </row>
    <row r="1538" spans="1:2" ht="25.5" x14ac:dyDescent="0.25">
      <c r="A1538" s="3" t="s">
        <v>1381</v>
      </c>
      <c r="B1538" s="3" t="s">
        <v>1907</v>
      </c>
    </row>
    <row r="1539" spans="1:2" ht="51" x14ac:dyDescent="0.25">
      <c r="A1539" s="3" t="s">
        <v>1382</v>
      </c>
      <c r="B1539" s="3" t="s">
        <v>1908</v>
      </c>
    </row>
    <row r="1540" spans="1:2" ht="51" x14ac:dyDescent="0.25">
      <c r="A1540" s="3" t="s">
        <v>1154</v>
      </c>
      <c r="B1540" s="3" t="s">
        <v>1708</v>
      </c>
    </row>
    <row r="1541" spans="1:2" ht="63.75" x14ac:dyDescent="0.25">
      <c r="A1541" s="3" t="s">
        <v>1383</v>
      </c>
      <c r="B1541" s="3" t="s">
        <v>1909</v>
      </c>
    </row>
    <row r="1542" spans="1:2" ht="38.25" x14ac:dyDescent="0.25">
      <c r="A1542" s="3" t="s">
        <v>1385</v>
      </c>
      <c r="B1542" s="3" t="s">
        <v>1910</v>
      </c>
    </row>
    <row r="1543" spans="1:2" ht="38.25" x14ac:dyDescent="0.25">
      <c r="A1543" s="3" t="s">
        <v>1386</v>
      </c>
      <c r="B1543" s="3" t="s">
        <v>1911</v>
      </c>
    </row>
    <row r="1544" spans="1:2" ht="102" x14ac:dyDescent="0.25">
      <c r="A1544" s="3" t="s">
        <v>783</v>
      </c>
      <c r="B1544" s="3" t="s">
        <v>2222</v>
      </c>
    </row>
    <row r="1545" spans="1:2" ht="25.5" x14ac:dyDescent="0.25">
      <c r="A1545" s="3" t="s">
        <v>1301</v>
      </c>
      <c r="B1545" s="3" t="s">
        <v>1845</v>
      </c>
    </row>
    <row r="1546" spans="1:2" ht="25.5" x14ac:dyDescent="0.25">
      <c r="A1546" s="3" t="s">
        <v>1312</v>
      </c>
      <c r="B1546" s="3" t="s">
        <v>1854</v>
      </c>
    </row>
    <row r="1547" spans="1:2" ht="102" x14ac:dyDescent="0.25">
      <c r="A1547" s="3" t="s">
        <v>788</v>
      </c>
      <c r="B1547" s="3" t="s">
        <v>2223</v>
      </c>
    </row>
    <row r="1548" spans="1:2" ht="89.25" x14ac:dyDescent="0.25">
      <c r="A1548" s="3" t="s">
        <v>160</v>
      </c>
      <c r="B1548" s="3" t="s">
        <v>1887</v>
      </c>
    </row>
    <row r="1549" spans="1:2" ht="76.5" x14ac:dyDescent="0.25">
      <c r="A1549" s="3" t="s">
        <v>1303</v>
      </c>
      <c r="B1549" s="3" t="s">
        <v>1846</v>
      </c>
    </row>
    <row r="1550" spans="1:2" ht="76.5" x14ac:dyDescent="0.25">
      <c r="A1550" s="3" t="s">
        <v>1304</v>
      </c>
      <c r="B1550" s="3" t="s">
        <v>1847</v>
      </c>
    </row>
    <row r="1551" spans="1:2" ht="63.75" x14ac:dyDescent="0.25">
      <c r="A1551" s="3" t="s">
        <v>1305</v>
      </c>
      <c r="B1551" s="3" t="s">
        <v>1848</v>
      </c>
    </row>
    <row r="1552" spans="1:2" ht="38.25" x14ac:dyDescent="0.25">
      <c r="A1552" s="3" t="s">
        <v>1376</v>
      </c>
      <c r="B1552" s="3" t="s">
        <v>1902</v>
      </c>
    </row>
    <row r="1553" spans="1:2" ht="38.25" x14ac:dyDescent="0.25">
      <c r="A1553" s="3" t="s">
        <v>1205</v>
      </c>
      <c r="B1553" s="3" t="s">
        <v>1753</v>
      </c>
    </row>
    <row r="1554" spans="1:2" ht="51" x14ac:dyDescent="0.25">
      <c r="A1554" s="3" t="s">
        <v>1377</v>
      </c>
      <c r="B1554" s="3" t="s">
        <v>1903</v>
      </c>
    </row>
    <row r="1555" spans="1:2" ht="51" x14ac:dyDescent="0.25">
      <c r="A1555" s="3" t="s">
        <v>1157</v>
      </c>
      <c r="B1555" s="3" t="s">
        <v>1711</v>
      </c>
    </row>
    <row r="1556" spans="1:2" ht="38.25" x14ac:dyDescent="0.25">
      <c r="A1556" s="3" t="s">
        <v>1378</v>
      </c>
      <c r="B1556" s="3" t="s">
        <v>1904</v>
      </c>
    </row>
    <row r="1557" spans="1:2" ht="38.25" x14ac:dyDescent="0.25">
      <c r="A1557" s="3" t="s">
        <v>1379</v>
      </c>
      <c r="B1557" s="3" t="s">
        <v>1905</v>
      </c>
    </row>
    <row r="1558" spans="1:2" ht="25.5" x14ac:dyDescent="0.25">
      <c r="A1558" s="3" t="s">
        <v>1380</v>
      </c>
      <c r="B1558" s="3" t="s">
        <v>1906</v>
      </c>
    </row>
    <row r="1559" spans="1:2" ht="51" x14ac:dyDescent="0.25">
      <c r="A1559" s="3" t="s">
        <v>1180</v>
      </c>
      <c r="B1559" s="3" t="s">
        <v>1731</v>
      </c>
    </row>
    <row r="1560" spans="1:2" ht="25.5" x14ac:dyDescent="0.25">
      <c r="A1560" s="3" t="s">
        <v>1381</v>
      </c>
      <c r="B1560" s="3" t="s">
        <v>1907</v>
      </c>
    </row>
    <row r="1561" spans="1:2" ht="51" x14ac:dyDescent="0.25">
      <c r="A1561" s="3" t="s">
        <v>1382</v>
      </c>
      <c r="B1561" s="3" t="s">
        <v>1908</v>
      </c>
    </row>
    <row r="1562" spans="1:2" ht="51" x14ac:dyDescent="0.25">
      <c r="A1562" s="3" t="s">
        <v>1154</v>
      </c>
      <c r="B1562" s="3" t="s">
        <v>1708</v>
      </c>
    </row>
    <row r="1563" spans="1:2" ht="63.75" x14ac:dyDescent="0.25">
      <c r="A1563" s="3" t="s">
        <v>1383</v>
      </c>
      <c r="B1563" s="3" t="s">
        <v>1909</v>
      </c>
    </row>
    <row r="1564" spans="1:2" ht="38.25" x14ac:dyDescent="0.25">
      <c r="A1564" s="3" t="s">
        <v>1385</v>
      </c>
      <c r="B1564" s="3" t="s">
        <v>1910</v>
      </c>
    </row>
    <row r="1565" spans="1:2" ht="38.25" x14ac:dyDescent="0.25">
      <c r="A1565" s="3" t="s">
        <v>1386</v>
      </c>
      <c r="B1565" s="3" t="s">
        <v>1911</v>
      </c>
    </row>
    <row r="1566" spans="1:2" ht="89.25" x14ac:dyDescent="0.25">
      <c r="A1566" s="3" t="s">
        <v>796</v>
      </c>
      <c r="B1566" s="3" t="s">
        <v>2224</v>
      </c>
    </row>
    <row r="1567" spans="1:2" ht="25.5" x14ac:dyDescent="0.25">
      <c r="A1567" s="3" t="s">
        <v>1443</v>
      </c>
      <c r="B1567" s="3" t="s">
        <v>1950</v>
      </c>
    </row>
    <row r="1568" spans="1:2" ht="63.75" x14ac:dyDescent="0.25">
      <c r="A1568" s="3" t="s">
        <v>799</v>
      </c>
      <c r="B1568" s="3" t="s">
        <v>2225</v>
      </c>
    </row>
    <row r="1569" spans="1:2" ht="51" x14ac:dyDescent="0.25">
      <c r="A1569" s="3" t="s">
        <v>773</v>
      </c>
      <c r="B1569" s="3" t="s">
        <v>2219</v>
      </c>
    </row>
    <row r="1570" spans="1:2" ht="25.5" x14ac:dyDescent="0.25">
      <c r="A1570" s="3" t="s">
        <v>1288</v>
      </c>
      <c r="B1570" s="3" t="s">
        <v>1834</v>
      </c>
    </row>
    <row r="1571" spans="1:2" ht="51" x14ac:dyDescent="0.25">
      <c r="A1571" s="3" t="s">
        <v>1367</v>
      </c>
      <c r="B1571" s="3" t="s">
        <v>1897</v>
      </c>
    </row>
    <row r="1572" spans="1:2" ht="114.75" x14ac:dyDescent="0.25">
      <c r="A1572" s="3" t="s">
        <v>98</v>
      </c>
      <c r="B1572" s="3" t="s">
        <v>1832</v>
      </c>
    </row>
    <row r="1573" spans="1:2" ht="102" x14ac:dyDescent="0.25">
      <c r="A1573" s="3" t="s">
        <v>803</v>
      </c>
      <c r="B1573" s="3" t="s">
        <v>2226</v>
      </c>
    </row>
    <row r="1574" spans="1:2" ht="89.25" x14ac:dyDescent="0.25">
      <c r="A1574" s="3" t="s">
        <v>804</v>
      </c>
      <c r="B1574" s="3" t="s">
        <v>2227</v>
      </c>
    </row>
    <row r="1575" spans="1:2" ht="63.75" x14ac:dyDescent="0.25">
      <c r="A1575" s="3" t="s">
        <v>799</v>
      </c>
      <c r="B1575" s="3" t="s">
        <v>2225</v>
      </c>
    </row>
    <row r="1576" spans="1:2" ht="63.75" x14ac:dyDescent="0.25">
      <c r="A1576" s="3" t="s">
        <v>1260</v>
      </c>
      <c r="B1576" s="3" t="s">
        <v>1869</v>
      </c>
    </row>
    <row r="1577" spans="1:2" ht="89.25" x14ac:dyDescent="0.25">
      <c r="A1577" s="3" t="s">
        <v>807</v>
      </c>
      <c r="B1577" s="3" t="s">
        <v>2228</v>
      </c>
    </row>
    <row r="1578" spans="1:2" ht="25.5" x14ac:dyDescent="0.25">
      <c r="A1578" s="3" t="s">
        <v>144</v>
      </c>
      <c r="B1578" s="3" t="s">
        <v>1871</v>
      </c>
    </row>
    <row r="1579" spans="1:2" ht="89.25" x14ac:dyDescent="0.25">
      <c r="A1579" s="3" t="s">
        <v>809</v>
      </c>
      <c r="B1579" s="3" t="s">
        <v>2229</v>
      </c>
    </row>
    <row r="1580" spans="1:2" ht="63.75" x14ac:dyDescent="0.25">
      <c r="A1580" s="3" t="s">
        <v>1260</v>
      </c>
      <c r="B1580" s="3" t="s">
        <v>1869</v>
      </c>
    </row>
    <row r="1581" spans="1:2" ht="63.75" x14ac:dyDescent="0.25">
      <c r="A1581" s="3" t="s">
        <v>812</v>
      </c>
      <c r="B1581" s="3" t="s">
        <v>2230</v>
      </c>
    </row>
    <row r="1582" spans="1:2" ht="25.5" x14ac:dyDescent="0.25">
      <c r="A1582" s="3" t="s">
        <v>1443</v>
      </c>
      <c r="B1582" s="3" t="s">
        <v>1950</v>
      </c>
    </row>
    <row r="1583" spans="1:2" ht="63.75" x14ac:dyDescent="0.25">
      <c r="A1583" s="3" t="s">
        <v>1259</v>
      </c>
      <c r="B1583" s="3" t="s">
        <v>1934</v>
      </c>
    </row>
    <row r="1584" spans="1:2" ht="102" x14ac:dyDescent="0.25">
      <c r="A1584" s="3" t="s">
        <v>817</v>
      </c>
      <c r="B1584" s="3" t="s">
        <v>2231</v>
      </c>
    </row>
    <row r="1585" spans="1:2" ht="25.5" x14ac:dyDescent="0.25">
      <c r="A1585" s="3" t="s">
        <v>1443</v>
      </c>
      <c r="B1585" s="3" t="s">
        <v>1950</v>
      </c>
    </row>
    <row r="1586" spans="1:2" ht="63.75" x14ac:dyDescent="0.25">
      <c r="A1586" s="3" t="s">
        <v>1259</v>
      </c>
      <c r="B1586" s="3" t="s">
        <v>1934</v>
      </c>
    </row>
    <row r="1587" spans="1:2" ht="114.75" x14ac:dyDescent="0.25">
      <c r="A1587" s="3" t="s">
        <v>821</v>
      </c>
      <c r="B1587" s="3" t="s">
        <v>2232</v>
      </c>
    </row>
    <row r="1588" spans="1:2" ht="114.75" x14ac:dyDescent="0.25">
      <c r="A1588" s="3" t="s">
        <v>822</v>
      </c>
      <c r="B1588" s="3" t="s">
        <v>2233</v>
      </c>
    </row>
    <row r="1589" spans="1:2" ht="25.5" x14ac:dyDescent="0.25">
      <c r="A1589" s="3" t="s">
        <v>1301</v>
      </c>
      <c r="B1589" s="3" t="s">
        <v>1845</v>
      </c>
    </row>
    <row r="1590" spans="1:2" ht="76.5" x14ac:dyDescent="0.25">
      <c r="A1590" s="3" t="s">
        <v>1258</v>
      </c>
      <c r="B1590" s="3" t="s">
        <v>1940</v>
      </c>
    </row>
    <row r="1591" spans="1:2" ht="114.75" x14ac:dyDescent="0.25">
      <c r="A1591" s="3" t="s">
        <v>825</v>
      </c>
      <c r="B1591" s="3" t="s">
        <v>2234</v>
      </c>
    </row>
    <row r="1592" spans="1:2" ht="25.5" x14ac:dyDescent="0.25">
      <c r="A1592" s="3" t="s">
        <v>1443</v>
      </c>
      <c r="B1592" s="3" t="s">
        <v>1950</v>
      </c>
    </row>
    <row r="1593" spans="1:2" ht="127.5" x14ac:dyDescent="0.25">
      <c r="A1593" s="3" t="s">
        <v>829</v>
      </c>
      <c r="B1593" s="3" t="s">
        <v>2235</v>
      </c>
    </row>
    <row r="1594" spans="1:2" ht="127.5" x14ac:dyDescent="0.25">
      <c r="A1594" s="3" t="s">
        <v>830</v>
      </c>
      <c r="B1594" s="3" t="s">
        <v>2236</v>
      </c>
    </row>
    <row r="1595" spans="1:2" ht="25.5" x14ac:dyDescent="0.25">
      <c r="A1595" s="3" t="s">
        <v>1301</v>
      </c>
      <c r="B1595" s="3" t="s">
        <v>1845</v>
      </c>
    </row>
    <row r="1596" spans="1:2" ht="76.5" x14ac:dyDescent="0.25">
      <c r="A1596" s="3" t="s">
        <v>1258</v>
      </c>
      <c r="B1596" s="3" t="s">
        <v>1940</v>
      </c>
    </row>
    <row r="1597" spans="1:2" ht="63.75" x14ac:dyDescent="0.25">
      <c r="A1597" s="3" t="s">
        <v>1257</v>
      </c>
      <c r="B1597" s="3" t="s">
        <v>1977</v>
      </c>
    </row>
    <row r="1598" spans="1:2" ht="114.75" x14ac:dyDescent="0.25">
      <c r="A1598" s="3" t="s">
        <v>833</v>
      </c>
      <c r="B1598" s="3" t="s">
        <v>2237</v>
      </c>
    </row>
    <row r="1599" spans="1:2" ht="114.75" x14ac:dyDescent="0.25">
      <c r="A1599" s="3" t="s">
        <v>834</v>
      </c>
      <c r="B1599" s="3" t="s">
        <v>2238</v>
      </c>
    </row>
    <row r="1600" spans="1:2" ht="25.5" x14ac:dyDescent="0.25">
      <c r="A1600" s="3" t="s">
        <v>1301</v>
      </c>
      <c r="B1600" s="3" t="s">
        <v>1845</v>
      </c>
    </row>
    <row r="1601" spans="1:2" ht="76.5" x14ac:dyDescent="0.25">
      <c r="A1601" s="3" t="s">
        <v>1241</v>
      </c>
      <c r="B1601" s="3" t="s">
        <v>1937</v>
      </c>
    </row>
    <row r="1602" spans="1:2" ht="127.5" x14ac:dyDescent="0.25">
      <c r="A1602" s="3" t="s">
        <v>837</v>
      </c>
      <c r="B1602" s="3" t="s">
        <v>2239</v>
      </c>
    </row>
    <row r="1603" spans="1:2" ht="127.5" x14ac:dyDescent="0.25">
      <c r="A1603" s="3" t="s">
        <v>838</v>
      </c>
      <c r="B1603" s="3" t="s">
        <v>2240</v>
      </c>
    </row>
    <row r="1604" spans="1:2" ht="25.5" x14ac:dyDescent="0.25">
      <c r="A1604" s="3" t="s">
        <v>1301</v>
      </c>
      <c r="B1604" s="3" t="s">
        <v>1845</v>
      </c>
    </row>
    <row r="1605" spans="1:2" ht="76.5" x14ac:dyDescent="0.25">
      <c r="A1605" s="3" t="s">
        <v>840</v>
      </c>
      <c r="B1605" s="3" t="s">
        <v>2241</v>
      </c>
    </row>
    <row r="1606" spans="1:2" ht="25.5" x14ac:dyDescent="0.25">
      <c r="A1606" s="3" t="s">
        <v>1443</v>
      </c>
      <c r="B1606" s="3" t="s">
        <v>1950</v>
      </c>
    </row>
    <row r="1607" spans="1:2" ht="63.75" x14ac:dyDescent="0.25">
      <c r="A1607" s="3" t="s">
        <v>103</v>
      </c>
      <c r="B1607" s="3" t="s">
        <v>1840</v>
      </c>
    </row>
    <row r="1608" spans="1:2" ht="63.75" x14ac:dyDescent="0.25">
      <c r="A1608" s="3" t="s">
        <v>103</v>
      </c>
      <c r="B1608" s="3" t="s">
        <v>1840</v>
      </c>
    </row>
    <row r="1609" spans="1:2" ht="89.25" x14ac:dyDescent="0.25">
      <c r="A1609" s="3" t="s">
        <v>843</v>
      </c>
      <c r="B1609" s="3" t="s">
        <v>2242</v>
      </c>
    </row>
    <row r="1610" spans="1:2" ht="25.5" x14ac:dyDescent="0.25">
      <c r="A1610" s="3" t="s">
        <v>1280</v>
      </c>
      <c r="B1610" s="3" t="s">
        <v>1827</v>
      </c>
    </row>
    <row r="1611" spans="1:2" ht="102" x14ac:dyDescent="0.25">
      <c r="A1611" s="3" t="s">
        <v>846</v>
      </c>
      <c r="B1611" s="3" t="s">
        <v>2243</v>
      </c>
    </row>
    <row r="1612" spans="1:2" ht="25.5" x14ac:dyDescent="0.25">
      <c r="A1612" s="3" t="s">
        <v>1301</v>
      </c>
      <c r="B1612" s="3" t="s">
        <v>1845</v>
      </c>
    </row>
    <row r="1613" spans="1:2" ht="76.5" x14ac:dyDescent="0.25">
      <c r="A1613" s="3" t="s">
        <v>1303</v>
      </c>
      <c r="B1613" s="3" t="s">
        <v>1846</v>
      </c>
    </row>
    <row r="1614" spans="1:2" ht="76.5" x14ac:dyDescent="0.25">
      <c r="A1614" s="3" t="s">
        <v>1304</v>
      </c>
      <c r="B1614" s="3" t="s">
        <v>1847</v>
      </c>
    </row>
    <row r="1615" spans="1:2" ht="63.75" x14ac:dyDescent="0.25">
      <c r="A1615" s="3" t="s">
        <v>1305</v>
      </c>
      <c r="B1615" s="3" t="s">
        <v>1848</v>
      </c>
    </row>
    <row r="1616" spans="1:2" ht="63.75" x14ac:dyDescent="0.25">
      <c r="A1616" s="3" t="s">
        <v>1220</v>
      </c>
      <c r="B1616" s="3" t="s">
        <v>1768</v>
      </c>
    </row>
    <row r="1617" spans="1:2" ht="38.25" x14ac:dyDescent="0.25">
      <c r="A1617" s="3" t="s">
        <v>1307</v>
      </c>
      <c r="B1617" s="3" t="s">
        <v>1849</v>
      </c>
    </row>
    <row r="1618" spans="1:2" ht="51" x14ac:dyDescent="0.25">
      <c r="A1618" s="3" t="s">
        <v>1219</v>
      </c>
      <c r="B1618" s="3" t="s">
        <v>1767</v>
      </c>
    </row>
    <row r="1619" spans="1:2" ht="38.25" x14ac:dyDescent="0.25">
      <c r="A1619" s="3" t="s">
        <v>851</v>
      </c>
      <c r="B1619" s="3" t="s">
        <v>2244</v>
      </c>
    </row>
    <row r="1620" spans="1:2" ht="63.75" x14ac:dyDescent="0.25">
      <c r="A1620" s="3" t="s">
        <v>1168</v>
      </c>
      <c r="B1620" s="3" t="s">
        <v>1720</v>
      </c>
    </row>
    <row r="1621" spans="1:2" ht="51" x14ac:dyDescent="0.25">
      <c r="A1621" s="3" t="s">
        <v>1187</v>
      </c>
      <c r="B1621" s="3" t="s">
        <v>1736</v>
      </c>
    </row>
    <row r="1622" spans="1:2" ht="63.75" x14ac:dyDescent="0.25">
      <c r="A1622" s="3" t="s">
        <v>306</v>
      </c>
      <c r="B1622" s="3" t="s">
        <v>1996</v>
      </c>
    </row>
    <row r="1623" spans="1:2" ht="102" x14ac:dyDescent="0.25">
      <c r="A1623" s="3" t="s">
        <v>855</v>
      </c>
      <c r="B1623" s="3" t="s">
        <v>2245</v>
      </c>
    </row>
    <row r="1624" spans="1:2" ht="25.5" x14ac:dyDescent="0.25">
      <c r="A1624" s="3" t="s">
        <v>1443</v>
      </c>
      <c r="B1624" s="3" t="s">
        <v>1950</v>
      </c>
    </row>
    <row r="1625" spans="1:2" ht="25.5" x14ac:dyDescent="0.25">
      <c r="A1625" s="3" t="s">
        <v>1312</v>
      </c>
      <c r="B1625" s="3" t="s">
        <v>1854</v>
      </c>
    </row>
    <row r="1626" spans="1:2" ht="102" x14ac:dyDescent="0.25">
      <c r="A1626" s="3" t="s">
        <v>860</v>
      </c>
      <c r="B1626" s="3" t="s">
        <v>2246</v>
      </c>
    </row>
    <row r="1627" spans="1:2" ht="89.25" x14ac:dyDescent="0.25">
      <c r="A1627" s="3" t="s">
        <v>160</v>
      </c>
      <c r="B1627" s="3" t="s">
        <v>1887</v>
      </c>
    </row>
    <row r="1628" spans="1:2" ht="76.5" x14ac:dyDescent="0.25">
      <c r="A1628" s="3" t="s">
        <v>1303</v>
      </c>
      <c r="B1628" s="3" t="s">
        <v>1846</v>
      </c>
    </row>
    <row r="1629" spans="1:2" ht="76.5" x14ac:dyDescent="0.25">
      <c r="A1629" s="3" t="s">
        <v>1304</v>
      </c>
      <c r="B1629" s="3" t="s">
        <v>1847</v>
      </c>
    </row>
    <row r="1630" spans="1:2" ht="63.75" x14ac:dyDescent="0.25">
      <c r="A1630" s="3" t="s">
        <v>1305</v>
      </c>
      <c r="B1630" s="3" t="s">
        <v>1848</v>
      </c>
    </row>
    <row r="1631" spans="1:2" ht="63.75" x14ac:dyDescent="0.25">
      <c r="A1631" s="3" t="s">
        <v>1220</v>
      </c>
      <c r="B1631" s="3" t="s">
        <v>1768</v>
      </c>
    </row>
    <row r="1632" spans="1:2" ht="38.25" x14ac:dyDescent="0.25">
      <c r="A1632" s="3" t="s">
        <v>1307</v>
      </c>
      <c r="B1632" s="3" t="s">
        <v>1849</v>
      </c>
    </row>
    <row r="1633" spans="1:2" ht="51" x14ac:dyDescent="0.25">
      <c r="A1633" s="3" t="s">
        <v>1219</v>
      </c>
      <c r="B1633" s="3" t="s">
        <v>1767</v>
      </c>
    </row>
    <row r="1634" spans="1:2" ht="38.25" x14ac:dyDescent="0.25">
      <c r="A1634" s="3" t="s">
        <v>851</v>
      </c>
      <c r="B1634" s="3" t="s">
        <v>2244</v>
      </c>
    </row>
    <row r="1635" spans="1:2" ht="63.75" x14ac:dyDescent="0.25">
      <c r="A1635" s="3" t="s">
        <v>1168</v>
      </c>
      <c r="B1635" s="3" t="s">
        <v>1720</v>
      </c>
    </row>
    <row r="1636" spans="1:2" ht="51" x14ac:dyDescent="0.25">
      <c r="A1636" s="3" t="s">
        <v>1187</v>
      </c>
      <c r="B1636" s="3" t="s">
        <v>1736</v>
      </c>
    </row>
    <row r="1637" spans="1:2" ht="63.75" x14ac:dyDescent="0.25">
      <c r="A1637" s="3" t="s">
        <v>306</v>
      </c>
      <c r="B1637" s="3" t="s">
        <v>1996</v>
      </c>
    </row>
    <row r="1638" spans="1:2" ht="114.75" x14ac:dyDescent="0.25">
      <c r="A1638" s="3" t="s">
        <v>870</v>
      </c>
      <c r="B1638" s="3" t="s">
        <v>2247</v>
      </c>
    </row>
    <row r="1639" spans="1:2" ht="25.5" x14ac:dyDescent="0.25">
      <c r="A1639" s="3" t="s">
        <v>1280</v>
      </c>
      <c r="B1639" s="3" t="s">
        <v>1827</v>
      </c>
    </row>
    <row r="1640" spans="1:2" ht="51" x14ac:dyDescent="0.25">
      <c r="A1640" s="3" t="s">
        <v>773</v>
      </c>
      <c r="B1640" s="3" t="s">
        <v>2219</v>
      </c>
    </row>
    <row r="1641" spans="1:2" ht="25.5" x14ac:dyDescent="0.25">
      <c r="A1641" s="3" t="s">
        <v>1288</v>
      </c>
      <c r="B1641" s="3" t="s">
        <v>1834</v>
      </c>
    </row>
    <row r="1642" spans="1:2" ht="51" x14ac:dyDescent="0.25">
      <c r="A1642" s="3" t="s">
        <v>1328</v>
      </c>
      <c r="B1642" s="3" t="s">
        <v>1865</v>
      </c>
    </row>
    <row r="1643" spans="1:2" ht="114.75" x14ac:dyDescent="0.25">
      <c r="A1643" s="3" t="s">
        <v>98</v>
      </c>
      <c r="B1643" s="3" t="s">
        <v>1832</v>
      </c>
    </row>
    <row r="1644" spans="1:2" ht="63.75" x14ac:dyDescent="0.25">
      <c r="A1644" s="3" t="s">
        <v>306</v>
      </c>
      <c r="B1644" s="3" t="s">
        <v>1996</v>
      </c>
    </row>
    <row r="1645" spans="1:2" ht="114.75" x14ac:dyDescent="0.25">
      <c r="A1645" s="3" t="s">
        <v>875</v>
      </c>
      <c r="B1645" s="3" t="s">
        <v>2248</v>
      </c>
    </row>
    <row r="1646" spans="1:2" ht="102" x14ac:dyDescent="0.25">
      <c r="A1646" s="3" t="s">
        <v>876</v>
      </c>
      <c r="B1646" s="3" t="s">
        <v>2249</v>
      </c>
    </row>
    <row r="1647" spans="1:2" ht="102" x14ac:dyDescent="0.25">
      <c r="A1647" s="3" t="s">
        <v>878</v>
      </c>
      <c r="B1647" s="3" t="s">
        <v>2250</v>
      </c>
    </row>
    <row r="1648" spans="1:2" ht="25.5" x14ac:dyDescent="0.25">
      <c r="A1648" s="3" t="s">
        <v>1301</v>
      </c>
      <c r="B1648" s="3" t="s">
        <v>1845</v>
      </c>
    </row>
    <row r="1649" spans="1:2" ht="76.5" x14ac:dyDescent="0.25">
      <c r="A1649" s="3" t="s">
        <v>1303</v>
      </c>
      <c r="B1649" s="3" t="s">
        <v>1846</v>
      </c>
    </row>
    <row r="1650" spans="1:2" ht="76.5" x14ac:dyDescent="0.25">
      <c r="A1650" s="3" t="s">
        <v>1304</v>
      </c>
      <c r="B1650" s="3" t="s">
        <v>1847</v>
      </c>
    </row>
    <row r="1651" spans="1:2" ht="63.75" x14ac:dyDescent="0.25">
      <c r="A1651" s="3" t="s">
        <v>1305</v>
      </c>
      <c r="B1651" s="3" t="s">
        <v>1848</v>
      </c>
    </row>
    <row r="1652" spans="1:2" ht="63.75" x14ac:dyDescent="0.25">
      <c r="A1652" s="3" t="s">
        <v>1220</v>
      </c>
      <c r="B1652" s="3" t="s">
        <v>1768</v>
      </c>
    </row>
    <row r="1653" spans="1:2" ht="38.25" x14ac:dyDescent="0.25">
      <c r="A1653" s="3" t="s">
        <v>1307</v>
      </c>
      <c r="B1653" s="3" t="s">
        <v>1849</v>
      </c>
    </row>
    <row r="1654" spans="1:2" ht="51" x14ac:dyDescent="0.25">
      <c r="A1654" s="3" t="s">
        <v>1219</v>
      </c>
      <c r="B1654" s="3" t="s">
        <v>1767</v>
      </c>
    </row>
    <row r="1655" spans="1:2" ht="25.5" x14ac:dyDescent="0.25">
      <c r="A1655" s="3" t="s">
        <v>1308</v>
      </c>
      <c r="B1655" s="3" t="s">
        <v>1850</v>
      </c>
    </row>
    <row r="1656" spans="1:2" ht="38.25" x14ac:dyDescent="0.25">
      <c r="A1656" s="3" t="s">
        <v>1309</v>
      </c>
      <c r="B1656" s="3" t="s">
        <v>1851</v>
      </c>
    </row>
    <row r="1657" spans="1:2" ht="51" x14ac:dyDescent="0.25">
      <c r="A1657" s="3" t="s">
        <v>1187</v>
      </c>
      <c r="B1657" s="3" t="s">
        <v>1736</v>
      </c>
    </row>
    <row r="1658" spans="1:2" ht="76.5" x14ac:dyDescent="0.25">
      <c r="A1658" s="3" t="s">
        <v>1303</v>
      </c>
      <c r="B1658" s="3" t="s">
        <v>1846</v>
      </c>
    </row>
    <row r="1659" spans="1:2" ht="76.5" x14ac:dyDescent="0.25">
      <c r="A1659" s="3" t="s">
        <v>1304</v>
      </c>
      <c r="B1659" s="3" t="s">
        <v>1847</v>
      </c>
    </row>
    <row r="1660" spans="1:2" ht="63.75" x14ac:dyDescent="0.25">
      <c r="A1660" s="3" t="s">
        <v>1305</v>
      </c>
      <c r="B1660" s="3" t="s">
        <v>1848</v>
      </c>
    </row>
    <row r="1661" spans="1:2" ht="63.75" x14ac:dyDescent="0.25">
      <c r="A1661" s="3" t="s">
        <v>1220</v>
      </c>
      <c r="B1661" s="3" t="s">
        <v>1768</v>
      </c>
    </row>
    <row r="1662" spans="1:2" ht="38.25" x14ac:dyDescent="0.25">
      <c r="A1662" s="3" t="s">
        <v>1307</v>
      </c>
      <c r="B1662" s="3" t="s">
        <v>1849</v>
      </c>
    </row>
    <row r="1663" spans="1:2" ht="51" x14ac:dyDescent="0.25">
      <c r="A1663" s="3" t="s">
        <v>1219</v>
      </c>
      <c r="B1663" s="3" t="s">
        <v>1767</v>
      </c>
    </row>
    <row r="1664" spans="1:2" ht="25.5" x14ac:dyDescent="0.25">
      <c r="A1664" s="3" t="s">
        <v>1308</v>
      </c>
      <c r="B1664" s="3" t="s">
        <v>1850</v>
      </c>
    </row>
    <row r="1665" spans="1:2" ht="38.25" x14ac:dyDescent="0.25">
      <c r="A1665" s="3" t="s">
        <v>1309</v>
      </c>
      <c r="B1665" s="3" t="s">
        <v>1851</v>
      </c>
    </row>
    <row r="1666" spans="1:2" ht="51" x14ac:dyDescent="0.25">
      <c r="A1666" s="3" t="s">
        <v>1187</v>
      </c>
      <c r="B1666" s="3" t="s">
        <v>1736</v>
      </c>
    </row>
    <row r="1667" spans="1:2" ht="89.25" x14ac:dyDescent="0.25">
      <c r="A1667" s="3" t="s">
        <v>160</v>
      </c>
      <c r="B1667" s="3" t="s">
        <v>1887</v>
      </c>
    </row>
    <row r="1668" spans="1:2" ht="102" x14ac:dyDescent="0.25">
      <c r="A1668" s="3" t="s">
        <v>895</v>
      </c>
      <c r="B1668" s="3" t="s">
        <v>2251</v>
      </c>
    </row>
    <row r="1669" spans="1:2" ht="25.5" x14ac:dyDescent="0.25">
      <c r="A1669" s="3" t="s">
        <v>1312</v>
      </c>
      <c r="B1669" s="3" t="s">
        <v>1854</v>
      </c>
    </row>
    <row r="1670" spans="1:2" ht="102" x14ac:dyDescent="0.25">
      <c r="A1670" s="3" t="s">
        <v>898</v>
      </c>
      <c r="B1670" s="3" t="s">
        <v>2252</v>
      </c>
    </row>
    <row r="1671" spans="1:2" ht="25.5" x14ac:dyDescent="0.25">
      <c r="A1671" s="3" t="s">
        <v>1280</v>
      </c>
      <c r="B1671" s="3" t="s">
        <v>1827</v>
      </c>
    </row>
    <row r="1672" spans="1:2" ht="51" x14ac:dyDescent="0.25">
      <c r="A1672" s="3" t="s">
        <v>95</v>
      </c>
      <c r="B1672" s="3" t="s">
        <v>1828</v>
      </c>
    </row>
    <row r="1673" spans="1:2" ht="51" x14ac:dyDescent="0.25">
      <c r="A1673" s="3" t="s">
        <v>95</v>
      </c>
      <c r="B1673" s="3" t="s">
        <v>1828</v>
      </c>
    </row>
    <row r="1674" spans="1:2" ht="51" x14ac:dyDescent="0.25">
      <c r="A1674" s="3" t="s">
        <v>1282</v>
      </c>
      <c r="B1674" s="3" t="s">
        <v>1829</v>
      </c>
    </row>
    <row r="1675" spans="1:2" ht="89.25" x14ac:dyDescent="0.25">
      <c r="A1675" s="3" t="s">
        <v>904</v>
      </c>
      <c r="B1675" s="3" t="s">
        <v>2253</v>
      </c>
    </row>
    <row r="1676" spans="1:2" ht="102" x14ac:dyDescent="0.25">
      <c r="A1676" s="3" t="s">
        <v>905</v>
      </c>
      <c r="B1676" s="3" t="s">
        <v>2254</v>
      </c>
    </row>
    <row r="1677" spans="1:2" ht="114.75" x14ac:dyDescent="0.25">
      <c r="A1677" s="3" t="s">
        <v>98</v>
      </c>
      <c r="B1677" s="3" t="s">
        <v>1832</v>
      </c>
    </row>
    <row r="1678" spans="1:2" ht="51" x14ac:dyDescent="0.25">
      <c r="A1678" s="3" t="s">
        <v>773</v>
      </c>
      <c r="B1678" s="3" t="s">
        <v>2219</v>
      </c>
    </row>
    <row r="1679" spans="1:2" ht="25.5" x14ac:dyDescent="0.25">
      <c r="A1679" s="3" t="s">
        <v>1288</v>
      </c>
      <c r="B1679" s="3" t="s">
        <v>1834</v>
      </c>
    </row>
    <row r="1680" spans="1:2" ht="51" x14ac:dyDescent="0.25">
      <c r="A1680" s="3" t="s">
        <v>95</v>
      </c>
      <c r="B1680" s="3" t="s">
        <v>1828</v>
      </c>
    </row>
    <row r="1681" spans="1:2" ht="89.25" x14ac:dyDescent="0.25">
      <c r="A1681" s="3" t="s">
        <v>909</v>
      </c>
      <c r="B1681" s="3" t="s">
        <v>2255</v>
      </c>
    </row>
    <row r="1682" spans="1:2" ht="25.5" x14ac:dyDescent="0.25">
      <c r="A1682" s="3" t="s">
        <v>1443</v>
      </c>
      <c r="B1682" s="3" t="s">
        <v>1950</v>
      </c>
    </row>
    <row r="1683" spans="1:2" ht="51" x14ac:dyDescent="0.25">
      <c r="A1683" s="3" t="s">
        <v>773</v>
      </c>
      <c r="B1683" s="3" t="s">
        <v>2219</v>
      </c>
    </row>
    <row r="1684" spans="1:2" ht="51" x14ac:dyDescent="0.25">
      <c r="A1684" s="3" t="s">
        <v>1295</v>
      </c>
      <c r="B1684" s="3" t="s">
        <v>1839</v>
      </c>
    </row>
    <row r="1685" spans="1:2" ht="51" x14ac:dyDescent="0.25">
      <c r="A1685" s="3" t="s">
        <v>1291</v>
      </c>
      <c r="B1685" s="3" t="s">
        <v>1836</v>
      </c>
    </row>
    <row r="1686" spans="1:2" ht="114.75" x14ac:dyDescent="0.25">
      <c r="A1686" s="3" t="s">
        <v>101</v>
      </c>
      <c r="B1686" s="3" t="s">
        <v>1835</v>
      </c>
    </row>
    <row r="1687" spans="1:2" ht="51" x14ac:dyDescent="0.25">
      <c r="A1687" s="3" t="s">
        <v>95</v>
      </c>
      <c r="B1687" s="3" t="s">
        <v>1828</v>
      </c>
    </row>
    <row r="1688" spans="1:2" ht="102" x14ac:dyDescent="0.25">
      <c r="A1688" s="3" t="s">
        <v>915</v>
      </c>
      <c r="B1688" s="3" t="s">
        <v>2256</v>
      </c>
    </row>
    <row r="1689" spans="1:2" ht="89.25" x14ac:dyDescent="0.25">
      <c r="A1689" s="3" t="s">
        <v>916</v>
      </c>
      <c r="B1689" s="3" t="s">
        <v>2257</v>
      </c>
    </row>
    <row r="1690" spans="1:2" ht="51" x14ac:dyDescent="0.25">
      <c r="A1690" s="3" t="s">
        <v>95</v>
      </c>
      <c r="B1690" s="3" t="s">
        <v>1828</v>
      </c>
    </row>
    <row r="1691" spans="1:2" ht="63.75" x14ac:dyDescent="0.25">
      <c r="A1691" s="3" t="s">
        <v>919</v>
      </c>
      <c r="B1691" s="3" t="s">
        <v>2258</v>
      </c>
    </row>
    <row r="1692" spans="1:2" ht="76.5" x14ac:dyDescent="0.25">
      <c r="A1692" s="3" t="s">
        <v>592</v>
      </c>
      <c r="B1692" s="3" t="s">
        <v>2156</v>
      </c>
    </row>
    <row r="1693" spans="1:2" ht="76.5" x14ac:dyDescent="0.25">
      <c r="A1693" s="3" t="s">
        <v>594</v>
      </c>
      <c r="B1693" s="3" t="s">
        <v>2157</v>
      </c>
    </row>
    <row r="1694" spans="1:2" ht="102" x14ac:dyDescent="0.25">
      <c r="A1694" s="3" t="s">
        <v>922</v>
      </c>
      <c r="B1694" s="3" t="s">
        <v>2259</v>
      </c>
    </row>
    <row r="1695" spans="1:2" ht="25.5" x14ac:dyDescent="0.25">
      <c r="A1695" s="3" t="s">
        <v>1301</v>
      </c>
      <c r="B1695" s="3" t="s">
        <v>1845</v>
      </c>
    </row>
    <row r="1696" spans="1:2" ht="76.5" x14ac:dyDescent="0.25">
      <c r="A1696" s="3" t="s">
        <v>1303</v>
      </c>
      <c r="B1696" s="3" t="s">
        <v>1846</v>
      </c>
    </row>
    <row r="1697" spans="1:2" ht="51" x14ac:dyDescent="0.25">
      <c r="A1697" s="3" t="s">
        <v>1373</v>
      </c>
      <c r="B1697" s="3" t="s">
        <v>1900</v>
      </c>
    </row>
    <row r="1698" spans="1:2" ht="76.5" x14ac:dyDescent="0.25">
      <c r="A1698" s="3" t="s">
        <v>1304</v>
      </c>
      <c r="B1698" s="3" t="s">
        <v>1847</v>
      </c>
    </row>
    <row r="1699" spans="1:2" ht="51" x14ac:dyDescent="0.25">
      <c r="A1699" s="3" t="s">
        <v>1186</v>
      </c>
      <c r="B1699" s="3" t="s">
        <v>1735</v>
      </c>
    </row>
    <row r="1700" spans="1:2" ht="51" x14ac:dyDescent="0.25">
      <c r="A1700" s="3" t="s">
        <v>1187</v>
      </c>
      <c r="B1700" s="3" t="s">
        <v>1736</v>
      </c>
    </row>
    <row r="1701" spans="1:2" ht="38.25" x14ac:dyDescent="0.25">
      <c r="A1701" s="3" t="s">
        <v>1190</v>
      </c>
      <c r="B1701" s="3" t="s">
        <v>1739</v>
      </c>
    </row>
    <row r="1702" spans="1:2" ht="63.75" x14ac:dyDescent="0.25">
      <c r="A1702" s="3" t="s">
        <v>1305</v>
      </c>
      <c r="B1702" s="3" t="s">
        <v>1848</v>
      </c>
    </row>
    <row r="1703" spans="1:2" ht="63.75" x14ac:dyDescent="0.25">
      <c r="A1703" s="3" t="s">
        <v>1193</v>
      </c>
      <c r="B1703" s="3" t="s">
        <v>1742</v>
      </c>
    </row>
    <row r="1704" spans="1:2" ht="102" x14ac:dyDescent="0.25">
      <c r="A1704" s="3" t="s">
        <v>932</v>
      </c>
      <c r="B1704" s="3" t="s">
        <v>2260</v>
      </c>
    </row>
    <row r="1705" spans="1:2" ht="89.25" x14ac:dyDescent="0.25">
      <c r="A1705" s="3" t="s">
        <v>160</v>
      </c>
      <c r="B1705" s="3" t="s">
        <v>1887</v>
      </c>
    </row>
    <row r="1706" spans="1:2" ht="25.5" x14ac:dyDescent="0.25">
      <c r="A1706" s="3" t="s">
        <v>1312</v>
      </c>
      <c r="B1706" s="3" t="s">
        <v>1854</v>
      </c>
    </row>
    <row r="1707" spans="1:2" ht="76.5" x14ac:dyDescent="0.25">
      <c r="A1707" s="3" t="s">
        <v>1303</v>
      </c>
      <c r="B1707" s="3" t="s">
        <v>1846</v>
      </c>
    </row>
    <row r="1708" spans="1:2" ht="51" x14ac:dyDescent="0.25">
      <c r="A1708" s="3" t="s">
        <v>1373</v>
      </c>
      <c r="B1708" s="3" t="s">
        <v>1900</v>
      </c>
    </row>
    <row r="1709" spans="1:2" ht="76.5" x14ac:dyDescent="0.25">
      <c r="A1709" s="3" t="s">
        <v>1304</v>
      </c>
      <c r="B1709" s="3" t="s">
        <v>1847</v>
      </c>
    </row>
    <row r="1710" spans="1:2" ht="51" x14ac:dyDescent="0.25">
      <c r="A1710" s="3" t="s">
        <v>1186</v>
      </c>
      <c r="B1710" s="3" t="s">
        <v>1735</v>
      </c>
    </row>
    <row r="1711" spans="1:2" ht="51" x14ac:dyDescent="0.25">
      <c r="A1711" s="3" t="s">
        <v>1187</v>
      </c>
      <c r="B1711" s="3" t="s">
        <v>1736</v>
      </c>
    </row>
    <row r="1712" spans="1:2" ht="38.25" x14ac:dyDescent="0.25">
      <c r="A1712" s="3" t="s">
        <v>1190</v>
      </c>
      <c r="B1712" s="3" t="s">
        <v>1739</v>
      </c>
    </row>
    <row r="1713" spans="1:2" ht="63.75" x14ac:dyDescent="0.25">
      <c r="A1713" s="3" t="s">
        <v>1305</v>
      </c>
      <c r="B1713" s="3" t="s">
        <v>1848</v>
      </c>
    </row>
    <row r="1714" spans="1:2" ht="63.75" x14ac:dyDescent="0.25">
      <c r="A1714" s="3" t="s">
        <v>1193</v>
      </c>
      <c r="B1714" s="3" t="s">
        <v>1742</v>
      </c>
    </row>
    <row r="1715" spans="1:2" ht="51" x14ac:dyDescent="0.25">
      <c r="A1715" s="3" t="s">
        <v>272</v>
      </c>
      <c r="B1715" s="3" t="s">
        <v>1968</v>
      </c>
    </row>
    <row r="1716" spans="1:2" ht="89.25" x14ac:dyDescent="0.25">
      <c r="A1716" s="3" t="s">
        <v>944</v>
      </c>
      <c r="B1716" s="3" t="s">
        <v>2261</v>
      </c>
    </row>
    <row r="1717" spans="1:2" ht="25.5" x14ac:dyDescent="0.25">
      <c r="A1717" s="3" t="s">
        <v>1443</v>
      </c>
      <c r="B1717" s="3" t="s">
        <v>1950</v>
      </c>
    </row>
    <row r="1718" spans="1:2" ht="51" x14ac:dyDescent="0.25">
      <c r="A1718" s="3" t="s">
        <v>773</v>
      </c>
      <c r="B1718" s="3" t="s">
        <v>2219</v>
      </c>
    </row>
    <row r="1719" spans="1:2" ht="25.5" x14ac:dyDescent="0.25">
      <c r="A1719" s="3" t="s">
        <v>1288</v>
      </c>
      <c r="B1719" s="3" t="s">
        <v>1834</v>
      </c>
    </row>
    <row r="1720" spans="1:2" ht="51" x14ac:dyDescent="0.25">
      <c r="A1720" s="3" t="s">
        <v>1367</v>
      </c>
      <c r="B1720" s="3" t="s">
        <v>1897</v>
      </c>
    </row>
    <row r="1721" spans="1:2" ht="114.75" x14ac:dyDescent="0.25">
      <c r="A1721" s="3" t="s">
        <v>98</v>
      </c>
      <c r="B1721" s="3" t="s">
        <v>1832</v>
      </c>
    </row>
    <row r="1722" spans="1:2" ht="51" x14ac:dyDescent="0.25">
      <c r="A1722" s="3" t="s">
        <v>272</v>
      </c>
      <c r="B1722" s="3" t="s">
        <v>1968</v>
      </c>
    </row>
    <row r="1723" spans="1:2" ht="102" x14ac:dyDescent="0.25">
      <c r="A1723" s="3" t="s">
        <v>950</v>
      </c>
      <c r="B1723" s="3" t="s">
        <v>2262</v>
      </c>
    </row>
    <row r="1724" spans="1:2" ht="89.25" x14ac:dyDescent="0.25">
      <c r="A1724" s="3" t="s">
        <v>951</v>
      </c>
      <c r="B1724" s="3" t="s">
        <v>2263</v>
      </c>
    </row>
    <row r="1725" spans="1:2" ht="38.25" x14ac:dyDescent="0.25">
      <c r="A1725" s="3" t="s">
        <v>953</v>
      </c>
      <c r="B1725" s="3" t="s">
        <v>2264</v>
      </c>
    </row>
    <row r="1726" spans="1:2" ht="76.5" x14ac:dyDescent="0.25">
      <c r="A1726" s="3" t="s">
        <v>955</v>
      </c>
      <c r="B1726" s="3" t="s">
        <v>2265</v>
      </c>
    </row>
    <row r="1727" spans="1:2" ht="25.5" x14ac:dyDescent="0.25">
      <c r="A1727" s="3" t="s">
        <v>1443</v>
      </c>
      <c r="B1727" s="3" t="s">
        <v>1950</v>
      </c>
    </row>
    <row r="1728" spans="1:2" ht="38.25" x14ac:dyDescent="0.25">
      <c r="A1728" s="3" t="s">
        <v>953</v>
      </c>
      <c r="B1728" s="3" t="s">
        <v>2264</v>
      </c>
    </row>
    <row r="1729" spans="1:2" ht="63.75" x14ac:dyDescent="0.25">
      <c r="A1729" s="3" t="s">
        <v>1362</v>
      </c>
      <c r="B1729" s="3" t="s">
        <v>1892</v>
      </c>
    </row>
    <row r="1730" spans="1:2" ht="114.75" x14ac:dyDescent="0.25">
      <c r="A1730" s="3" t="s">
        <v>960</v>
      </c>
      <c r="B1730" s="3" t="s">
        <v>2266</v>
      </c>
    </row>
    <row r="1731" spans="1:2" ht="76.5" x14ac:dyDescent="0.25">
      <c r="A1731" s="3" t="s">
        <v>961</v>
      </c>
      <c r="B1731" s="3" t="s">
        <v>2267</v>
      </c>
    </row>
    <row r="1732" spans="1:2" ht="89.25" x14ac:dyDescent="0.25">
      <c r="A1732" s="3" t="s">
        <v>962</v>
      </c>
      <c r="B1732" s="3" t="s">
        <v>2268</v>
      </c>
    </row>
    <row r="1733" spans="1:2" ht="38.25" x14ac:dyDescent="0.25">
      <c r="A1733" s="3" t="s">
        <v>1287</v>
      </c>
      <c r="B1733" s="3" t="s">
        <v>1833</v>
      </c>
    </row>
    <row r="1734" spans="1:2" ht="51" x14ac:dyDescent="0.25">
      <c r="A1734" s="3" t="s">
        <v>1345</v>
      </c>
      <c r="B1734" s="3" t="s">
        <v>1878</v>
      </c>
    </row>
    <row r="1735" spans="1:2" ht="63.75" x14ac:dyDescent="0.25">
      <c r="A1735" s="3" t="s">
        <v>166</v>
      </c>
      <c r="B1735" s="3" t="s">
        <v>1896</v>
      </c>
    </row>
    <row r="1736" spans="1:2" ht="89.25" x14ac:dyDescent="0.25">
      <c r="A1736" s="3" t="s">
        <v>966</v>
      </c>
      <c r="B1736" s="3" t="s">
        <v>2269</v>
      </c>
    </row>
    <row r="1737" spans="1:2" ht="25.5" x14ac:dyDescent="0.25">
      <c r="A1737" s="3" t="s">
        <v>1443</v>
      </c>
      <c r="B1737" s="3" t="s">
        <v>1950</v>
      </c>
    </row>
    <row r="1738" spans="1:2" ht="63.75" x14ac:dyDescent="0.25">
      <c r="A1738" s="3" t="s">
        <v>166</v>
      </c>
      <c r="B1738" s="3" t="s">
        <v>1896</v>
      </c>
    </row>
    <row r="1739" spans="1:2" ht="51" x14ac:dyDescent="0.25">
      <c r="A1739" s="3" t="s">
        <v>1367</v>
      </c>
      <c r="B1739" s="3" t="s">
        <v>1897</v>
      </c>
    </row>
    <row r="1740" spans="1:2" ht="114.75" x14ac:dyDescent="0.25">
      <c r="A1740" s="3" t="s">
        <v>960</v>
      </c>
      <c r="B1740" s="3" t="s">
        <v>2266</v>
      </c>
    </row>
    <row r="1741" spans="1:2" ht="38.25" x14ac:dyDescent="0.25">
      <c r="A1741" s="3" t="s">
        <v>1287</v>
      </c>
      <c r="B1741" s="3" t="s">
        <v>1833</v>
      </c>
    </row>
    <row r="1742" spans="1:2" ht="89.25" x14ac:dyDescent="0.25">
      <c r="A1742" s="3" t="s">
        <v>971</v>
      </c>
      <c r="B1742" s="3" t="s">
        <v>2270</v>
      </c>
    </row>
    <row r="1743" spans="1:2" ht="102" x14ac:dyDescent="0.25">
      <c r="A1743" s="3" t="s">
        <v>972</v>
      </c>
      <c r="B1743" s="3" t="s">
        <v>2271</v>
      </c>
    </row>
    <row r="1744" spans="1:2" ht="51" x14ac:dyDescent="0.25">
      <c r="A1744" s="3" t="s">
        <v>1345</v>
      </c>
      <c r="B1744" s="3" t="s">
        <v>1878</v>
      </c>
    </row>
    <row r="1745" spans="1:2" ht="76.5" x14ac:dyDescent="0.25">
      <c r="A1745" s="3" t="s">
        <v>107</v>
      </c>
      <c r="B1745" s="3" t="s">
        <v>1842</v>
      </c>
    </row>
    <row r="1746" spans="1:2" ht="89.25" x14ac:dyDescent="0.25">
      <c r="A1746" s="3" t="s">
        <v>976</v>
      </c>
      <c r="B1746" s="3" t="s">
        <v>2272</v>
      </c>
    </row>
    <row r="1747" spans="1:2" ht="25.5" x14ac:dyDescent="0.25">
      <c r="A1747" s="3" t="s">
        <v>1443</v>
      </c>
      <c r="B1747" s="3" t="s">
        <v>1950</v>
      </c>
    </row>
    <row r="1748" spans="1:2" ht="76.5" x14ac:dyDescent="0.25">
      <c r="A1748" s="3" t="s">
        <v>107</v>
      </c>
      <c r="B1748" s="3" t="s">
        <v>1842</v>
      </c>
    </row>
    <row r="1749" spans="1:2" ht="102" x14ac:dyDescent="0.25">
      <c r="A1749" s="3" t="s">
        <v>981</v>
      </c>
      <c r="B1749" s="3" t="s">
        <v>2273</v>
      </c>
    </row>
    <row r="1750" spans="1:2" ht="102" x14ac:dyDescent="0.25">
      <c r="A1750" s="3" t="s">
        <v>982</v>
      </c>
      <c r="B1750" s="3" t="s">
        <v>2274</v>
      </c>
    </row>
    <row r="1751" spans="1:2" ht="25.5" x14ac:dyDescent="0.25">
      <c r="A1751" s="3" t="s">
        <v>1301</v>
      </c>
      <c r="B1751" s="3" t="s">
        <v>1845</v>
      </c>
    </row>
    <row r="1752" spans="1:2" ht="76.5" x14ac:dyDescent="0.25">
      <c r="A1752" s="3" t="s">
        <v>107</v>
      </c>
      <c r="B1752" s="3" t="s">
        <v>1842</v>
      </c>
    </row>
    <row r="1753" spans="1:2" ht="102" x14ac:dyDescent="0.25">
      <c r="A1753" s="3" t="s">
        <v>986</v>
      </c>
      <c r="B1753" s="3" t="s">
        <v>2275</v>
      </c>
    </row>
    <row r="1754" spans="1:2" ht="38.25" x14ac:dyDescent="0.25">
      <c r="A1754" s="3" t="s">
        <v>304</v>
      </c>
      <c r="B1754" s="3" t="s">
        <v>1990</v>
      </c>
    </row>
    <row r="1755" spans="1:2" ht="76.5" x14ac:dyDescent="0.25">
      <c r="A1755" s="3" t="s">
        <v>989</v>
      </c>
      <c r="B1755" s="3" t="s">
        <v>2276</v>
      </c>
    </row>
    <row r="1756" spans="1:2" ht="25.5" x14ac:dyDescent="0.25">
      <c r="A1756" s="3" t="s">
        <v>1443</v>
      </c>
      <c r="B1756" s="3" t="s">
        <v>1950</v>
      </c>
    </row>
    <row r="1757" spans="1:2" ht="38.25" x14ac:dyDescent="0.25">
      <c r="A1757" s="3" t="s">
        <v>150</v>
      </c>
      <c r="B1757" s="3" t="s">
        <v>1879</v>
      </c>
    </row>
    <row r="1758" spans="1:2" ht="38.25" x14ac:dyDescent="0.25">
      <c r="A1758" s="3" t="s">
        <v>150</v>
      </c>
      <c r="B1758" s="3" t="s">
        <v>1879</v>
      </c>
    </row>
    <row r="1759" spans="1:2" ht="89.25" x14ac:dyDescent="0.25">
      <c r="A1759" s="3" t="s">
        <v>995</v>
      </c>
      <c r="B1759" s="3" t="s">
        <v>2277</v>
      </c>
    </row>
    <row r="1760" spans="1:2" ht="89.25" x14ac:dyDescent="0.25">
      <c r="A1760" s="3" t="s">
        <v>996</v>
      </c>
      <c r="B1760" s="3" t="s">
        <v>2278</v>
      </c>
    </row>
    <row r="1761" spans="1:2" ht="63.75" x14ac:dyDescent="0.25">
      <c r="A1761" s="3" t="s">
        <v>997</v>
      </c>
      <c r="B1761" s="3" t="s">
        <v>2279</v>
      </c>
    </row>
    <row r="1762" spans="1:2" ht="63.75" x14ac:dyDescent="0.25">
      <c r="A1762" s="3" t="s">
        <v>129</v>
      </c>
      <c r="B1762" s="3" t="s">
        <v>1859</v>
      </c>
    </row>
    <row r="1763" spans="1:2" ht="102" x14ac:dyDescent="0.25">
      <c r="A1763" s="3" t="s">
        <v>1001</v>
      </c>
      <c r="B1763" s="3" t="s">
        <v>2280</v>
      </c>
    </row>
    <row r="1764" spans="1:2" ht="51" x14ac:dyDescent="0.25">
      <c r="A1764" s="3" t="s">
        <v>1322</v>
      </c>
      <c r="B1764" s="3" t="s">
        <v>1861</v>
      </c>
    </row>
    <row r="1765" spans="1:2" ht="25.5" x14ac:dyDescent="0.25">
      <c r="A1765" s="3" t="s">
        <v>1323</v>
      </c>
      <c r="B1765" s="3" t="s">
        <v>1862</v>
      </c>
    </row>
    <row r="1766" spans="1:2" ht="76.5" x14ac:dyDescent="0.25">
      <c r="A1766" s="3" t="s">
        <v>1221</v>
      </c>
      <c r="B1766" s="3" t="s">
        <v>1769</v>
      </c>
    </row>
    <row r="1767" spans="1:2" ht="51" x14ac:dyDescent="0.25">
      <c r="A1767" s="3" t="s">
        <v>1219</v>
      </c>
      <c r="B1767" s="3" t="s">
        <v>1767</v>
      </c>
    </row>
    <row r="1768" spans="1:2" ht="51" x14ac:dyDescent="0.25">
      <c r="A1768" s="3" t="s">
        <v>1222</v>
      </c>
      <c r="B1768" s="3" t="s">
        <v>1770</v>
      </c>
    </row>
    <row r="1769" spans="1:2" ht="38.25" x14ac:dyDescent="0.25">
      <c r="A1769" s="3" t="s">
        <v>1218</v>
      </c>
      <c r="B1769" s="3" t="s">
        <v>1766</v>
      </c>
    </row>
    <row r="1770" spans="1:2" ht="76.5" x14ac:dyDescent="0.25">
      <c r="A1770" s="3" t="s">
        <v>1215</v>
      </c>
      <c r="B1770" s="3" t="s">
        <v>1763</v>
      </c>
    </row>
    <row r="1771" spans="1:2" ht="51" x14ac:dyDescent="0.25">
      <c r="A1771" s="3" t="s">
        <v>1180</v>
      </c>
      <c r="B1771" s="3" t="s">
        <v>1731</v>
      </c>
    </row>
    <row r="1772" spans="1:2" ht="38.25" x14ac:dyDescent="0.25">
      <c r="A1772" s="3" t="s">
        <v>1185</v>
      </c>
      <c r="B1772" s="3" t="s">
        <v>1734</v>
      </c>
    </row>
    <row r="1773" spans="1:2" ht="51" x14ac:dyDescent="0.25">
      <c r="A1773" s="3" t="s">
        <v>1211</v>
      </c>
      <c r="B1773" s="3" t="s">
        <v>1759</v>
      </c>
    </row>
    <row r="1774" spans="1:2" ht="38.25" x14ac:dyDescent="0.25">
      <c r="A1774" s="3" t="s">
        <v>1189</v>
      </c>
      <c r="B1774" s="3" t="s">
        <v>1738</v>
      </c>
    </row>
    <row r="1775" spans="1:2" ht="63.75" x14ac:dyDescent="0.25">
      <c r="A1775" s="3" t="s">
        <v>1214</v>
      </c>
      <c r="B1775" s="3" t="s">
        <v>1762</v>
      </c>
    </row>
    <row r="1776" spans="1:2" ht="38.25" x14ac:dyDescent="0.25">
      <c r="A1776" s="3" t="s">
        <v>1212</v>
      </c>
      <c r="B1776" s="3" t="s">
        <v>1760</v>
      </c>
    </row>
    <row r="1777" spans="1:2" ht="89.25" x14ac:dyDescent="0.25">
      <c r="A1777" s="3" t="s">
        <v>1200</v>
      </c>
      <c r="B1777" s="3" t="s">
        <v>1748</v>
      </c>
    </row>
    <row r="1778" spans="1:2" ht="25.5" x14ac:dyDescent="0.25">
      <c r="A1778" s="3" t="s">
        <v>1213</v>
      </c>
      <c r="B1778" s="3" t="s">
        <v>1761</v>
      </c>
    </row>
    <row r="1779" spans="1:2" ht="63.75" x14ac:dyDescent="0.25">
      <c r="A1779" s="3" t="s">
        <v>1216</v>
      </c>
      <c r="B1779" s="3" t="s">
        <v>1764</v>
      </c>
    </row>
    <row r="1780" spans="1:2" ht="38.25" x14ac:dyDescent="0.25">
      <c r="A1780" s="3" t="s">
        <v>1192</v>
      </c>
      <c r="B1780" s="3" t="s">
        <v>1741</v>
      </c>
    </row>
    <row r="1781" spans="1:2" ht="51" x14ac:dyDescent="0.25">
      <c r="A1781" s="3" t="s">
        <v>1199</v>
      </c>
      <c r="B1781" s="3" t="s">
        <v>1747</v>
      </c>
    </row>
    <row r="1782" spans="1:2" ht="63.75" x14ac:dyDescent="0.25">
      <c r="A1782" s="3" t="s">
        <v>1193</v>
      </c>
      <c r="B1782" s="3" t="s">
        <v>1742</v>
      </c>
    </row>
    <row r="1783" spans="1:2" ht="63.75" x14ac:dyDescent="0.25">
      <c r="A1783" s="3" t="s">
        <v>1220</v>
      </c>
      <c r="B1783" s="3" t="s">
        <v>1768</v>
      </c>
    </row>
    <row r="1784" spans="1:2" ht="38.25" x14ac:dyDescent="0.25">
      <c r="A1784" s="3" t="s">
        <v>1165</v>
      </c>
      <c r="B1784" s="3" t="s">
        <v>1717</v>
      </c>
    </row>
    <row r="1785" spans="1:2" ht="25.5" x14ac:dyDescent="0.25">
      <c r="A1785" s="3" t="s">
        <v>1210</v>
      </c>
      <c r="B1785" s="3" t="s">
        <v>1758</v>
      </c>
    </row>
    <row r="1786" spans="1:2" ht="25.5" x14ac:dyDescent="0.25">
      <c r="A1786" s="3" t="s">
        <v>1194</v>
      </c>
      <c r="B1786" s="3" t="s">
        <v>1743</v>
      </c>
    </row>
    <row r="1787" spans="1:2" ht="25.5" x14ac:dyDescent="0.25">
      <c r="A1787" s="3" t="s">
        <v>1195</v>
      </c>
      <c r="B1787" s="3" t="s">
        <v>1744</v>
      </c>
    </row>
    <row r="1788" spans="1:2" ht="51" x14ac:dyDescent="0.25">
      <c r="A1788" s="3" t="s">
        <v>453</v>
      </c>
      <c r="B1788" s="3" t="s">
        <v>2079</v>
      </c>
    </row>
    <row r="1789" spans="1:2" ht="38.25" x14ac:dyDescent="0.25">
      <c r="A1789" s="3" t="s">
        <v>1205</v>
      </c>
      <c r="B1789" s="3" t="s">
        <v>1753</v>
      </c>
    </row>
    <row r="1790" spans="1:2" ht="25.5" x14ac:dyDescent="0.25">
      <c r="A1790" s="3" t="s">
        <v>1195</v>
      </c>
      <c r="B1790" s="3" t="s">
        <v>1744</v>
      </c>
    </row>
    <row r="1791" spans="1:2" ht="51" x14ac:dyDescent="0.25">
      <c r="A1791" s="3" t="s">
        <v>1180</v>
      </c>
      <c r="B1791" s="3" t="s">
        <v>1731</v>
      </c>
    </row>
    <row r="1792" spans="1:2" ht="25.5" x14ac:dyDescent="0.25">
      <c r="A1792" s="3" t="s">
        <v>1567</v>
      </c>
      <c r="B1792" s="3" t="s">
        <v>2086</v>
      </c>
    </row>
    <row r="1793" spans="1:2" ht="25.5" x14ac:dyDescent="0.25">
      <c r="A1793" s="3" t="s">
        <v>1568</v>
      </c>
      <c r="B1793" s="3" t="s">
        <v>2087</v>
      </c>
    </row>
    <row r="1794" spans="1:2" ht="25.5" x14ac:dyDescent="0.25">
      <c r="A1794" s="3" t="s">
        <v>1569</v>
      </c>
      <c r="B1794" s="3" t="s">
        <v>2088</v>
      </c>
    </row>
    <row r="1795" spans="1:2" ht="51" x14ac:dyDescent="0.25">
      <c r="A1795" s="3" t="s">
        <v>1201</v>
      </c>
      <c r="B1795" s="3" t="s">
        <v>1749</v>
      </c>
    </row>
    <row r="1796" spans="1:2" ht="38.25" x14ac:dyDescent="0.25">
      <c r="A1796" s="3" t="s">
        <v>1570</v>
      </c>
      <c r="B1796" s="3" t="s">
        <v>2089</v>
      </c>
    </row>
    <row r="1797" spans="1:2" ht="25.5" x14ac:dyDescent="0.25">
      <c r="A1797" s="3" t="s">
        <v>1571</v>
      </c>
      <c r="B1797" s="3" t="s">
        <v>2090</v>
      </c>
    </row>
    <row r="1798" spans="1:2" ht="25.5" x14ac:dyDescent="0.25">
      <c r="A1798" s="3" t="s">
        <v>1224</v>
      </c>
      <c r="B1798" s="3" t="s">
        <v>1771</v>
      </c>
    </row>
    <row r="1799" spans="1:2" ht="38.25" x14ac:dyDescent="0.25">
      <c r="A1799" s="3" t="s">
        <v>1572</v>
      </c>
      <c r="B1799" s="3" t="s">
        <v>2091</v>
      </c>
    </row>
    <row r="1800" spans="1:2" ht="76.5" x14ac:dyDescent="0.25">
      <c r="A1800" s="3" t="s">
        <v>1215</v>
      </c>
      <c r="B1800" s="3" t="s">
        <v>1763</v>
      </c>
    </row>
    <row r="1801" spans="1:2" ht="38.25" x14ac:dyDescent="0.25">
      <c r="A1801" s="3" t="s">
        <v>1207</v>
      </c>
      <c r="B1801" s="3" t="s">
        <v>1756</v>
      </c>
    </row>
    <row r="1802" spans="1:2" ht="51" x14ac:dyDescent="0.25">
      <c r="A1802" s="3" t="s">
        <v>1151</v>
      </c>
      <c r="B1802" s="3" t="s">
        <v>1705</v>
      </c>
    </row>
    <row r="1803" spans="1:2" ht="25.5" x14ac:dyDescent="0.25">
      <c r="A1803" s="3" t="s">
        <v>1145</v>
      </c>
      <c r="B1803" s="3" t="s">
        <v>1700</v>
      </c>
    </row>
    <row r="1804" spans="1:2" ht="51" x14ac:dyDescent="0.25">
      <c r="A1804" s="3" t="s">
        <v>1147</v>
      </c>
      <c r="B1804" s="3" t="s">
        <v>1702</v>
      </c>
    </row>
    <row r="1805" spans="1:2" ht="38.25" x14ac:dyDescent="0.25">
      <c r="A1805" s="3" t="s">
        <v>1158</v>
      </c>
      <c r="B1805" s="3" t="s">
        <v>1712</v>
      </c>
    </row>
    <row r="1806" spans="1:2" ht="38.25" x14ac:dyDescent="0.25">
      <c r="A1806" s="3" t="s">
        <v>1148</v>
      </c>
      <c r="B1806" s="3" t="s">
        <v>1703</v>
      </c>
    </row>
    <row r="1807" spans="1:2" ht="25.5" x14ac:dyDescent="0.25">
      <c r="A1807" s="3" t="s">
        <v>1160</v>
      </c>
      <c r="B1807" s="3" t="s">
        <v>1714</v>
      </c>
    </row>
    <row r="1808" spans="1:2" ht="63.75" x14ac:dyDescent="0.25">
      <c r="A1808" s="3" t="s">
        <v>1161</v>
      </c>
      <c r="B1808" s="3" t="s">
        <v>1715</v>
      </c>
    </row>
    <row r="1809" spans="1:2" ht="51" x14ac:dyDescent="0.25">
      <c r="A1809" s="3" t="s">
        <v>1157</v>
      </c>
      <c r="B1809" s="3" t="s">
        <v>1711</v>
      </c>
    </row>
    <row r="1810" spans="1:2" ht="63.75" x14ac:dyDescent="0.25">
      <c r="A1810" s="3" t="s">
        <v>1159</v>
      </c>
      <c r="B1810" s="3" t="s">
        <v>1713</v>
      </c>
    </row>
    <row r="1811" spans="1:2" ht="51" x14ac:dyDescent="0.25">
      <c r="A1811" s="3" t="s">
        <v>1144</v>
      </c>
      <c r="B1811" s="3" t="s">
        <v>1699</v>
      </c>
    </row>
    <row r="1812" spans="1:2" ht="63.75" x14ac:dyDescent="0.25">
      <c r="A1812" s="3" t="s">
        <v>1156</v>
      </c>
      <c r="B1812" s="3" t="s">
        <v>1710</v>
      </c>
    </row>
    <row r="1813" spans="1:2" ht="38.25" x14ac:dyDescent="0.25">
      <c r="A1813" s="3" t="s">
        <v>1152</v>
      </c>
      <c r="B1813" s="3" t="s">
        <v>1706</v>
      </c>
    </row>
    <row r="1814" spans="1:2" ht="38.25" x14ac:dyDescent="0.25">
      <c r="A1814" s="3" t="s">
        <v>1153</v>
      </c>
      <c r="B1814" s="3" t="s">
        <v>1707</v>
      </c>
    </row>
    <row r="1815" spans="1:2" ht="51" x14ac:dyDescent="0.25">
      <c r="A1815" s="3" t="s">
        <v>1146</v>
      </c>
      <c r="B1815" s="3" t="s">
        <v>1701</v>
      </c>
    </row>
    <row r="1816" spans="1:2" ht="76.5" x14ac:dyDescent="0.25">
      <c r="A1816" s="3" t="s">
        <v>1155</v>
      </c>
      <c r="B1816" s="3" t="s">
        <v>1709</v>
      </c>
    </row>
    <row r="1817" spans="1:2" ht="51" x14ac:dyDescent="0.25">
      <c r="A1817" s="3" t="s">
        <v>1151</v>
      </c>
      <c r="B1817" s="3" t="s">
        <v>1705</v>
      </c>
    </row>
    <row r="1818" spans="1:2" ht="25.5" x14ac:dyDescent="0.25">
      <c r="A1818" s="3" t="s">
        <v>1145</v>
      </c>
      <c r="B1818" s="3" t="s">
        <v>1700</v>
      </c>
    </row>
    <row r="1819" spans="1:2" ht="51" x14ac:dyDescent="0.25">
      <c r="A1819" s="3" t="s">
        <v>1147</v>
      </c>
      <c r="B1819" s="3" t="s">
        <v>1702</v>
      </c>
    </row>
    <row r="1820" spans="1:2" ht="38.25" x14ac:dyDescent="0.25">
      <c r="A1820" s="3" t="s">
        <v>1158</v>
      </c>
      <c r="B1820" s="3" t="s">
        <v>1712</v>
      </c>
    </row>
    <row r="1821" spans="1:2" ht="38.25" x14ac:dyDescent="0.25">
      <c r="A1821" s="3" t="s">
        <v>1148</v>
      </c>
      <c r="B1821" s="3" t="s">
        <v>1703</v>
      </c>
    </row>
    <row r="1822" spans="1:2" ht="25.5" x14ac:dyDescent="0.25">
      <c r="A1822" s="3" t="s">
        <v>1160</v>
      </c>
      <c r="B1822" s="3" t="s">
        <v>1714</v>
      </c>
    </row>
    <row r="1823" spans="1:2" ht="63.75" x14ac:dyDescent="0.25">
      <c r="A1823" s="3" t="s">
        <v>1161</v>
      </c>
      <c r="B1823" s="3" t="s">
        <v>1715</v>
      </c>
    </row>
    <row r="1824" spans="1:2" ht="51" x14ac:dyDescent="0.25">
      <c r="A1824" s="3" t="s">
        <v>1157</v>
      </c>
      <c r="B1824" s="3" t="s">
        <v>1711</v>
      </c>
    </row>
    <row r="1825" spans="1:2" ht="63.75" x14ac:dyDescent="0.25">
      <c r="A1825" s="3" t="s">
        <v>1159</v>
      </c>
      <c r="B1825" s="3" t="s">
        <v>1713</v>
      </c>
    </row>
    <row r="1826" spans="1:2" ht="51" x14ac:dyDescent="0.25">
      <c r="A1826" s="3" t="s">
        <v>1144</v>
      </c>
      <c r="B1826" s="3" t="s">
        <v>1699</v>
      </c>
    </row>
    <row r="1827" spans="1:2" ht="63.75" x14ac:dyDescent="0.25">
      <c r="A1827" s="3" t="s">
        <v>1156</v>
      </c>
      <c r="B1827" s="3" t="s">
        <v>1710</v>
      </c>
    </row>
    <row r="1828" spans="1:2" ht="38.25" x14ac:dyDescent="0.25">
      <c r="A1828" s="3" t="s">
        <v>1152</v>
      </c>
      <c r="B1828" s="3" t="s">
        <v>1706</v>
      </c>
    </row>
    <row r="1829" spans="1:2" ht="38.25" x14ac:dyDescent="0.25">
      <c r="A1829" s="3" t="s">
        <v>1153</v>
      </c>
      <c r="B1829" s="3" t="s">
        <v>1707</v>
      </c>
    </row>
    <row r="1830" spans="1:2" ht="51" x14ac:dyDescent="0.25">
      <c r="A1830" s="3" t="s">
        <v>1146</v>
      </c>
      <c r="B1830" s="3" t="s">
        <v>1701</v>
      </c>
    </row>
    <row r="1831" spans="1:2" ht="76.5" x14ac:dyDescent="0.25">
      <c r="A1831" s="3" t="s">
        <v>1155</v>
      </c>
      <c r="B1831" s="3" t="s">
        <v>1709</v>
      </c>
    </row>
    <row r="1832" spans="1:2" ht="51" x14ac:dyDescent="0.25">
      <c r="A1832" s="3" t="s">
        <v>1154</v>
      </c>
      <c r="B1832" s="3" t="s">
        <v>1708</v>
      </c>
    </row>
    <row r="1833" spans="1:2" ht="89.25" x14ac:dyDescent="0.25">
      <c r="A1833" s="3" t="s">
        <v>1004</v>
      </c>
      <c r="B1833" s="3" t="s">
        <v>2281</v>
      </c>
    </row>
    <row r="1834" spans="1:2" ht="76.5" x14ac:dyDescent="0.25">
      <c r="A1834" s="3" t="s">
        <v>660</v>
      </c>
      <c r="B1834" s="3" t="s">
        <v>2185</v>
      </c>
    </row>
    <row r="1835" spans="1:2" ht="76.5" x14ac:dyDescent="0.25">
      <c r="A1835" s="3" t="s">
        <v>599</v>
      </c>
      <c r="B1835" s="3" t="s">
        <v>2159</v>
      </c>
    </row>
    <row r="1836" spans="1:2" ht="89.25" x14ac:dyDescent="0.25">
      <c r="A1836" s="3" t="s">
        <v>1008</v>
      </c>
      <c r="B1836" s="3" t="s">
        <v>2282</v>
      </c>
    </row>
    <row r="1837" spans="1:2" ht="76.5" x14ac:dyDescent="0.25">
      <c r="A1837" s="3" t="s">
        <v>660</v>
      </c>
      <c r="B1837" s="3" t="s">
        <v>2185</v>
      </c>
    </row>
    <row r="1838" spans="1:2" ht="76.5" x14ac:dyDescent="0.25">
      <c r="A1838" s="3" t="s">
        <v>1010</v>
      </c>
      <c r="B1838" s="3" t="s">
        <v>2283</v>
      </c>
    </row>
    <row r="1839" spans="1:2" ht="63.75" x14ac:dyDescent="0.25">
      <c r="A1839" s="3" t="s">
        <v>1257</v>
      </c>
      <c r="B1839" s="3" t="s">
        <v>1977</v>
      </c>
    </row>
    <row r="1840" spans="1:2" ht="102" x14ac:dyDescent="0.25">
      <c r="A1840" s="3" t="s">
        <v>1013</v>
      </c>
      <c r="B1840" s="3" t="s">
        <v>2284</v>
      </c>
    </row>
    <row r="1841" spans="1:2" ht="25.5" x14ac:dyDescent="0.25">
      <c r="A1841" s="3" t="s">
        <v>1443</v>
      </c>
      <c r="B1841" s="3" t="s">
        <v>1950</v>
      </c>
    </row>
    <row r="1842" spans="1:2" ht="76.5" x14ac:dyDescent="0.25">
      <c r="A1842" s="3" t="s">
        <v>1241</v>
      </c>
      <c r="B1842" s="3" t="s">
        <v>1937</v>
      </c>
    </row>
    <row r="1843" spans="1:2" ht="114.75" x14ac:dyDescent="0.25">
      <c r="A1843" s="3" t="s">
        <v>1015</v>
      </c>
      <c r="B1843" s="3" t="s">
        <v>2285</v>
      </c>
    </row>
    <row r="1844" spans="1:2" ht="25.5" x14ac:dyDescent="0.25">
      <c r="A1844" s="3" t="s">
        <v>1443</v>
      </c>
      <c r="B1844" s="3" t="s">
        <v>1950</v>
      </c>
    </row>
    <row r="1845" spans="1:2" ht="63.75" x14ac:dyDescent="0.25">
      <c r="A1845" s="3" t="s">
        <v>1574</v>
      </c>
      <c r="B1845" s="3" t="s">
        <v>2093</v>
      </c>
    </row>
    <row r="1846" spans="1:2" ht="38.25" x14ac:dyDescent="0.25">
      <c r="A1846" s="3" t="s">
        <v>1575</v>
      </c>
      <c r="B1846" s="3" t="s">
        <v>2094</v>
      </c>
    </row>
    <row r="1847" spans="1:2" ht="38.25" x14ac:dyDescent="0.25">
      <c r="A1847" s="3" t="s">
        <v>1576</v>
      </c>
      <c r="B1847" s="3" t="s">
        <v>2095</v>
      </c>
    </row>
    <row r="1848" spans="1:2" ht="51" x14ac:dyDescent="0.25">
      <c r="A1848" s="3" t="s">
        <v>1228</v>
      </c>
      <c r="B1848" s="3" t="s">
        <v>1774</v>
      </c>
    </row>
    <row r="1849" spans="1:2" ht="38.25" x14ac:dyDescent="0.25">
      <c r="A1849" s="3" t="s">
        <v>1148</v>
      </c>
      <c r="B1849" s="3" t="s">
        <v>1703</v>
      </c>
    </row>
    <row r="1850" spans="1:2" ht="51" x14ac:dyDescent="0.25">
      <c r="A1850" s="3" t="s">
        <v>475</v>
      </c>
      <c r="B1850" s="3" t="s">
        <v>2096</v>
      </c>
    </row>
    <row r="1851" spans="1:2" ht="63.75" x14ac:dyDescent="0.25">
      <c r="A1851" s="3" t="s">
        <v>1156</v>
      </c>
      <c r="B1851" s="3" t="s">
        <v>1710</v>
      </c>
    </row>
    <row r="1852" spans="1:2" ht="51" x14ac:dyDescent="0.25">
      <c r="A1852" s="3" t="s">
        <v>382</v>
      </c>
      <c r="B1852" s="3" t="s">
        <v>2022</v>
      </c>
    </row>
    <row r="1853" spans="1:2" ht="38.25" x14ac:dyDescent="0.25">
      <c r="A1853" s="3" t="s">
        <v>1379</v>
      </c>
      <c r="B1853" s="3" t="s">
        <v>1905</v>
      </c>
    </row>
    <row r="1854" spans="1:2" ht="63.75" x14ac:dyDescent="0.25">
      <c r="A1854" s="3" t="s">
        <v>478</v>
      </c>
      <c r="B1854" s="3" t="s">
        <v>2097</v>
      </c>
    </row>
    <row r="1855" spans="1:2" ht="114.75" x14ac:dyDescent="0.25">
      <c r="A1855" s="3" t="s">
        <v>480</v>
      </c>
      <c r="B1855" s="3" t="s">
        <v>2099</v>
      </c>
    </row>
    <row r="1856" spans="1:2" ht="76.5" x14ac:dyDescent="0.25">
      <c r="A1856" s="3" t="s">
        <v>482</v>
      </c>
      <c r="B1856" s="3" t="s">
        <v>2100</v>
      </c>
    </row>
    <row r="1857" spans="1:2" ht="89.25" x14ac:dyDescent="0.25">
      <c r="A1857" s="3" t="s">
        <v>163</v>
      </c>
      <c r="B1857" s="3" t="s">
        <v>1890</v>
      </c>
    </row>
    <row r="1858" spans="1:2" ht="89.25" x14ac:dyDescent="0.25">
      <c r="A1858" s="3" t="s">
        <v>160</v>
      </c>
      <c r="B1858" s="3" t="s">
        <v>1887</v>
      </c>
    </row>
    <row r="1859" spans="1:2" ht="89.25" x14ac:dyDescent="0.25">
      <c r="A1859" s="3" t="s">
        <v>1024</v>
      </c>
      <c r="B1859" s="3" t="s">
        <v>2286</v>
      </c>
    </row>
    <row r="1860" spans="1:2" ht="89.25" x14ac:dyDescent="0.25">
      <c r="A1860" s="3" t="s">
        <v>1025</v>
      </c>
      <c r="B1860" s="3" t="s">
        <v>2287</v>
      </c>
    </row>
    <row r="1861" spans="1:2" ht="63.75" x14ac:dyDescent="0.25">
      <c r="A1861" s="3" t="s">
        <v>997</v>
      </c>
      <c r="B1861" s="3" t="s">
        <v>2279</v>
      </c>
    </row>
    <row r="1862" spans="1:2" ht="76.5" x14ac:dyDescent="0.25">
      <c r="A1862" s="3" t="s">
        <v>670</v>
      </c>
      <c r="B1862" s="3" t="s">
        <v>2189</v>
      </c>
    </row>
    <row r="1863" spans="1:2" ht="89.25" x14ac:dyDescent="0.25">
      <c r="A1863" s="3" t="s">
        <v>1029</v>
      </c>
      <c r="B1863" s="3" t="s">
        <v>2288</v>
      </c>
    </row>
    <row r="1864" spans="1:2" ht="76.5" x14ac:dyDescent="0.25">
      <c r="A1864" s="3" t="s">
        <v>1030</v>
      </c>
      <c r="B1864" s="3" t="s">
        <v>2289</v>
      </c>
    </row>
    <row r="1865" spans="1:2" ht="63.75" x14ac:dyDescent="0.25">
      <c r="A1865" s="3" t="s">
        <v>997</v>
      </c>
      <c r="B1865" s="3" t="s">
        <v>2279</v>
      </c>
    </row>
    <row r="1866" spans="1:2" ht="76.5" x14ac:dyDescent="0.25">
      <c r="A1866" s="3" t="s">
        <v>689</v>
      </c>
      <c r="B1866" s="3" t="s">
        <v>2195</v>
      </c>
    </row>
    <row r="1867" spans="1:2" ht="51" x14ac:dyDescent="0.25">
      <c r="A1867" s="3" t="s">
        <v>1556</v>
      </c>
      <c r="B1867" s="3" t="s">
        <v>2060</v>
      </c>
    </row>
    <row r="1868" spans="1:2" ht="25.5" x14ac:dyDescent="0.25">
      <c r="A1868" s="3" t="s">
        <v>1034</v>
      </c>
      <c r="B1868" s="3" t="s">
        <v>2290</v>
      </c>
    </row>
    <row r="1869" spans="1:2" ht="38.25" x14ac:dyDescent="0.25">
      <c r="A1869" s="3" t="s">
        <v>1171</v>
      </c>
      <c r="B1869" s="3" t="s">
        <v>1723</v>
      </c>
    </row>
    <row r="1870" spans="1:2" ht="51" x14ac:dyDescent="0.25">
      <c r="A1870" s="3" t="s">
        <v>1356</v>
      </c>
      <c r="B1870" s="3" t="s">
        <v>1885</v>
      </c>
    </row>
    <row r="1871" spans="1:2" ht="63.75" x14ac:dyDescent="0.25">
      <c r="A1871" s="3" t="s">
        <v>1242</v>
      </c>
      <c r="B1871" s="3" t="s">
        <v>1786</v>
      </c>
    </row>
    <row r="1872" spans="1:2" ht="76.5" x14ac:dyDescent="0.25">
      <c r="A1872" s="3" t="s">
        <v>72</v>
      </c>
      <c r="B1872" s="3" t="s">
        <v>1787</v>
      </c>
    </row>
    <row r="1873" spans="1:2" ht="25.5" x14ac:dyDescent="0.25">
      <c r="A1873" s="3" t="s">
        <v>1254</v>
      </c>
      <c r="B1873" s="3" t="s">
        <v>1802</v>
      </c>
    </row>
    <row r="1874" spans="1:2" ht="51" x14ac:dyDescent="0.25">
      <c r="A1874" s="3" t="s">
        <v>1255</v>
      </c>
      <c r="B1874" s="3" t="s">
        <v>1803</v>
      </c>
    </row>
    <row r="1875" spans="1:2" ht="76.5" x14ac:dyDescent="0.25">
      <c r="A1875" s="3" t="s">
        <v>1244</v>
      </c>
      <c r="B1875" s="3" t="s">
        <v>1789</v>
      </c>
    </row>
    <row r="1876" spans="1:2" ht="51" x14ac:dyDescent="0.25">
      <c r="A1876" s="3" t="s">
        <v>1245</v>
      </c>
      <c r="B1876" s="3" t="s">
        <v>1790</v>
      </c>
    </row>
    <row r="1877" spans="1:2" ht="63.75" x14ac:dyDescent="0.25">
      <c r="A1877" s="3" t="s">
        <v>1246</v>
      </c>
      <c r="B1877" s="3" t="s">
        <v>1791</v>
      </c>
    </row>
    <row r="1878" spans="1:2" ht="51" x14ac:dyDescent="0.25">
      <c r="A1878" s="3" t="s">
        <v>1247</v>
      </c>
      <c r="B1878" s="3" t="s">
        <v>1792</v>
      </c>
    </row>
    <row r="1879" spans="1:2" ht="38.25" x14ac:dyDescent="0.25">
      <c r="A1879" s="3" t="s">
        <v>1248</v>
      </c>
      <c r="B1879" s="3" t="s">
        <v>1793</v>
      </c>
    </row>
    <row r="1880" spans="1:2" ht="25.5" x14ac:dyDescent="0.25">
      <c r="A1880" s="3" t="s">
        <v>1249</v>
      </c>
      <c r="B1880" s="3" t="s">
        <v>1794</v>
      </c>
    </row>
    <row r="1881" spans="1:2" ht="63.75" x14ac:dyDescent="0.25">
      <c r="A1881" s="3" t="s">
        <v>1563</v>
      </c>
      <c r="B1881" s="3" t="s">
        <v>2068</v>
      </c>
    </row>
    <row r="1882" spans="1:2" ht="63.75" x14ac:dyDescent="0.25">
      <c r="A1882" s="3" t="s">
        <v>1250</v>
      </c>
      <c r="B1882" s="3" t="s">
        <v>1795</v>
      </c>
    </row>
    <row r="1883" spans="1:2" ht="63.75" x14ac:dyDescent="0.25">
      <c r="A1883" s="3" t="s">
        <v>1035</v>
      </c>
      <c r="B1883" s="3" t="s">
        <v>2291</v>
      </c>
    </row>
    <row r="1884" spans="1:2" ht="38.25" x14ac:dyDescent="0.25">
      <c r="A1884" s="3" t="s">
        <v>1251</v>
      </c>
      <c r="B1884" s="3" t="s">
        <v>1796</v>
      </c>
    </row>
    <row r="1885" spans="1:2" ht="51" x14ac:dyDescent="0.25">
      <c r="A1885" s="3" t="s">
        <v>1036</v>
      </c>
      <c r="B1885" s="3" t="s">
        <v>2292</v>
      </c>
    </row>
    <row r="1886" spans="1:2" ht="38.25" x14ac:dyDescent="0.25">
      <c r="A1886" s="3" t="s">
        <v>1252</v>
      </c>
      <c r="B1886" s="3" t="s">
        <v>1799</v>
      </c>
    </row>
    <row r="1887" spans="1:2" ht="63.75" x14ac:dyDescent="0.25">
      <c r="A1887" s="3" t="s">
        <v>75</v>
      </c>
      <c r="B1887" s="3" t="s">
        <v>1798</v>
      </c>
    </row>
    <row r="1888" spans="1:2" ht="25.5" x14ac:dyDescent="0.25">
      <c r="A1888" s="3" t="s">
        <v>1176</v>
      </c>
      <c r="B1888" s="3" t="s">
        <v>1728</v>
      </c>
    </row>
    <row r="1889" spans="1:2" ht="63.75" x14ac:dyDescent="0.25">
      <c r="A1889" s="3" t="s">
        <v>77</v>
      </c>
      <c r="B1889" s="3" t="s">
        <v>1801</v>
      </c>
    </row>
    <row r="1890" spans="1:2" ht="25.5" x14ac:dyDescent="0.25">
      <c r="A1890" s="3" t="s">
        <v>1253</v>
      </c>
      <c r="B1890" s="3" t="s">
        <v>1800</v>
      </c>
    </row>
    <row r="1891" spans="1:2" ht="76.5" x14ac:dyDescent="0.25">
      <c r="A1891" s="3" t="s">
        <v>1037</v>
      </c>
      <c r="B1891" s="3" t="s">
        <v>2293</v>
      </c>
    </row>
    <row r="1892" spans="1:2" ht="51" x14ac:dyDescent="0.25">
      <c r="A1892" s="3" t="s">
        <v>1038</v>
      </c>
      <c r="B1892" s="3" t="s">
        <v>2294</v>
      </c>
    </row>
    <row r="1893" spans="1:2" ht="76.5" x14ac:dyDescent="0.25">
      <c r="A1893" s="3" t="s">
        <v>1039</v>
      </c>
      <c r="B1893" s="3" t="s">
        <v>2295</v>
      </c>
    </row>
    <row r="1894" spans="1:2" ht="51" x14ac:dyDescent="0.25">
      <c r="A1894" s="3" t="s">
        <v>1556</v>
      </c>
      <c r="B1894" s="3" t="s">
        <v>2060</v>
      </c>
    </row>
    <row r="1895" spans="1:2" ht="25.5" x14ac:dyDescent="0.25">
      <c r="A1895" s="3" t="s">
        <v>1034</v>
      </c>
      <c r="B1895" s="3" t="s">
        <v>2290</v>
      </c>
    </row>
    <row r="1896" spans="1:2" ht="38.25" x14ac:dyDescent="0.25">
      <c r="A1896" s="3" t="s">
        <v>1171</v>
      </c>
      <c r="B1896" s="3" t="s">
        <v>1723</v>
      </c>
    </row>
    <row r="1897" spans="1:2" ht="51" x14ac:dyDescent="0.25">
      <c r="A1897" s="3" t="s">
        <v>1356</v>
      </c>
      <c r="B1897" s="3" t="s">
        <v>1885</v>
      </c>
    </row>
    <row r="1898" spans="1:2" ht="63.75" x14ac:dyDescent="0.25">
      <c r="A1898" s="3" t="s">
        <v>1242</v>
      </c>
      <c r="B1898" s="3" t="s">
        <v>1786</v>
      </c>
    </row>
    <row r="1899" spans="1:2" ht="76.5" x14ac:dyDescent="0.25">
      <c r="A1899" s="3" t="s">
        <v>72</v>
      </c>
      <c r="B1899" s="3" t="s">
        <v>1787</v>
      </c>
    </row>
    <row r="1900" spans="1:2" ht="25.5" x14ac:dyDescent="0.25">
      <c r="A1900" s="3" t="s">
        <v>1254</v>
      </c>
      <c r="B1900" s="3" t="s">
        <v>1802</v>
      </c>
    </row>
    <row r="1901" spans="1:2" ht="51" x14ac:dyDescent="0.25">
      <c r="A1901" s="3" t="s">
        <v>1255</v>
      </c>
      <c r="B1901" s="3" t="s">
        <v>1803</v>
      </c>
    </row>
    <row r="1902" spans="1:2" ht="76.5" x14ac:dyDescent="0.25">
      <c r="A1902" s="3" t="s">
        <v>1244</v>
      </c>
      <c r="B1902" s="3" t="s">
        <v>1789</v>
      </c>
    </row>
    <row r="1903" spans="1:2" ht="51" x14ac:dyDescent="0.25">
      <c r="A1903" s="3" t="s">
        <v>1245</v>
      </c>
      <c r="B1903" s="3" t="s">
        <v>1790</v>
      </c>
    </row>
    <row r="1904" spans="1:2" ht="63.75" x14ac:dyDescent="0.25">
      <c r="A1904" s="3" t="s">
        <v>1246</v>
      </c>
      <c r="B1904" s="3" t="s">
        <v>1791</v>
      </c>
    </row>
    <row r="1905" spans="1:2" ht="51" x14ac:dyDescent="0.25">
      <c r="A1905" s="3" t="s">
        <v>1247</v>
      </c>
      <c r="B1905" s="3" t="s">
        <v>1792</v>
      </c>
    </row>
    <row r="1906" spans="1:2" ht="38.25" x14ac:dyDescent="0.25">
      <c r="A1906" s="3" t="s">
        <v>1248</v>
      </c>
      <c r="B1906" s="3" t="s">
        <v>1793</v>
      </c>
    </row>
    <row r="1907" spans="1:2" ht="25.5" x14ac:dyDescent="0.25">
      <c r="A1907" s="3" t="s">
        <v>1249</v>
      </c>
      <c r="B1907" s="3" t="s">
        <v>1794</v>
      </c>
    </row>
    <row r="1908" spans="1:2" ht="63.75" x14ac:dyDescent="0.25">
      <c r="A1908" s="3" t="s">
        <v>1563</v>
      </c>
      <c r="B1908" s="3" t="s">
        <v>2068</v>
      </c>
    </row>
    <row r="1909" spans="1:2" ht="63.75" x14ac:dyDescent="0.25">
      <c r="A1909" s="3" t="s">
        <v>1250</v>
      </c>
      <c r="B1909" s="3" t="s">
        <v>1795</v>
      </c>
    </row>
    <row r="1910" spans="1:2" ht="63.75" x14ac:dyDescent="0.25">
      <c r="A1910" s="3" t="s">
        <v>1035</v>
      </c>
      <c r="B1910" s="3" t="s">
        <v>2291</v>
      </c>
    </row>
    <row r="1911" spans="1:2" ht="38.25" x14ac:dyDescent="0.25">
      <c r="A1911" s="3" t="s">
        <v>1251</v>
      </c>
      <c r="B1911" s="3" t="s">
        <v>1796</v>
      </c>
    </row>
    <row r="1912" spans="1:2" ht="51" x14ac:dyDescent="0.25">
      <c r="A1912" s="3" t="s">
        <v>1036</v>
      </c>
      <c r="B1912" s="3" t="s">
        <v>2292</v>
      </c>
    </row>
    <row r="1913" spans="1:2" ht="38.25" x14ac:dyDescent="0.25">
      <c r="A1913" s="3" t="s">
        <v>1252</v>
      </c>
      <c r="B1913" s="3" t="s">
        <v>1799</v>
      </c>
    </row>
    <row r="1914" spans="1:2" ht="63.75" x14ac:dyDescent="0.25">
      <c r="A1914" s="3" t="s">
        <v>75</v>
      </c>
      <c r="B1914" s="3" t="s">
        <v>1798</v>
      </c>
    </row>
    <row r="1915" spans="1:2" ht="25.5" x14ac:dyDescent="0.25">
      <c r="A1915" s="3" t="s">
        <v>1176</v>
      </c>
      <c r="B1915" s="3" t="s">
        <v>1728</v>
      </c>
    </row>
    <row r="1916" spans="1:2" ht="63.75" x14ac:dyDescent="0.25">
      <c r="A1916" s="3" t="s">
        <v>77</v>
      </c>
      <c r="B1916" s="3" t="s">
        <v>1801</v>
      </c>
    </row>
    <row r="1917" spans="1:2" ht="25.5" x14ac:dyDescent="0.25">
      <c r="A1917" s="3" t="s">
        <v>1253</v>
      </c>
      <c r="B1917" s="3" t="s">
        <v>1800</v>
      </c>
    </row>
    <row r="1918" spans="1:2" ht="76.5" x14ac:dyDescent="0.25">
      <c r="A1918" s="3" t="s">
        <v>1037</v>
      </c>
      <c r="B1918" s="3" t="s">
        <v>2293</v>
      </c>
    </row>
    <row r="1919" spans="1:2" ht="51" x14ac:dyDescent="0.25">
      <c r="A1919" s="3" t="s">
        <v>1038</v>
      </c>
      <c r="B1919" s="3" t="s">
        <v>2294</v>
      </c>
    </row>
    <row r="1920" spans="1:2" ht="51" x14ac:dyDescent="0.25">
      <c r="A1920" s="3" t="s">
        <v>1556</v>
      </c>
      <c r="B1920" s="3" t="s">
        <v>2060</v>
      </c>
    </row>
    <row r="1921" spans="1:2" ht="38.25" x14ac:dyDescent="0.25">
      <c r="A1921" s="3" t="s">
        <v>1041</v>
      </c>
      <c r="B1921" s="3" t="s">
        <v>2296</v>
      </c>
    </row>
    <row r="1922" spans="1:2" ht="63.75" x14ac:dyDescent="0.25">
      <c r="A1922" s="3" t="s">
        <v>1242</v>
      </c>
      <c r="B1922" s="3" t="s">
        <v>1786</v>
      </c>
    </row>
    <row r="1923" spans="1:2" ht="76.5" x14ac:dyDescent="0.25">
      <c r="A1923" s="3" t="s">
        <v>72</v>
      </c>
      <c r="B1923" s="3" t="s">
        <v>1787</v>
      </c>
    </row>
    <row r="1924" spans="1:2" ht="25.5" x14ac:dyDescent="0.25">
      <c r="A1924" s="3" t="s">
        <v>1254</v>
      </c>
      <c r="B1924" s="3" t="s">
        <v>1802</v>
      </c>
    </row>
    <row r="1925" spans="1:2" ht="51" x14ac:dyDescent="0.25">
      <c r="A1925" s="3" t="s">
        <v>1255</v>
      </c>
      <c r="B1925" s="3" t="s">
        <v>1803</v>
      </c>
    </row>
    <row r="1926" spans="1:2" ht="38.25" x14ac:dyDescent="0.25">
      <c r="A1926" s="3" t="s">
        <v>1243</v>
      </c>
      <c r="B1926" s="3" t="s">
        <v>1788</v>
      </c>
    </row>
    <row r="1927" spans="1:2" ht="76.5" x14ac:dyDescent="0.25">
      <c r="A1927" s="3" t="s">
        <v>1244</v>
      </c>
      <c r="B1927" s="3" t="s">
        <v>1789</v>
      </c>
    </row>
    <row r="1928" spans="1:2" ht="51" x14ac:dyDescent="0.25">
      <c r="A1928" s="3" t="s">
        <v>1245</v>
      </c>
      <c r="B1928" s="3" t="s">
        <v>1790</v>
      </c>
    </row>
    <row r="1929" spans="1:2" ht="63.75" x14ac:dyDescent="0.25">
      <c r="A1929" s="3" t="s">
        <v>1246</v>
      </c>
      <c r="B1929" s="3" t="s">
        <v>1791</v>
      </c>
    </row>
    <row r="1930" spans="1:2" ht="51" x14ac:dyDescent="0.25">
      <c r="A1930" s="3" t="s">
        <v>1247</v>
      </c>
      <c r="B1930" s="3" t="s">
        <v>1792</v>
      </c>
    </row>
    <row r="1931" spans="1:2" ht="38.25" x14ac:dyDescent="0.25">
      <c r="A1931" s="3" t="s">
        <v>1248</v>
      </c>
      <c r="B1931" s="3" t="s">
        <v>1793</v>
      </c>
    </row>
    <row r="1932" spans="1:2" ht="25.5" x14ac:dyDescent="0.25">
      <c r="A1932" s="3" t="s">
        <v>1249</v>
      </c>
      <c r="B1932" s="3" t="s">
        <v>1794</v>
      </c>
    </row>
    <row r="1933" spans="1:2" ht="63.75" x14ac:dyDescent="0.25">
      <c r="A1933" s="3" t="s">
        <v>1250</v>
      </c>
      <c r="B1933" s="3" t="s">
        <v>1795</v>
      </c>
    </row>
    <row r="1934" spans="1:2" ht="38.25" x14ac:dyDescent="0.25">
      <c r="A1934" s="3" t="s">
        <v>1251</v>
      </c>
      <c r="B1934" s="3" t="s">
        <v>1796</v>
      </c>
    </row>
    <row r="1935" spans="1:2" ht="25.5" x14ac:dyDescent="0.25">
      <c r="A1935" s="3" t="s">
        <v>74</v>
      </c>
      <c r="B1935" s="3" t="s">
        <v>1797</v>
      </c>
    </row>
    <row r="1936" spans="1:2" ht="63.75" x14ac:dyDescent="0.25">
      <c r="A1936" s="3" t="s">
        <v>75</v>
      </c>
      <c r="B1936" s="3" t="s">
        <v>1798</v>
      </c>
    </row>
    <row r="1937" spans="1:2" ht="38.25" x14ac:dyDescent="0.25">
      <c r="A1937" s="3" t="s">
        <v>1252</v>
      </c>
      <c r="B1937" s="3" t="s">
        <v>1799</v>
      </c>
    </row>
    <row r="1938" spans="1:2" ht="25.5" x14ac:dyDescent="0.25">
      <c r="A1938" s="3" t="s">
        <v>1176</v>
      </c>
      <c r="B1938" s="3" t="s">
        <v>1728</v>
      </c>
    </row>
    <row r="1939" spans="1:2" ht="63.75" x14ac:dyDescent="0.25">
      <c r="A1939" s="3" t="s">
        <v>77</v>
      </c>
      <c r="B1939" s="3" t="s">
        <v>1801</v>
      </c>
    </row>
    <row r="1940" spans="1:2" ht="25.5" x14ac:dyDescent="0.25">
      <c r="A1940" s="3" t="s">
        <v>1253</v>
      </c>
      <c r="B1940" s="3" t="s">
        <v>1800</v>
      </c>
    </row>
    <row r="1941" spans="1:2" ht="51" x14ac:dyDescent="0.25">
      <c r="A1941" s="3" t="s">
        <v>1146</v>
      </c>
      <c r="B1941" s="3" t="s">
        <v>1701</v>
      </c>
    </row>
    <row r="1942" spans="1:2" ht="51" x14ac:dyDescent="0.25">
      <c r="A1942" s="3" t="s">
        <v>1256</v>
      </c>
      <c r="B1942" s="3" t="s">
        <v>1805</v>
      </c>
    </row>
    <row r="1943" spans="1:2" ht="51" x14ac:dyDescent="0.25">
      <c r="A1943" s="3" t="s">
        <v>1038</v>
      </c>
      <c r="B1943" s="3" t="s">
        <v>2294</v>
      </c>
    </row>
    <row r="1944" spans="1:2" ht="102" x14ac:dyDescent="0.25">
      <c r="A1944" s="3" t="s">
        <v>1042</v>
      </c>
      <c r="B1944" s="3" t="s">
        <v>2297</v>
      </c>
    </row>
    <row r="1945" spans="1:2" ht="51" x14ac:dyDescent="0.25">
      <c r="A1945" s="3" t="s">
        <v>1556</v>
      </c>
      <c r="B1945" s="3" t="s">
        <v>2060</v>
      </c>
    </row>
    <row r="1946" spans="1:2" ht="38.25" x14ac:dyDescent="0.25">
      <c r="A1946" s="3" t="s">
        <v>1041</v>
      </c>
      <c r="B1946" s="3" t="s">
        <v>2296</v>
      </c>
    </row>
    <row r="1947" spans="1:2" ht="63.75" x14ac:dyDescent="0.25">
      <c r="A1947" s="3" t="s">
        <v>1242</v>
      </c>
      <c r="B1947" s="3" t="s">
        <v>1786</v>
      </c>
    </row>
    <row r="1948" spans="1:2" ht="76.5" x14ac:dyDescent="0.25">
      <c r="A1948" s="3" t="s">
        <v>72</v>
      </c>
      <c r="B1948" s="3" t="s">
        <v>1787</v>
      </c>
    </row>
    <row r="1949" spans="1:2" ht="25.5" x14ac:dyDescent="0.25">
      <c r="A1949" s="3" t="s">
        <v>1254</v>
      </c>
      <c r="B1949" s="3" t="s">
        <v>1802</v>
      </c>
    </row>
    <row r="1950" spans="1:2" ht="51" x14ac:dyDescent="0.25">
      <c r="A1950" s="3" t="s">
        <v>1255</v>
      </c>
      <c r="B1950" s="3" t="s">
        <v>1803</v>
      </c>
    </row>
    <row r="1951" spans="1:2" ht="38.25" x14ac:dyDescent="0.25">
      <c r="A1951" s="3" t="s">
        <v>1243</v>
      </c>
      <c r="B1951" s="3" t="s">
        <v>1788</v>
      </c>
    </row>
    <row r="1952" spans="1:2" ht="76.5" x14ac:dyDescent="0.25">
      <c r="A1952" s="3" t="s">
        <v>1244</v>
      </c>
      <c r="B1952" s="3" t="s">
        <v>1789</v>
      </c>
    </row>
    <row r="1953" spans="1:2" ht="51" x14ac:dyDescent="0.25">
      <c r="A1953" s="3" t="s">
        <v>1245</v>
      </c>
      <c r="B1953" s="3" t="s">
        <v>1790</v>
      </c>
    </row>
    <row r="1954" spans="1:2" ht="63.75" x14ac:dyDescent="0.25">
      <c r="A1954" s="3" t="s">
        <v>1246</v>
      </c>
      <c r="B1954" s="3" t="s">
        <v>1791</v>
      </c>
    </row>
    <row r="1955" spans="1:2" ht="51" x14ac:dyDescent="0.25">
      <c r="A1955" s="3" t="s">
        <v>1247</v>
      </c>
      <c r="B1955" s="3" t="s">
        <v>1792</v>
      </c>
    </row>
    <row r="1956" spans="1:2" ht="38.25" x14ac:dyDescent="0.25">
      <c r="A1956" s="3" t="s">
        <v>1248</v>
      </c>
      <c r="B1956" s="3" t="s">
        <v>1793</v>
      </c>
    </row>
    <row r="1957" spans="1:2" ht="25.5" x14ac:dyDescent="0.25">
      <c r="A1957" s="3" t="s">
        <v>1249</v>
      </c>
      <c r="B1957" s="3" t="s">
        <v>1794</v>
      </c>
    </row>
    <row r="1958" spans="1:2" ht="63.75" x14ac:dyDescent="0.25">
      <c r="A1958" s="3" t="s">
        <v>1250</v>
      </c>
      <c r="B1958" s="3" t="s">
        <v>1795</v>
      </c>
    </row>
    <row r="1959" spans="1:2" ht="38.25" x14ac:dyDescent="0.25">
      <c r="A1959" s="3" t="s">
        <v>1251</v>
      </c>
      <c r="B1959" s="3" t="s">
        <v>1796</v>
      </c>
    </row>
    <row r="1960" spans="1:2" ht="25.5" x14ac:dyDescent="0.25">
      <c r="A1960" s="3" t="s">
        <v>74</v>
      </c>
      <c r="B1960" s="3" t="s">
        <v>1797</v>
      </c>
    </row>
    <row r="1961" spans="1:2" ht="63.75" x14ac:dyDescent="0.25">
      <c r="A1961" s="3" t="s">
        <v>75</v>
      </c>
      <c r="B1961" s="3" t="s">
        <v>1798</v>
      </c>
    </row>
    <row r="1962" spans="1:2" ht="38.25" x14ac:dyDescent="0.25">
      <c r="A1962" s="3" t="s">
        <v>1252</v>
      </c>
      <c r="B1962" s="3" t="s">
        <v>1799</v>
      </c>
    </row>
    <row r="1963" spans="1:2" ht="25.5" x14ac:dyDescent="0.25">
      <c r="A1963" s="3" t="s">
        <v>1176</v>
      </c>
      <c r="B1963" s="3" t="s">
        <v>1728</v>
      </c>
    </row>
    <row r="1964" spans="1:2" ht="63.75" x14ac:dyDescent="0.25">
      <c r="A1964" s="3" t="s">
        <v>77</v>
      </c>
      <c r="B1964" s="3" t="s">
        <v>1801</v>
      </c>
    </row>
    <row r="1965" spans="1:2" ht="25.5" x14ac:dyDescent="0.25">
      <c r="A1965" s="3" t="s">
        <v>1253</v>
      </c>
      <c r="B1965" s="3" t="s">
        <v>1800</v>
      </c>
    </row>
    <row r="1966" spans="1:2" ht="51" x14ac:dyDescent="0.25">
      <c r="A1966" s="3" t="s">
        <v>1146</v>
      </c>
      <c r="B1966" s="3" t="s">
        <v>1701</v>
      </c>
    </row>
    <row r="1967" spans="1:2" ht="51" x14ac:dyDescent="0.25">
      <c r="A1967" s="3" t="s">
        <v>1256</v>
      </c>
      <c r="B1967" s="3" t="s">
        <v>1805</v>
      </c>
    </row>
    <row r="1968" spans="1:2" ht="51" x14ac:dyDescent="0.25">
      <c r="A1968" s="3" t="s">
        <v>1038</v>
      </c>
      <c r="B1968" s="3" t="s">
        <v>2294</v>
      </c>
    </row>
    <row r="1969" spans="1:2" ht="63.75" x14ac:dyDescent="0.25">
      <c r="A1969" s="3" t="s">
        <v>1574</v>
      </c>
      <c r="B1969" s="3" t="s">
        <v>2093</v>
      </c>
    </row>
    <row r="1970" spans="1:2" ht="38.25" x14ac:dyDescent="0.25">
      <c r="A1970" s="3" t="s">
        <v>1575</v>
      </c>
      <c r="B1970" s="3" t="s">
        <v>2094</v>
      </c>
    </row>
    <row r="1971" spans="1:2" ht="38.25" x14ac:dyDescent="0.25">
      <c r="A1971" s="3" t="s">
        <v>1576</v>
      </c>
      <c r="B1971" s="3" t="s">
        <v>2095</v>
      </c>
    </row>
    <row r="1972" spans="1:2" ht="51" x14ac:dyDescent="0.25">
      <c r="A1972" s="3" t="s">
        <v>1228</v>
      </c>
      <c r="B1972" s="3" t="s">
        <v>1774</v>
      </c>
    </row>
    <row r="1973" spans="1:2" ht="38.25" x14ac:dyDescent="0.25">
      <c r="A1973" s="3" t="s">
        <v>1148</v>
      </c>
      <c r="B1973" s="3" t="s">
        <v>1703</v>
      </c>
    </row>
    <row r="1974" spans="1:2" ht="51" x14ac:dyDescent="0.25">
      <c r="A1974" s="3" t="s">
        <v>475</v>
      </c>
      <c r="B1974" s="3" t="s">
        <v>2096</v>
      </c>
    </row>
    <row r="1975" spans="1:2" ht="63.75" x14ac:dyDescent="0.25">
      <c r="A1975" s="3" t="s">
        <v>1156</v>
      </c>
      <c r="B1975" s="3" t="s">
        <v>1710</v>
      </c>
    </row>
    <row r="1976" spans="1:2" ht="51" x14ac:dyDescent="0.25">
      <c r="A1976" s="3" t="s">
        <v>382</v>
      </c>
      <c r="B1976" s="3" t="s">
        <v>2022</v>
      </c>
    </row>
    <row r="1977" spans="1:2" ht="38.25" x14ac:dyDescent="0.25">
      <c r="A1977" s="3" t="s">
        <v>1379</v>
      </c>
      <c r="B1977" s="3" t="s">
        <v>1905</v>
      </c>
    </row>
    <row r="1978" spans="1:2" ht="63.75" x14ac:dyDescent="0.25">
      <c r="A1978" s="3" t="s">
        <v>478</v>
      </c>
      <c r="B1978" s="3" t="s">
        <v>2097</v>
      </c>
    </row>
    <row r="1979" spans="1:2" ht="114.75" x14ac:dyDescent="0.25">
      <c r="A1979" s="3" t="s">
        <v>1047</v>
      </c>
      <c r="B1979" s="3" t="s">
        <v>2298</v>
      </c>
    </row>
    <row r="1980" spans="1:2" ht="76.5" x14ac:dyDescent="0.25">
      <c r="A1980" s="3" t="s">
        <v>236</v>
      </c>
      <c r="B1980" s="3" t="s">
        <v>1956</v>
      </c>
    </row>
    <row r="1981" spans="1:2" ht="51" x14ac:dyDescent="0.25">
      <c r="A1981" s="3" t="s">
        <v>1247</v>
      </c>
      <c r="B1981" s="3" t="s">
        <v>1792</v>
      </c>
    </row>
    <row r="1982" spans="1:2" ht="38.25" x14ac:dyDescent="0.25">
      <c r="A1982" s="3" t="s">
        <v>1248</v>
      </c>
      <c r="B1982" s="3" t="s">
        <v>1793</v>
      </c>
    </row>
    <row r="1983" spans="1:2" ht="25.5" x14ac:dyDescent="0.25">
      <c r="A1983" s="3" t="s">
        <v>1249</v>
      </c>
      <c r="B1983" s="3" t="s">
        <v>1794</v>
      </c>
    </row>
    <row r="1984" spans="1:2" ht="25.5" x14ac:dyDescent="0.25">
      <c r="A1984" s="3" t="s">
        <v>1254</v>
      </c>
      <c r="B1984" s="3" t="s">
        <v>1802</v>
      </c>
    </row>
    <row r="1985" spans="1:2" ht="63.75" x14ac:dyDescent="0.25">
      <c r="A1985" s="3" t="s">
        <v>1242</v>
      </c>
      <c r="B1985" s="3" t="s">
        <v>1786</v>
      </c>
    </row>
    <row r="1986" spans="1:2" ht="76.5" x14ac:dyDescent="0.25">
      <c r="A1986" s="3" t="s">
        <v>72</v>
      </c>
      <c r="B1986" s="3" t="s">
        <v>1787</v>
      </c>
    </row>
    <row r="1987" spans="1:2" ht="51" x14ac:dyDescent="0.25">
      <c r="A1987" s="3" t="s">
        <v>1245</v>
      </c>
      <c r="B1987" s="3" t="s">
        <v>1790</v>
      </c>
    </row>
    <row r="1988" spans="1:2" ht="63.75" x14ac:dyDescent="0.25">
      <c r="A1988" s="3" t="s">
        <v>1246</v>
      </c>
      <c r="B1988" s="3" t="s">
        <v>1791</v>
      </c>
    </row>
    <row r="1989" spans="1:2" ht="38.25" x14ac:dyDescent="0.25">
      <c r="A1989" s="3" t="s">
        <v>1171</v>
      </c>
      <c r="B1989" s="3" t="s">
        <v>1723</v>
      </c>
    </row>
    <row r="1990" spans="1:2" ht="76.5" x14ac:dyDescent="0.25">
      <c r="A1990" s="3" t="s">
        <v>1244</v>
      </c>
      <c r="B1990" s="3" t="s">
        <v>1789</v>
      </c>
    </row>
    <row r="1991" spans="1:2" ht="38.25" x14ac:dyDescent="0.25">
      <c r="A1991" s="3" t="s">
        <v>1251</v>
      </c>
      <c r="B1991" s="3" t="s">
        <v>1796</v>
      </c>
    </row>
    <row r="1992" spans="1:2" ht="38.25" x14ac:dyDescent="0.25">
      <c r="A1992" s="3" t="s">
        <v>1243</v>
      </c>
      <c r="B1992" s="3" t="s">
        <v>1788</v>
      </c>
    </row>
    <row r="1993" spans="1:2" ht="63.75" x14ac:dyDescent="0.25">
      <c r="A1993" s="3" t="s">
        <v>1250</v>
      </c>
      <c r="B1993" s="3" t="s">
        <v>1795</v>
      </c>
    </row>
    <row r="1994" spans="1:2" ht="63.75" x14ac:dyDescent="0.25">
      <c r="A1994" s="3" t="s">
        <v>1156</v>
      </c>
      <c r="B1994" s="3" t="s">
        <v>1710</v>
      </c>
    </row>
    <row r="1995" spans="1:2" ht="63.75" x14ac:dyDescent="0.25">
      <c r="A1995" s="3" t="s">
        <v>75</v>
      </c>
      <c r="B1995" s="3" t="s">
        <v>1798</v>
      </c>
    </row>
    <row r="1996" spans="1:2" ht="25.5" x14ac:dyDescent="0.25">
      <c r="A1996" s="3" t="s">
        <v>1176</v>
      </c>
      <c r="B1996" s="3" t="s">
        <v>1728</v>
      </c>
    </row>
    <row r="1997" spans="1:2" ht="51" x14ac:dyDescent="0.25">
      <c r="A1997" s="3" t="s">
        <v>1265</v>
      </c>
      <c r="B1997" s="3" t="s">
        <v>1810</v>
      </c>
    </row>
    <row r="1998" spans="1:2" ht="38.25" x14ac:dyDescent="0.25">
      <c r="A1998" s="3" t="s">
        <v>1252</v>
      </c>
      <c r="B1998" s="3" t="s">
        <v>1799</v>
      </c>
    </row>
    <row r="1999" spans="1:2" ht="25.5" x14ac:dyDescent="0.25">
      <c r="A1999" s="3" t="s">
        <v>74</v>
      </c>
      <c r="B1999" s="3" t="s">
        <v>1797</v>
      </c>
    </row>
    <row r="2000" spans="1:2" ht="51" x14ac:dyDescent="0.25">
      <c r="A2000" s="3" t="s">
        <v>1256</v>
      </c>
      <c r="B2000" s="3" t="s">
        <v>1805</v>
      </c>
    </row>
    <row r="2001" spans="1:2" ht="51" x14ac:dyDescent="0.25">
      <c r="A2001" s="3" t="s">
        <v>1146</v>
      </c>
      <c r="B2001" s="3" t="s">
        <v>1701</v>
      </c>
    </row>
    <row r="2002" spans="1:2" ht="51" x14ac:dyDescent="0.25">
      <c r="A2002" s="3" t="s">
        <v>1219</v>
      </c>
      <c r="B2002" s="3" t="s">
        <v>1767</v>
      </c>
    </row>
    <row r="2003" spans="1:2" ht="25.5" x14ac:dyDescent="0.25">
      <c r="A2003" s="3" t="s">
        <v>1253</v>
      </c>
      <c r="B2003" s="3" t="s">
        <v>1800</v>
      </c>
    </row>
    <row r="2004" spans="1:2" ht="63.75" x14ac:dyDescent="0.25">
      <c r="A2004" s="3" t="s">
        <v>77</v>
      </c>
      <c r="B2004" s="3" t="s">
        <v>1801</v>
      </c>
    </row>
    <row r="2005" spans="1:2" ht="51" x14ac:dyDescent="0.25">
      <c r="A2005" s="3" t="s">
        <v>1255</v>
      </c>
      <c r="B2005" s="3" t="s">
        <v>1803</v>
      </c>
    </row>
    <row r="2006" spans="1:2" ht="102" x14ac:dyDescent="0.25">
      <c r="A2006" s="3" t="s">
        <v>1051</v>
      </c>
      <c r="B2006" s="3" t="s">
        <v>2299</v>
      </c>
    </row>
    <row r="2007" spans="1:2" ht="51" x14ac:dyDescent="0.25">
      <c r="A2007" s="3" t="s">
        <v>1247</v>
      </c>
      <c r="B2007" s="3" t="s">
        <v>1792</v>
      </c>
    </row>
    <row r="2008" spans="1:2" ht="38.25" x14ac:dyDescent="0.25">
      <c r="A2008" s="3" t="s">
        <v>1248</v>
      </c>
      <c r="B2008" s="3" t="s">
        <v>1793</v>
      </c>
    </row>
    <row r="2009" spans="1:2" ht="25.5" x14ac:dyDescent="0.25">
      <c r="A2009" s="3" t="s">
        <v>1249</v>
      </c>
      <c r="B2009" s="3" t="s">
        <v>1794</v>
      </c>
    </row>
    <row r="2010" spans="1:2" ht="25.5" x14ac:dyDescent="0.25">
      <c r="A2010" s="3" t="s">
        <v>1254</v>
      </c>
      <c r="B2010" s="3" t="s">
        <v>1802</v>
      </c>
    </row>
    <row r="2011" spans="1:2" ht="63.75" x14ac:dyDescent="0.25">
      <c r="A2011" s="3" t="s">
        <v>1242</v>
      </c>
      <c r="B2011" s="3" t="s">
        <v>1786</v>
      </c>
    </row>
    <row r="2012" spans="1:2" ht="76.5" x14ac:dyDescent="0.25">
      <c r="A2012" s="3" t="s">
        <v>72</v>
      </c>
      <c r="B2012" s="3" t="s">
        <v>1787</v>
      </c>
    </row>
    <row r="2013" spans="1:2" ht="51" x14ac:dyDescent="0.25">
      <c r="A2013" s="3" t="s">
        <v>1245</v>
      </c>
      <c r="B2013" s="3" t="s">
        <v>1790</v>
      </c>
    </row>
    <row r="2014" spans="1:2" ht="63.75" x14ac:dyDescent="0.25">
      <c r="A2014" s="3" t="s">
        <v>1246</v>
      </c>
      <c r="B2014" s="3" t="s">
        <v>1791</v>
      </c>
    </row>
    <row r="2015" spans="1:2" ht="38.25" x14ac:dyDescent="0.25">
      <c r="A2015" s="3" t="s">
        <v>1171</v>
      </c>
      <c r="B2015" s="3" t="s">
        <v>1723</v>
      </c>
    </row>
    <row r="2016" spans="1:2" ht="76.5" x14ac:dyDescent="0.25">
      <c r="A2016" s="3" t="s">
        <v>1244</v>
      </c>
      <c r="B2016" s="3" t="s">
        <v>1789</v>
      </c>
    </row>
    <row r="2017" spans="1:2" ht="38.25" x14ac:dyDescent="0.25">
      <c r="A2017" s="3" t="s">
        <v>1251</v>
      </c>
      <c r="B2017" s="3" t="s">
        <v>1796</v>
      </c>
    </row>
    <row r="2018" spans="1:2" ht="38.25" x14ac:dyDescent="0.25">
      <c r="A2018" s="3" t="s">
        <v>1243</v>
      </c>
      <c r="B2018" s="3" t="s">
        <v>1788</v>
      </c>
    </row>
    <row r="2019" spans="1:2" ht="63.75" x14ac:dyDescent="0.25">
      <c r="A2019" s="3" t="s">
        <v>1250</v>
      </c>
      <c r="B2019" s="3" t="s">
        <v>1795</v>
      </c>
    </row>
    <row r="2020" spans="1:2" ht="63.75" x14ac:dyDescent="0.25">
      <c r="A2020" s="3" t="s">
        <v>1156</v>
      </c>
      <c r="B2020" s="3" t="s">
        <v>1710</v>
      </c>
    </row>
    <row r="2021" spans="1:2" ht="63.75" x14ac:dyDescent="0.25">
      <c r="A2021" s="3" t="s">
        <v>75</v>
      </c>
      <c r="B2021" s="3" t="s">
        <v>1798</v>
      </c>
    </row>
    <row r="2022" spans="1:2" ht="25.5" x14ac:dyDescent="0.25">
      <c r="A2022" s="3" t="s">
        <v>1176</v>
      </c>
      <c r="B2022" s="3" t="s">
        <v>1728</v>
      </c>
    </row>
    <row r="2023" spans="1:2" ht="51" x14ac:dyDescent="0.25">
      <c r="A2023" s="3" t="s">
        <v>1265</v>
      </c>
      <c r="B2023" s="3" t="s">
        <v>1810</v>
      </c>
    </row>
    <row r="2024" spans="1:2" ht="38.25" x14ac:dyDescent="0.25">
      <c r="A2024" s="3" t="s">
        <v>1252</v>
      </c>
      <c r="B2024" s="3" t="s">
        <v>1799</v>
      </c>
    </row>
    <row r="2025" spans="1:2" ht="25.5" x14ac:dyDescent="0.25">
      <c r="A2025" s="3" t="s">
        <v>74</v>
      </c>
      <c r="B2025" s="3" t="s">
        <v>1797</v>
      </c>
    </row>
    <row r="2026" spans="1:2" ht="51" x14ac:dyDescent="0.25">
      <c r="A2026" s="3" t="s">
        <v>1256</v>
      </c>
      <c r="B2026" s="3" t="s">
        <v>1805</v>
      </c>
    </row>
    <row r="2027" spans="1:2" ht="51" x14ac:dyDescent="0.25">
      <c r="A2027" s="3" t="s">
        <v>1146</v>
      </c>
      <c r="B2027" s="3" t="s">
        <v>1701</v>
      </c>
    </row>
    <row r="2028" spans="1:2" ht="51" x14ac:dyDescent="0.25">
      <c r="A2028" s="3" t="s">
        <v>1219</v>
      </c>
      <c r="B2028" s="3" t="s">
        <v>1767</v>
      </c>
    </row>
    <row r="2029" spans="1:2" ht="25.5" x14ac:dyDescent="0.25">
      <c r="A2029" s="3" t="s">
        <v>1253</v>
      </c>
      <c r="B2029" s="3" t="s">
        <v>1800</v>
      </c>
    </row>
    <row r="2030" spans="1:2" ht="63.75" x14ac:dyDescent="0.25">
      <c r="A2030" s="3" t="s">
        <v>77</v>
      </c>
      <c r="B2030" s="3" t="s">
        <v>1801</v>
      </c>
    </row>
    <row r="2031" spans="1:2" ht="51" x14ac:dyDescent="0.25">
      <c r="A2031" s="3" t="s">
        <v>1255</v>
      </c>
      <c r="B2031" s="3" t="s">
        <v>1803</v>
      </c>
    </row>
    <row r="2032" spans="1:2" ht="51" x14ac:dyDescent="0.25">
      <c r="A2032" s="3" t="s">
        <v>1247</v>
      </c>
      <c r="B2032" s="3" t="s">
        <v>1792</v>
      </c>
    </row>
    <row r="2033" spans="1:2" ht="38.25" x14ac:dyDescent="0.25">
      <c r="A2033" s="3" t="s">
        <v>1248</v>
      </c>
      <c r="B2033" s="3" t="s">
        <v>1793</v>
      </c>
    </row>
    <row r="2034" spans="1:2" ht="25.5" x14ac:dyDescent="0.25">
      <c r="A2034" s="3" t="s">
        <v>1249</v>
      </c>
      <c r="B2034" s="3" t="s">
        <v>1794</v>
      </c>
    </row>
    <row r="2035" spans="1:2" ht="25.5" x14ac:dyDescent="0.25">
      <c r="A2035" s="3" t="s">
        <v>1254</v>
      </c>
      <c r="B2035" s="3" t="s">
        <v>1802</v>
      </c>
    </row>
    <row r="2036" spans="1:2" ht="63.75" x14ac:dyDescent="0.25">
      <c r="A2036" s="3" t="s">
        <v>1242</v>
      </c>
      <c r="B2036" s="3" t="s">
        <v>1786</v>
      </c>
    </row>
    <row r="2037" spans="1:2" ht="76.5" x14ac:dyDescent="0.25">
      <c r="A2037" s="3" t="s">
        <v>72</v>
      </c>
      <c r="B2037" s="3" t="s">
        <v>1787</v>
      </c>
    </row>
    <row r="2038" spans="1:2" ht="51" x14ac:dyDescent="0.25">
      <c r="A2038" s="3" t="s">
        <v>1245</v>
      </c>
      <c r="B2038" s="3" t="s">
        <v>1790</v>
      </c>
    </row>
    <row r="2039" spans="1:2" ht="63.75" x14ac:dyDescent="0.25">
      <c r="A2039" s="3" t="s">
        <v>1246</v>
      </c>
      <c r="B2039" s="3" t="s">
        <v>1791</v>
      </c>
    </row>
    <row r="2040" spans="1:2" ht="38.25" x14ac:dyDescent="0.25">
      <c r="A2040" s="3" t="s">
        <v>1171</v>
      </c>
      <c r="B2040" s="3" t="s">
        <v>1723</v>
      </c>
    </row>
    <row r="2041" spans="1:2" ht="76.5" x14ac:dyDescent="0.25">
      <c r="A2041" s="3" t="s">
        <v>1244</v>
      </c>
      <c r="B2041" s="3" t="s">
        <v>1789</v>
      </c>
    </row>
    <row r="2042" spans="1:2" ht="38.25" x14ac:dyDescent="0.25">
      <c r="A2042" s="3" t="s">
        <v>1251</v>
      </c>
      <c r="B2042" s="3" t="s">
        <v>1796</v>
      </c>
    </row>
    <row r="2043" spans="1:2" ht="38.25" x14ac:dyDescent="0.25">
      <c r="A2043" s="3" t="s">
        <v>1243</v>
      </c>
      <c r="B2043" s="3" t="s">
        <v>1788</v>
      </c>
    </row>
    <row r="2044" spans="1:2" ht="63.75" x14ac:dyDescent="0.25">
      <c r="A2044" s="3" t="s">
        <v>1250</v>
      </c>
      <c r="B2044" s="3" t="s">
        <v>1795</v>
      </c>
    </row>
    <row r="2045" spans="1:2" ht="63.75" x14ac:dyDescent="0.25">
      <c r="A2045" s="3" t="s">
        <v>1156</v>
      </c>
      <c r="B2045" s="3" t="s">
        <v>1710</v>
      </c>
    </row>
    <row r="2046" spans="1:2" ht="63.75" x14ac:dyDescent="0.25">
      <c r="A2046" s="3" t="s">
        <v>75</v>
      </c>
      <c r="B2046" s="3" t="s">
        <v>1798</v>
      </c>
    </row>
    <row r="2047" spans="1:2" ht="25.5" x14ac:dyDescent="0.25">
      <c r="A2047" s="3" t="s">
        <v>1176</v>
      </c>
      <c r="B2047" s="3" t="s">
        <v>1728</v>
      </c>
    </row>
    <row r="2048" spans="1:2" ht="51" x14ac:dyDescent="0.25">
      <c r="A2048" s="3" t="s">
        <v>1265</v>
      </c>
      <c r="B2048" s="3" t="s">
        <v>1810</v>
      </c>
    </row>
    <row r="2049" spans="1:2" ht="38.25" x14ac:dyDescent="0.25">
      <c r="A2049" s="3" t="s">
        <v>1252</v>
      </c>
      <c r="B2049" s="3" t="s">
        <v>1799</v>
      </c>
    </row>
    <row r="2050" spans="1:2" ht="25.5" x14ac:dyDescent="0.25">
      <c r="A2050" s="3" t="s">
        <v>74</v>
      </c>
      <c r="B2050" s="3" t="s">
        <v>1797</v>
      </c>
    </row>
    <row r="2051" spans="1:2" ht="51" x14ac:dyDescent="0.25">
      <c r="A2051" s="3" t="s">
        <v>1256</v>
      </c>
      <c r="B2051" s="3" t="s">
        <v>1805</v>
      </c>
    </row>
    <row r="2052" spans="1:2" ht="51" x14ac:dyDescent="0.25">
      <c r="A2052" s="3" t="s">
        <v>1146</v>
      </c>
      <c r="B2052" s="3" t="s">
        <v>1701</v>
      </c>
    </row>
    <row r="2053" spans="1:2" ht="51" x14ac:dyDescent="0.25">
      <c r="A2053" s="3" t="s">
        <v>1219</v>
      </c>
      <c r="B2053" s="3" t="s">
        <v>1767</v>
      </c>
    </row>
    <row r="2054" spans="1:2" ht="25.5" x14ac:dyDescent="0.25">
      <c r="A2054" s="3" t="s">
        <v>1253</v>
      </c>
      <c r="B2054" s="3" t="s">
        <v>1800</v>
      </c>
    </row>
    <row r="2055" spans="1:2" ht="63.75" x14ac:dyDescent="0.25">
      <c r="A2055" s="3" t="s">
        <v>77</v>
      </c>
      <c r="B2055" s="3" t="s">
        <v>1801</v>
      </c>
    </row>
    <row r="2056" spans="1:2" ht="51" x14ac:dyDescent="0.25">
      <c r="A2056" s="3" t="s">
        <v>1255</v>
      </c>
      <c r="B2056" s="3" t="s">
        <v>1803</v>
      </c>
    </row>
    <row r="2057" spans="1:2" ht="102" x14ac:dyDescent="0.25">
      <c r="A2057" s="3" t="s">
        <v>1053</v>
      </c>
      <c r="B2057" s="3" t="s">
        <v>2300</v>
      </c>
    </row>
    <row r="2058" spans="1:2" ht="51" x14ac:dyDescent="0.25">
      <c r="A2058" s="3" t="s">
        <v>1247</v>
      </c>
      <c r="B2058" s="3" t="s">
        <v>1792</v>
      </c>
    </row>
    <row r="2059" spans="1:2" ht="38.25" x14ac:dyDescent="0.25">
      <c r="A2059" s="3" t="s">
        <v>1248</v>
      </c>
      <c r="B2059" s="3" t="s">
        <v>1793</v>
      </c>
    </row>
    <row r="2060" spans="1:2" ht="25.5" x14ac:dyDescent="0.25">
      <c r="A2060" s="3" t="s">
        <v>1249</v>
      </c>
      <c r="B2060" s="3" t="s">
        <v>1794</v>
      </c>
    </row>
    <row r="2061" spans="1:2" ht="25.5" x14ac:dyDescent="0.25">
      <c r="A2061" s="3" t="s">
        <v>1254</v>
      </c>
      <c r="B2061" s="3" t="s">
        <v>1802</v>
      </c>
    </row>
    <row r="2062" spans="1:2" ht="63.75" x14ac:dyDescent="0.25">
      <c r="A2062" s="3" t="s">
        <v>1242</v>
      </c>
      <c r="B2062" s="3" t="s">
        <v>1786</v>
      </c>
    </row>
    <row r="2063" spans="1:2" ht="76.5" x14ac:dyDescent="0.25">
      <c r="A2063" s="3" t="s">
        <v>72</v>
      </c>
      <c r="B2063" s="3" t="s">
        <v>1787</v>
      </c>
    </row>
    <row r="2064" spans="1:2" ht="51" x14ac:dyDescent="0.25">
      <c r="A2064" s="3" t="s">
        <v>1245</v>
      </c>
      <c r="B2064" s="3" t="s">
        <v>1790</v>
      </c>
    </row>
    <row r="2065" spans="1:2" ht="63.75" x14ac:dyDescent="0.25">
      <c r="A2065" s="3" t="s">
        <v>1246</v>
      </c>
      <c r="B2065" s="3" t="s">
        <v>1791</v>
      </c>
    </row>
    <row r="2066" spans="1:2" ht="38.25" x14ac:dyDescent="0.25">
      <c r="A2066" s="3" t="s">
        <v>1171</v>
      </c>
      <c r="B2066" s="3" t="s">
        <v>1723</v>
      </c>
    </row>
    <row r="2067" spans="1:2" ht="76.5" x14ac:dyDescent="0.25">
      <c r="A2067" s="3" t="s">
        <v>1244</v>
      </c>
      <c r="B2067" s="3" t="s">
        <v>1789</v>
      </c>
    </row>
    <row r="2068" spans="1:2" ht="38.25" x14ac:dyDescent="0.25">
      <c r="A2068" s="3" t="s">
        <v>1251</v>
      </c>
      <c r="B2068" s="3" t="s">
        <v>1796</v>
      </c>
    </row>
    <row r="2069" spans="1:2" ht="38.25" x14ac:dyDescent="0.25">
      <c r="A2069" s="3" t="s">
        <v>1243</v>
      </c>
      <c r="B2069" s="3" t="s">
        <v>1788</v>
      </c>
    </row>
    <row r="2070" spans="1:2" ht="63.75" x14ac:dyDescent="0.25">
      <c r="A2070" s="3" t="s">
        <v>1250</v>
      </c>
      <c r="B2070" s="3" t="s">
        <v>1795</v>
      </c>
    </row>
    <row r="2071" spans="1:2" ht="63.75" x14ac:dyDescent="0.25">
      <c r="A2071" s="3" t="s">
        <v>1156</v>
      </c>
      <c r="B2071" s="3" t="s">
        <v>1710</v>
      </c>
    </row>
    <row r="2072" spans="1:2" ht="63.75" x14ac:dyDescent="0.25">
      <c r="A2072" s="3" t="s">
        <v>75</v>
      </c>
      <c r="B2072" s="3" t="s">
        <v>1798</v>
      </c>
    </row>
    <row r="2073" spans="1:2" ht="25.5" x14ac:dyDescent="0.25">
      <c r="A2073" s="3" t="s">
        <v>1176</v>
      </c>
      <c r="B2073" s="3" t="s">
        <v>1728</v>
      </c>
    </row>
    <row r="2074" spans="1:2" ht="51" x14ac:dyDescent="0.25">
      <c r="A2074" s="3" t="s">
        <v>1265</v>
      </c>
      <c r="B2074" s="3" t="s">
        <v>1810</v>
      </c>
    </row>
    <row r="2075" spans="1:2" ht="38.25" x14ac:dyDescent="0.25">
      <c r="A2075" s="3" t="s">
        <v>1252</v>
      </c>
      <c r="B2075" s="3" t="s">
        <v>1799</v>
      </c>
    </row>
    <row r="2076" spans="1:2" ht="25.5" x14ac:dyDescent="0.25">
      <c r="A2076" s="3" t="s">
        <v>74</v>
      </c>
      <c r="B2076" s="3" t="s">
        <v>1797</v>
      </c>
    </row>
    <row r="2077" spans="1:2" ht="51" x14ac:dyDescent="0.25">
      <c r="A2077" s="3" t="s">
        <v>1256</v>
      </c>
      <c r="B2077" s="3" t="s">
        <v>1805</v>
      </c>
    </row>
    <row r="2078" spans="1:2" ht="51" x14ac:dyDescent="0.25">
      <c r="A2078" s="3" t="s">
        <v>1146</v>
      </c>
      <c r="B2078" s="3" t="s">
        <v>1701</v>
      </c>
    </row>
    <row r="2079" spans="1:2" ht="51" x14ac:dyDescent="0.25">
      <c r="A2079" s="3" t="s">
        <v>1219</v>
      </c>
      <c r="B2079" s="3" t="s">
        <v>1767</v>
      </c>
    </row>
    <row r="2080" spans="1:2" ht="25.5" x14ac:dyDescent="0.25">
      <c r="A2080" s="3" t="s">
        <v>1253</v>
      </c>
      <c r="B2080" s="3" t="s">
        <v>1800</v>
      </c>
    </row>
    <row r="2081" spans="1:2" ht="63.75" x14ac:dyDescent="0.25">
      <c r="A2081" s="3" t="s">
        <v>77</v>
      </c>
      <c r="B2081" s="3" t="s">
        <v>1801</v>
      </c>
    </row>
    <row r="2082" spans="1:2" ht="51" x14ac:dyDescent="0.25">
      <c r="A2082" s="3" t="s">
        <v>1255</v>
      </c>
      <c r="B2082" s="3" t="s">
        <v>1803</v>
      </c>
    </row>
    <row r="2083" spans="1:2" ht="51" x14ac:dyDescent="0.25">
      <c r="A2083" s="3" t="s">
        <v>773</v>
      </c>
      <c r="B2083" s="3" t="s">
        <v>2219</v>
      </c>
    </row>
    <row r="2084" spans="1:2" ht="51" x14ac:dyDescent="0.25">
      <c r="A2084" s="3" t="s">
        <v>1295</v>
      </c>
      <c r="B2084" s="3" t="s">
        <v>1839</v>
      </c>
    </row>
    <row r="2085" spans="1:2" ht="51" x14ac:dyDescent="0.25">
      <c r="A2085" s="3" t="s">
        <v>1291</v>
      </c>
      <c r="B2085" s="3" t="s">
        <v>1836</v>
      </c>
    </row>
    <row r="2086" spans="1:2" ht="114.75" x14ac:dyDescent="0.25">
      <c r="A2086" s="3" t="s">
        <v>101</v>
      </c>
      <c r="B2086" s="3" t="s">
        <v>1835</v>
      </c>
    </row>
    <row r="2087" spans="1:2" ht="51" x14ac:dyDescent="0.25">
      <c r="A2087" s="3" t="s">
        <v>95</v>
      </c>
      <c r="B2087" s="3" t="s">
        <v>1828</v>
      </c>
    </row>
    <row r="2088" spans="1:2" ht="89.25" x14ac:dyDescent="0.25">
      <c r="A2088" s="3" t="s">
        <v>1055</v>
      </c>
      <c r="B2088" s="3" t="s">
        <v>2301</v>
      </c>
    </row>
    <row r="2089" spans="1:2" ht="102" x14ac:dyDescent="0.25">
      <c r="A2089" s="3" t="s">
        <v>1056</v>
      </c>
      <c r="B2089" s="3" t="s">
        <v>2302</v>
      </c>
    </row>
    <row r="2090" spans="1:2" ht="51" x14ac:dyDescent="0.25">
      <c r="A2090" s="3" t="s">
        <v>1151</v>
      </c>
      <c r="B2090" s="3" t="s">
        <v>1705</v>
      </c>
    </row>
    <row r="2091" spans="1:2" ht="51" x14ac:dyDescent="0.25">
      <c r="A2091" s="3" t="s">
        <v>1147</v>
      </c>
      <c r="B2091" s="3" t="s">
        <v>1702</v>
      </c>
    </row>
    <row r="2092" spans="1:2" ht="38.25" x14ac:dyDescent="0.25">
      <c r="A2092" s="3" t="s">
        <v>1158</v>
      </c>
      <c r="B2092" s="3" t="s">
        <v>1712</v>
      </c>
    </row>
    <row r="2093" spans="1:2" ht="63.75" x14ac:dyDescent="0.25">
      <c r="A2093" s="3" t="s">
        <v>1156</v>
      </c>
      <c r="B2093" s="3" t="s">
        <v>1710</v>
      </c>
    </row>
    <row r="2094" spans="1:2" ht="38.25" x14ac:dyDescent="0.25">
      <c r="A2094" s="3" t="s">
        <v>1251</v>
      </c>
      <c r="B2094" s="3" t="s">
        <v>1796</v>
      </c>
    </row>
    <row r="2095" spans="1:2" ht="51" x14ac:dyDescent="0.25">
      <c r="A2095" s="3" t="s">
        <v>1157</v>
      </c>
      <c r="B2095" s="3" t="s">
        <v>1711</v>
      </c>
    </row>
    <row r="2096" spans="1:2" ht="63.75" x14ac:dyDescent="0.25">
      <c r="A2096" s="3" t="s">
        <v>1159</v>
      </c>
      <c r="B2096" s="3" t="s">
        <v>1713</v>
      </c>
    </row>
    <row r="2097" spans="1:2" ht="38.25" x14ac:dyDescent="0.25">
      <c r="A2097" s="3" t="s">
        <v>1148</v>
      </c>
      <c r="B2097" s="3" t="s">
        <v>1703</v>
      </c>
    </row>
    <row r="2098" spans="1:2" ht="25.5" x14ac:dyDescent="0.25">
      <c r="A2098" s="3" t="s">
        <v>1160</v>
      </c>
      <c r="B2098" s="3" t="s">
        <v>1714</v>
      </c>
    </row>
    <row r="2099" spans="1:2" ht="63.75" x14ac:dyDescent="0.25">
      <c r="A2099" s="3" t="s">
        <v>1161</v>
      </c>
      <c r="B2099" s="3" t="s">
        <v>1715</v>
      </c>
    </row>
    <row r="2100" spans="1:2" ht="51" x14ac:dyDescent="0.25">
      <c r="A2100" s="3" t="s">
        <v>1144</v>
      </c>
      <c r="B2100" s="3" t="s">
        <v>1699</v>
      </c>
    </row>
    <row r="2101" spans="1:2" ht="25.5" x14ac:dyDescent="0.25">
      <c r="A2101" s="3" t="s">
        <v>1145</v>
      </c>
      <c r="B2101" s="3" t="s">
        <v>1700</v>
      </c>
    </row>
    <row r="2102" spans="1:2" ht="51" x14ac:dyDescent="0.25">
      <c r="A2102" s="3" t="s">
        <v>1146</v>
      </c>
      <c r="B2102" s="3" t="s">
        <v>1701</v>
      </c>
    </row>
    <row r="2103" spans="1:2" ht="51" x14ac:dyDescent="0.25">
      <c r="A2103" s="3" t="s">
        <v>1154</v>
      </c>
      <c r="B2103" s="3" t="s">
        <v>1708</v>
      </c>
    </row>
    <row r="2104" spans="1:2" ht="76.5" x14ac:dyDescent="0.25">
      <c r="A2104" s="3" t="s">
        <v>1155</v>
      </c>
      <c r="B2104" s="3" t="s">
        <v>1709</v>
      </c>
    </row>
    <row r="2105" spans="1:2" ht="51" x14ac:dyDescent="0.25">
      <c r="A2105" s="3" t="s">
        <v>1151</v>
      </c>
      <c r="B2105" s="3" t="s">
        <v>1705</v>
      </c>
    </row>
    <row r="2106" spans="1:2" ht="51" x14ac:dyDescent="0.25">
      <c r="A2106" s="3" t="s">
        <v>1147</v>
      </c>
      <c r="B2106" s="3" t="s">
        <v>1702</v>
      </c>
    </row>
    <row r="2107" spans="1:2" ht="38.25" x14ac:dyDescent="0.25">
      <c r="A2107" s="3" t="s">
        <v>1158</v>
      </c>
      <c r="B2107" s="3" t="s">
        <v>1712</v>
      </c>
    </row>
    <row r="2108" spans="1:2" ht="63.75" x14ac:dyDescent="0.25">
      <c r="A2108" s="3" t="s">
        <v>1156</v>
      </c>
      <c r="B2108" s="3" t="s">
        <v>1710</v>
      </c>
    </row>
    <row r="2109" spans="1:2" ht="38.25" x14ac:dyDescent="0.25">
      <c r="A2109" s="3" t="s">
        <v>1251</v>
      </c>
      <c r="B2109" s="3" t="s">
        <v>1796</v>
      </c>
    </row>
    <row r="2110" spans="1:2" ht="51" x14ac:dyDescent="0.25">
      <c r="A2110" s="3" t="s">
        <v>1157</v>
      </c>
      <c r="B2110" s="3" t="s">
        <v>1711</v>
      </c>
    </row>
    <row r="2111" spans="1:2" ht="63.75" x14ac:dyDescent="0.25">
      <c r="A2111" s="3" t="s">
        <v>1159</v>
      </c>
      <c r="B2111" s="3" t="s">
        <v>1713</v>
      </c>
    </row>
    <row r="2112" spans="1:2" ht="38.25" x14ac:dyDescent="0.25">
      <c r="A2112" s="3" t="s">
        <v>1148</v>
      </c>
      <c r="B2112" s="3" t="s">
        <v>1703</v>
      </c>
    </row>
    <row r="2113" spans="1:2" ht="25.5" x14ac:dyDescent="0.25">
      <c r="A2113" s="3" t="s">
        <v>1160</v>
      </c>
      <c r="B2113" s="3" t="s">
        <v>1714</v>
      </c>
    </row>
    <row r="2114" spans="1:2" ht="63.75" x14ac:dyDescent="0.25">
      <c r="A2114" s="3" t="s">
        <v>1161</v>
      </c>
      <c r="B2114" s="3" t="s">
        <v>1715</v>
      </c>
    </row>
    <row r="2115" spans="1:2" ht="51" x14ac:dyDescent="0.25">
      <c r="A2115" s="3" t="s">
        <v>1144</v>
      </c>
      <c r="B2115" s="3" t="s">
        <v>1699</v>
      </c>
    </row>
    <row r="2116" spans="1:2" ht="25.5" x14ac:dyDescent="0.25">
      <c r="A2116" s="3" t="s">
        <v>1145</v>
      </c>
      <c r="B2116" s="3" t="s">
        <v>1700</v>
      </c>
    </row>
    <row r="2117" spans="1:2" ht="51" x14ac:dyDescent="0.25">
      <c r="A2117" s="3" t="s">
        <v>1146</v>
      </c>
      <c r="B2117" s="3" t="s">
        <v>1701</v>
      </c>
    </row>
    <row r="2118" spans="1:2" ht="76.5" x14ac:dyDescent="0.25">
      <c r="A2118" s="3" t="s">
        <v>1155</v>
      </c>
      <c r="B2118" s="3" t="s">
        <v>1709</v>
      </c>
    </row>
    <row r="2119" spans="1:2" ht="76.5" x14ac:dyDescent="0.25">
      <c r="A2119" s="3" t="s">
        <v>1060</v>
      </c>
      <c r="B2119" s="3" t="s">
        <v>2303</v>
      </c>
    </row>
    <row r="2120" spans="1:2" ht="76.5" x14ac:dyDescent="0.25">
      <c r="A2120" s="3" t="s">
        <v>1062</v>
      </c>
      <c r="B2120" s="3" t="s">
        <v>2304</v>
      </c>
    </row>
    <row r="2121" spans="1:2" ht="25.5" x14ac:dyDescent="0.25">
      <c r="A2121" s="3" t="s">
        <v>1443</v>
      </c>
      <c r="B2121" s="3" t="s">
        <v>1950</v>
      </c>
    </row>
    <row r="2122" spans="1:2" ht="89.25" x14ac:dyDescent="0.25">
      <c r="A2122" s="3" t="s">
        <v>1066</v>
      </c>
      <c r="B2122" s="3" t="s">
        <v>2305</v>
      </c>
    </row>
    <row r="2123" spans="1:2" ht="76.5" x14ac:dyDescent="0.25">
      <c r="A2123" s="3" t="s">
        <v>1067</v>
      </c>
      <c r="B2123" s="3" t="s">
        <v>2306</v>
      </c>
    </row>
    <row r="2124" spans="1:2" ht="25.5" x14ac:dyDescent="0.25">
      <c r="A2124" s="3" t="s">
        <v>1443</v>
      </c>
      <c r="B2124" s="3" t="s">
        <v>1950</v>
      </c>
    </row>
    <row r="2125" spans="1:2" ht="114.75" x14ac:dyDescent="0.25">
      <c r="A2125" s="3" t="s">
        <v>1070</v>
      </c>
      <c r="B2125" s="3" t="s">
        <v>2307</v>
      </c>
    </row>
    <row r="2126" spans="1:2" ht="25.5" x14ac:dyDescent="0.25">
      <c r="A2126" s="3" t="s">
        <v>1443</v>
      </c>
      <c r="B2126" s="3" t="s">
        <v>1950</v>
      </c>
    </row>
    <row r="2127" spans="1:2" ht="102" x14ac:dyDescent="0.25">
      <c r="A2127" s="3" t="s">
        <v>1033</v>
      </c>
      <c r="B2127" s="3" t="s">
        <v>2308</v>
      </c>
    </row>
    <row r="2128" spans="1:2" ht="114.75" x14ac:dyDescent="0.25">
      <c r="A2128" s="3" t="s">
        <v>1072</v>
      </c>
      <c r="B2128" s="3" t="s">
        <v>2309</v>
      </c>
    </row>
    <row r="2129" spans="1:2" ht="114.75" x14ac:dyDescent="0.25">
      <c r="A2129" s="3" t="s">
        <v>1073</v>
      </c>
      <c r="B2129" s="3" t="s">
        <v>2310</v>
      </c>
    </row>
    <row r="2130" spans="1:2" ht="38.25" x14ac:dyDescent="0.25">
      <c r="A2130" s="3" t="s">
        <v>1436</v>
      </c>
      <c r="B2130" s="3" t="s">
        <v>1945</v>
      </c>
    </row>
    <row r="2131" spans="1:2" ht="51" x14ac:dyDescent="0.25">
      <c r="A2131" s="3" t="s">
        <v>206</v>
      </c>
      <c r="B2131" s="3" t="s">
        <v>1944</v>
      </c>
    </row>
    <row r="2132" spans="1:2" ht="102" x14ac:dyDescent="0.25">
      <c r="A2132" s="3" t="s">
        <v>1033</v>
      </c>
      <c r="B2132" s="3" t="s">
        <v>2308</v>
      </c>
    </row>
    <row r="2133" spans="1:2" ht="63.75" x14ac:dyDescent="0.25">
      <c r="A2133" s="3" t="s">
        <v>1156</v>
      </c>
      <c r="B2133" s="3" t="s">
        <v>1710</v>
      </c>
    </row>
    <row r="2134" spans="1:2" ht="63.75" x14ac:dyDescent="0.25">
      <c r="A2134" s="3" t="s">
        <v>1554</v>
      </c>
      <c r="B2134" s="3" t="s">
        <v>2058</v>
      </c>
    </row>
    <row r="2135" spans="1:2" ht="63.75" x14ac:dyDescent="0.25">
      <c r="A2135" s="3" t="s">
        <v>1076</v>
      </c>
      <c r="B2135" s="3" t="s">
        <v>2311</v>
      </c>
    </row>
    <row r="2136" spans="1:2" ht="38.25" x14ac:dyDescent="0.25">
      <c r="A2136" s="3" t="s">
        <v>1077</v>
      </c>
      <c r="B2136" s="3" t="s">
        <v>2312</v>
      </c>
    </row>
    <row r="2137" spans="1:2" ht="51" x14ac:dyDescent="0.25">
      <c r="A2137" s="3" t="s">
        <v>1078</v>
      </c>
      <c r="B2137" s="3" t="s">
        <v>2313</v>
      </c>
    </row>
    <row r="2138" spans="1:2" ht="51" x14ac:dyDescent="0.25">
      <c r="A2138" s="3" t="s">
        <v>1079</v>
      </c>
      <c r="B2138" s="3" t="s">
        <v>2314</v>
      </c>
    </row>
    <row r="2139" spans="1:2" ht="89.25" x14ac:dyDescent="0.25">
      <c r="A2139" s="3" t="s">
        <v>1080</v>
      </c>
      <c r="B2139" s="3" t="s">
        <v>2315</v>
      </c>
    </row>
    <row r="2140" spans="1:2" ht="63.75" x14ac:dyDescent="0.25">
      <c r="A2140" s="3" t="s">
        <v>1156</v>
      </c>
      <c r="B2140" s="3" t="s">
        <v>1710</v>
      </c>
    </row>
    <row r="2141" spans="1:2" ht="63.75" x14ac:dyDescent="0.25">
      <c r="A2141" s="3" t="s">
        <v>1554</v>
      </c>
      <c r="B2141" s="3" t="s">
        <v>2058</v>
      </c>
    </row>
    <row r="2142" spans="1:2" ht="63.75" x14ac:dyDescent="0.25">
      <c r="A2142" s="3" t="s">
        <v>1076</v>
      </c>
      <c r="B2142" s="3" t="s">
        <v>2311</v>
      </c>
    </row>
    <row r="2143" spans="1:2" ht="38.25" x14ac:dyDescent="0.25">
      <c r="A2143" s="3" t="s">
        <v>1077</v>
      </c>
      <c r="B2143" s="3" t="s">
        <v>2312</v>
      </c>
    </row>
    <row r="2144" spans="1:2" ht="51" x14ac:dyDescent="0.25">
      <c r="A2144" s="3" t="s">
        <v>1078</v>
      </c>
      <c r="B2144" s="3" t="s">
        <v>2313</v>
      </c>
    </row>
    <row r="2145" spans="1:2" ht="51" x14ac:dyDescent="0.25">
      <c r="A2145" s="3" t="s">
        <v>1079</v>
      </c>
      <c r="B2145" s="3" t="s">
        <v>2314</v>
      </c>
    </row>
    <row r="2146" spans="1:2" ht="89.25" x14ac:dyDescent="0.25">
      <c r="A2146" s="3" t="s">
        <v>1080</v>
      </c>
      <c r="B2146" s="3" t="s">
        <v>2315</v>
      </c>
    </row>
    <row r="2147" spans="1:2" ht="89.25" x14ac:dyDescent="0.25">
      <c r="A2147" s="3" t="s">
        <v>1083</v>
      </c>
      <c r="B2147" s="3" t="s">
        <v>2316</v>
      </c>
    </row>
    <row r="2148" spans="1:2" ht="25.5" x14ac:dyDescent="0.25">
      <c r="A2148" s="3" t="s">
        <v>1443</v>
      </c>
      <c r="B2148" s="3" t="s">
        <v>1950</v>
      </c>
    </row>
    <row r="2149" spans="1:2" ht="102" x14ac:dyDescent="0.25">
      <c r="A2149" s="3" t="s">
        <v>1057</v>
      </c>
      <c r="B2149" s="3" t="s">
        <v>2317</v>
      </c>
    </row>
    <row r="2150" spans="1:2" ht="102" x14ac:dyDescent="0.25">
      <c r="A2150" s="3" t="s">
        <v>1085</v>
      </c>
      <c r="B2150" s="3" t="s">
        <v>2318</v>
      </c>
    </row>
    <row r="2151" spans="1:2" ht="25.5" x14ac:dyDescent="0.25">
      <c r="A2151" s="3" t="s">
        <v>404</v>
      </c>
      <c r="B2151" s="3" t="s">
        <v>2034</v>
      </c>
    </row>
    <row r="2152" spans="1:2" ht="102" x14ac:dyDescent="0.25">
      <c r="A2152" s="3" t="s">
        <v>1057</v>
      </c>
      <c r="B2152" s="3" t="s">
        <v>2317</v>
      </c>
    </row>
    <row r="2153" spans="1:2" ht="89.25" x14ac:dyDescent="0.25">
      <c r="A2153" s="3" t="s">
        <v>1087</v>
      </c>
      <c r="B2153" s="3" t="s">
        <v>2319</v>
      </c>
    </row>
    <row r="2154" spans="1:2" ht="76.5" x14ac:dyDescent="0.25">
      <c r="A2154" s="3" t="s">
        <v>732</v>
      </c>
      <c r="B2154" s="3" t="s">
        <v>2209</v>
      </c>
    </row>
    <row r="2155" spans="1:2" ht="76.5" x14ac:dyDescent="0.25">
      <c r="A2155" s="3" t="s">
        <v>594</v>
      </c>
      <c r="B2155" s="3" t="s">
        <v>2157</v>
      </c>
    </row>
    <row r="2156" spans="1:2" ht="102" x14ac:dyDescent="0.25">
      <c r="A2156" s="3" t="s">
        <v>1058</v>
      </c>
      <c r="B2156" s="3" t="s">
        <v>2320</v>
      </c>
    </row>
    <row r="2157" spans="1:2" ht="89.25" x14ac:dyDescent="0.25">
      <c r="A2157" s="3" t="s">
        <v>1089</v>
      </c>
      <c r="B2157" s="3" t="s">
        <v>2321</v>
      </c>
    </row>
    <row r="2158" spans="1:2" ht="25.5" x14ac:dyDescent="0.25">
      <c r="A2158" s="3" t="s">
        <v>1443</v>
      </c>
      <c r="B2158" s="3" t="s">
        <v>1950</v>
      </c>
    </row>
    <row r="2159" spans="1:2" ht="102" x14ac:dyDescent="0.25">
      <c r="A2159" s="3" t="s">
        <v>1058</v>
      </c>
      <c r="B2159" s="3" t="s">
        <v>2320</v>
      </c>
    </row>
    <row r="2160" spans="1:2" ht="102" x14ac:dyDescent="0.25">
      <c r="A2160" s="3" t="s">
        <v>1091</v>
      </c>
      <c r="B2160" s="3" t="s">
        <v>2322</v>
      </c>
    </row>
    <row r="2161" spans="1:2" ht="25.5" x14ac:dyDescent="0.25">
      <c r="A2161" s="3" t="s">
        <v>404</v>
      </c>
      <c r="B2161" s="3" t="s">
        <v>2034</v>
      </c>
    </row>
    <row r="2162" spans="1:2" ht="102" x14ac:dyDescent="0.25">
      <c r="A2162" s="3" t="s">
        <v>1058</v>
      </c>
      <c r="B2162" s="3" t="s">
        <v>2320</v>
      </c>
    </row>
    <row r="2163" spans="1:2" ht="102" x14ac:dyDescent="0.25">
      <c r="A2163" s="3" t="s">
        <v>1093</v>
      </c>
      <c r="B2163" s="3" t="s">
        <v>2323</v>
      </c>
    </row>
    <row r="2164" spans="1:2" ht="25.5" x14ac:dyDescent="0.25">
      <c r="A2164" s="3" t="s">
        <v>1443</v>
      </c>
      <c r="B2164" s="3" t="s">
        <v>1950</v>
      </c>
    </row>
    <row r="2165" spans="1:2" ht="76.5" x14ac:dyDescent="0.25">
      <c r="A2165" s="3" t="s">
        <v>1096</v>
      </c>
      <c r="B2165" s="3" t="s">
        <v>2324</v>
      </c>
    </row>
    <row r="2166" spans="1:2" ht="114.75" x14ac:dyDescent="0.25">
      <c r="A2166" s="3" t="s">
        <v>1099</v>
      </c>
      <c r="B2166" s="3" t="s">
        <v>2325</v>
      </c>
    </row>
    <row r="2167" spans="1:2" ht="114.75" x14ac:dyDescent="0.25">
      <c r="A2167" s="3" t="s">
        <v>1100</v>
      </c>
      <c r="B2167" s="3" t="s">
        <v>2326</v>
      </c>
    </row>
    <row r="2168" spans="1:2" ht="76.5" x14ac:dyDescent="0.25">
      <c r="A2168" s="3" t="s">
        <v>545</v>
      </c>
      <c r="B2168" s="3" t="s">
        <v>2136</v>
      </c>
    </row>
    <row r="2169" spans="1:2" ht="63.75" x14ac:dyDescent="0.25">
      <c r="A2169" s="3" t="s">
        <v>1052</v>
      </c>
      <c r="B2169" s="3" t="s">
        <v>2327</v>
      </c>
    </row>
    <row r="2170" spans="1:2" ht="102" x14ac:dyDescent="0.25">
      <c r="A2170" s="3" t="s">
        <v>1104</v>
      </c>
      <c r="B2170" s="3" t="s">
        <v>2328</v>
      </c>
    </row>
    <row r="2171" spans="1:2" ht="25.5" x14ac:dyDescent="0.25">
      <c r="A2171" s="3" t="s">
        <v>1443</v>
      </c>
      <c r="B2171" s="3" t="s">
        <v>1950</v>
      </c>
    </row>
    <row r="2172" spans="1:2" ht="63.75" x14ac:dyDescent="0.25">
      <c r="A2172" s="3" t="s">
        <v>1052</v>
      </c>
      <c r="B2172" s="3" t="s">
        <v>2327</v>
      </c>
    </row>
    <row r="2173" spans="1:2" ht="114.75" x14ac:dyDescent="0.25">
      <c r="A2173" s="3" t="s">
        <v>1106</v>
      </c>
      <c r="B2173" s="3" t="s">
        <v>2329</v>
      </c>
    </row>
    <row r="2174" spans="1:2" ht="114.75" x14ac:dyDescent="0.25">
      <c r="A2174" s="3" t="s">
        <v>1107</v>
      </c>
      <c r="B2174" s="3" t="s">
        <v>2330</v>
      </c>
    </row>
    <row r="2175" spans="1:2" ht="76.5" x14ac:dyDescent="0.25">
      <c r="A2175" s="3" t="s">
        <v>545</v>
      </c>
      <c r="B2175" s="3" t="s">
        <v>2136</v>
      </c>
    </row>
    <row r="2176" spans="1:2" ht="63.75" x14ac:dyDescent="0.25">
      <c r="A2176" s="3" t="s">
        <v>1050</v>
      </c>
      <c r="B2176" s="3" t="s">
        <v>2331</v>
      </c>
    </row>
    <row r="2177" spans="1:2" ht="102" x14ac:dyDescent="0.25">
      <c r="A2177" s="3" t="s">
        <v>1109</v>
      </c>
      <c r="B2177" s="3" t="s">
        <v>2332</v>
      </c>
    </row>
    <row r="2178" spans="1:2" ht="25.5" x14ac:dyDescent="0.25">
      <c r="A2178" s="3" t="s">
        <v>1443</v>
      </c>
      <c r="B2178" s="3" t="s">
        <v>1950</v>
      </c>
    </row>
    <row r="2179" spans="1:2" ht="63.75" x14ac:dyDescent="0.25">
      <c r="A2179" s="3" t="s">
        <v>1050</v>
      </c>
      <c r="B2179" s="3" t="s">
        <v>2331</v>
      </c>
    </row>
    <row r="2180" spans="1:2" ht="76.5" x14ac:dyDescent="0.25">
      <c r="A2180" s="3" t="s">
        <v>1110</v>
      </c>
      <c r="B2180" s="3" t="s">
        <v>2333</v>
      </c>
    </row>
    <row r="2181" spans="1:2" ht="38.25" x14ac:dyDescent="0.25">
      <c r="A2181" s="3" t="s">
        <v>389</v>
      </c>
      <c r="B2181" s="3" t="s">
        <v>2027</v>
      </c>
    </row>
    <row r="2182" spans="1:2" ht="51" x14ac:dyDescent="0.25">
      <c r="A2182" s="3" t="s">
        <v>1147</v>
      </c>
      <c r="B2182" s="3" t="s">
        <v>1702</v>
      </c>
    </row>
    <row r="2183" spans="1:2" ht="51" x14ac:dyDescent="0.25">
      <c r="A2183" s="3" t="s">
        <v>1151</v>
      </c>
      <c r="B2183" s="3" t="s">
        <v>1705</v>
      </c>
    </row>
    <row r="2184" spans="1:2" ht="51" x14ac:dyDescent="0.25">
      <c r="A2184" s="3" t="s">
        <v>1228</v>
      </c>
      <c r="B2184" s="3" t="s">
        <v>1774</v>
      </c>
    </row>
    <row r="2185" spans="1:2" ht="38.25" x14ac:dyDescent="0.25">
      <c r="A2185" s="3" t="s">
        <v>1111</v>
      </c>
      <c r="B2185" s="3" t="s">
        <v>2334</v>
      </c>
    </row>
    <row r="2186" spans="1:2" ht="51" x14ac:dyDescent="0.25">
      <c r="A2186" s="3" t="s">
        <v>1245</v>
      </c>
      <c r="B2186" s="3" t="s">
        <v>1790</v>
      </c>
    </row>
    <row r="2187" spans="1:2" ht="38.25" x14ac:dyDescent="0.25">
      <c r="A2187" s="3" t="s">
        <v>1112</v>
      </c>
      <c r="B2187" s="3" t="s">
        <v>2335</v>
      </c>
    </row>
    <row r="2188" spans="1:2" ht="25.5" x14ac:dyDescent="0.25">
      <c r="A2188" s="3" t="s">
        <v>1113</v>
      </c>
      <c r="B2188" s="3" t="s">
        <v>2336</v>
      </c>
    </row>
    <row r="2189" spans="1:2" ht="25.5" x14ac:dyDescent="0.25">
      <c r="A2189" s="3" t="s">
        <v>526</v>
      </c>
      <c r="B2189" s="3" t="s">
        <v>2128</v>
      </c>
    </row>
    <row r="2190" spans="1:2" ht="63.75" x14ac:dyDescent="0.25">
      <c r="A2190" s="3" t="s">
        <v>1114</v>
      </c>
      <c r="B2190" s="3" t="s">
        <v>2337</v>
      </c>
    </row>
    <row r="2191" spans="1:2" ht="38.25" x14ac:dyDescent="0.25">
      <c r="A2191" s="3" t="s">
        <v>1115</v>
      </c>
      <c r="B2191" s="3" t="s">
        <v>2338</v>
      </c>
    </row>
    <row r="2192" spans="1:2" ht="76.5" x14ac:dyDescent="0.25">
      <c r="A2192" s="3" t="s">
        <v>1116</v>
      </c>
      <c r="B2192" s="3" t="s">
        <v>2339</v>
      </c>
    </row>
    <row r="2193" spans="1:2" ht="76.5" x14ac:dyDescent="0.25">
      <c r="A2193" s="3" t="s">
        <v>1117</v>
      </c>
      <c r="B2193" s="3" t="s">
        <v>2340</v>
      </c>
    </row>
    <row r="2194" spans="1:2" ht="63.75" x14ac:dyDescent="0.25">
      <c r="A2194" s="3" t="s">
        <v>1118</v>
      </c>
      <c r="B2194" s="3" t="s">
        <v>2341</v>
      </c>
    </row>
    <row r="2195" spans="1:2" ht="63.75" x14ac:dyDescent="0.25">
      <c r="A2195" s="3" t="s">
        <v>1119</v>
      </c>
      <c r="B2195" s="3" t="s">
        <v>2342</v>
      </c>
    </row>
    <row r="2196" spans="1:2" ht="51" x14ac:dyDescent="0.25">
      <c r="A2196" s="3" t="s">
        <v>1120</v>
      </c>
      <c r="B2196" s="3" t="s">
        <v>2343</v>
      </c>
    </row>
    <row r="2197" spans="1:2" ht="51" x14ac:dyDescent="0.25">
      <c r="A2197" s="3" t="s">
        <v>1122</v>
      </c>
      <c r="B2197" s="3" t="s">
        <v>2344</v>
      </c>
    </row>
    <row r="2198" spans="1:2" ht="76.5" x14ac:dyDescent="0.25">
      <c r="A2198" s="3" t="s">
        <v>1124</v>
      </c>
      <c r="B2198" s="3" t="s">
        <v>2345</v>
      </c>
    </row>
    <row r="2199" spans="1:2" ht="76.5" x14ac:dyDescent="0.25">
      <c r="A2199" s="3" t="s">
        <v>1110</v>
      </c>
      <c r="B2199" s="3" t="s">
        <v>2333</v>
      </c>
    </row>
    <row r="2200" spans="1:2" ht="38.25" x14ac:dyDescent="0.25">
      <c r="A2200" s="3" t="s">
        <v>389</v>
      </c>
      <c r="B2200" s="3" t="s">
        <v>2027</v>
      </c>
    </row>
    <row r="2201" spans="1:2" ht="51" x14ac:dyDescent="0.25">
      <c r="A2201" s="3" t="s">
        <v>1147</v>
      </c>
      <c r="B2201" s="3" t="s">
        <v>1702</v>
      </c>
    </row>
    <row r="2202" spans="1:2" ht="51" x14ac:dyDescent="0.25">
      <c r="A2202" s="3" t="s">
        <v>1151</v>
      </c>
      <c r="B2202" s="3" t="s">
        <v>1705</v>
      </c>
    </row>
    <row r="2203" spans="1:2" ht="51" x14ac:dyDescent="0.25">
      <c r="A2203" s="3" t="s">
        <v>1228</v>
      </c>
      <c r="B2203" s="3" t="s">
        <v>1774</v>
      </c>
    </row>
    <row r="2204" spans="1:2" ht="38.25" x14ac:dyDescent="0.25">
      <c r="A2204" s="3" t="s">
        <v>1111</v>
      </c>
      <c r="B2204" s="3" t="s">
        <v>2334</v>
      </c>
    </row>
    <row r="2205" spans="1:2" ht="51" x14ac:dyDescent="0.25">
      <c r="A2205" s="3" t="s">
        <v>1245</v>
      </c>
      <c r="B2205" s="3" t="s">
        <v>1790</v>
      </c>
    </row>
    <row r="2206" spans="1:2" ht="38.25" x14ac:dyDescent="0.25">
      <c r="A2206" s="3" t="s">
        <v>1112</v>
      </c>
      <c r="B2206" s="3" t="s">
        <v>2335</v>
      </c>
    </row>
    <row r="2207" spans="1:2" ht="25.5" x14ac:dyDescent="0.25">
      <c r="A2207" s="3" t="s">
        <v>1113</v>
      </c>
      <c r="B2207" s="3" t="s">
        <v>2336</v>
      </c>
    </row>
    <row r="2208" spans="1:2" ht="25.5" x14ac:dyDescent="0.25">
      <c r="A2208" s="3" t="s">
        <v>526</v>
      </c>
      <c r="B2208" s="3" t="s">
        <v>2128</v>
      </c>
    </row>
    <row r="2209" spans="1:2" ht="63.75" x14ac:dyDescent="0.25">
      <c r="A2209" s="3" t="s">
        <v>1114</v>
      </c>
      <c r="B2209" s="3" t="s">
        <v>2337</v>
      </c>
    </row>
    <row r="2210" spans="1:2" ht="38.25" x14ac:dyDescent="0.25">
      <c r="A2210" s="3" t="s">
        <v>1115</v>
      </c>
      <c r="B2210" s="3" t="s">
        <v>2338</v>
      </c>
    </row>
    <row r="2211" spans="1:2" ht="76.5" x14ac:dyDescent="0.25">
      <c r="A2211" s="3" t="s">
        <v>1116</v>
      </c>
      <c r="B2211" s="3" t="s">
        <v>2339</v>
      </c>
    </row>
    <row r="2212" spans="1:2" ht="76.5" x14ac:dyDescent="0.25">
      <c r="A2212" s="3" t="s">
        <v>1117</v>
      </c>
      <c r="B2212" s="3" t="s">
        <v>2340</v>
      </c>
    </row>
    <row r="2213" spans="1:2" ht="63.75" x14ac:dyDescent="0.25">
      <c r="A2213" s="3" t="s">
        <v>1118</v>
      </c>
      <c r="B2213" s="3" t="s">
        <v>2341</v>
      </c>
    </row>
    <row r="2214" spans="1:2" ht="63.75" x14ac:dyDescent="0.25">
      <c r="A2214" s="3" t="s">
        <v>1119</v>
      </c>
      <c r="B2214" s="3" t="s">
        <v>2342</v>
      </c>
    </row>
    <row r="2215" spans="1:2" ht="51" x14ac:dyDescent="0.25">
      <c r="A2215" s="3" t="s">
        <v>1120</v>
      </c>
      <c r="B2215" s="3" t="s">
        <v>2343</v>
      </c>
    </row>
    <row r="2216" spans="1:2" ht="51" x14ac:dyDescent="0.25">
      <c r="A2216" s="3" t="s">
        <v>1122</v>
      </c>
      <c r="B2216" s="3" t="s">
        <v>2344</v>
      </c>
    </row>
    <row r="2217" spans="1:2" ht="76.5" x14ac:dyDescent="0.25">
      <c r="A2217" s="3" t="s">
        <v>1124</v>
      </c>
      <c r="B2217" s="3" t="s">
        <v>2345</v>
      </c>
    </row>
    <row r="2218" spans="1:2" ht="102" x14ac:dyDescent="0.25">
      <c r="A2218" s="3" t="s">
        <v>1128</v>
      </c>
      <c r="B2218" s="3" t="s">
        <v>2346</v>
      </c>
    </row>
    <row r="2219" spans="1:2" x14ac:dyDescent="0.25">
      <c r="A2219" s="4" t="s">
        <v>1303</v>
      </c>
      <c r="B2219" s="4" t="s">
        <v>1846</v>
      </c>
    </row>
    <row r="2220" spans="1:2" x14ac:dyDescent="0.25">
      <c r="A2220" s="4" t="s">
        <v>160</v>
      </c>
      <c r="B2220" s="4" t="s">
        <v>1887</v>
      </c>
    </row>
    <row r="2221" spans="1:2" x14ac:dyDescent="0.25">
      <c r="A2221" s="4" t="s">
        <v>1304</v>
      </c>
      <c r="B2221" s="4" t="s">
        <v>1847</v>
      </c>
    </row>
    <row r="2222" spans="1:2" x14ac:dyDescent="0.25">
      <c r="A2222" s="4" t="s">
        <v>1305</v>
      </c>
      <c r="B2222" s="4" t="s">
        <v>1848</v>
      </c>
    </row>
    <row r="2223" spans="1:2" x14ac:dyDescent="0.25">
      <c r="A2223" s="4" t="s">
        <v>1220</v>
      </c>
      <c r="B2223" s="4" t="s">
        <v>1768</v>
      </c>
    </row>
    <row r="2224" spans="1:2" x14ac:dyDescent="0.25">
      <c r="A2224" s="4" t="s">
        <v>1307</v>
      </c>
      <c r="B2224" s="4" t="s">
        <v>1849</v>
      </c>
    </row>
    <row r="2225" spans="1:2" x14ac:dyDescent="0.25">
      <c r="A2225" s="4" t="s">
        <v>1219</v>
      </c>
      <c r="B2225" s="4" t="s">
        <v>1767</v>
      </c>
    </row>
    <row r="2226" spans="1:2" x14ac:dyDescent="0.25">
      <c r="A2226" s="4" t="s">
        <v>1308</v>
      </c>
      <c r="B2226" s="4" t="s">
        <v>1850</v>
      </c>
    </row>
    <row r="2227" spans="1:2" x14ac:dyDescent="0.25">
      <c r="A2227" s="4" t="s">
        <v>1309</v>
      </c>
      <c r="B2227" s="4" t="s">
        <v>1851</v>
      </c>
    </row>
    <row r="2228" spans="1:2" x14ac:dyDescent="0.25">
      <c r="A2228" s="4" t="s">
        <v>1187</v>
      </c>
      <c r="B2228" s="4" t="s">
        <v>1736</v>
      </c>
    </row>
    <row r="2229" spans="1:2" x14ac:dyDescent="0.25">
      <c r="A2229" s="4" t="s">
        <v>1130</v>
      </c>
      <c r="B2229" s="4" t="s">
        <v>2347</v>
      </c>
    </row>
    <row r="2230" spans="1:2" x14ac:dyDescent="0.25">
      <c r="A2230" s="4" t="s">
        <v>1312</v>
      </c>
      <c r="B2230" s="4" t="s">
        <v>1854</v>
      </c>
    </row>
    <row r="2231" spans="1:2" x14ac:dyDescent="0.25">
      <c r="A2231" s="4" t="s">
        <v>529</v>
      </c>
      <c r="B2231" s="4" t="s">
        <v>2211</v>
      </c>
    </row>
    <row r="2232" spans="1:2" x14ac:dyDescent="0.25">
      <c r="A2232" s="4" t="s">
        <v>1339</v>
      </c>
      <c r="B2232" s="4" t="s">
        <v>1874</v>
      </c>
    </row>
    <row r="2233" spans="1:2" x14ac:dyDescent="0.25">
      <c r="A2233" s="4" t="s">
        <v>741</v>
      </c>
      <c r="B2233" s="4" t="s">
        <v>2212</v>
      </c>
    </row>
    <row r="2234" spans="1:2" x14ac:dyDescent="0.25">
      <c r="A2234" s="4" t="s">
        <v>1132</v>
      </c>
      <c r="B2234" s="4" t="s">
        <v>2348</v>
      </c>
    </row>
    <row r="2235" spans="1:2" x14ac:dyDescent="0.25">
      <c r="A2235" s="4" t="s">
        <v>1133</v>
      </c>
      <c r="B2235" s="4" t="s">
        <v>2349</v>
      </c>
    </row>
    <row r="2236" spans="1:2" x14ac:dyDescent="0.25">
      <c r="A2236" s="4" t="s">
        <v>1287</v>
      </c>
      <c r="B2236" s="4" t="s">
        <v>1833</v>
      </c>
    </row>
    <row r="2237" spans="1:2" x14ac:dyDescent="0.25">
      <c r="A2237" s="4" t="s">
        <v>1345</v>
      </c>
      <c r="B2237" s="4" t="s">
        <v>1878</v>
      </c>
    </row>
    <row r="2238" spans="1:2" x14ac:dyDescent="0.25">
      <c r="A2238" s="4" t="s">
        <v>1135</v>
      </c>
      <c r="B2238" s="4" t="s">
        <v>2350</v>
      </c>
    </row>
    <row r="2239" spans="1:2" x14ac:dyDescent="0.25">
      <c r="A2239" s="4" t="s">
        <v>1136</v>
      </c>
      <c r="B2239" s="4" t="s">
        <v>2351</v>
      </c>
    </row>
    <row r="2240" spans="1:2" x14ac:dyDescent="0.25">
      <c r="A2240" s="4" t="s">
        <v>1137</v>
      </c>
      <c r="B2240" s="4" t="s">
        <v>2352</v>
      </c>
    </row>
    <row r="2241" spans="1:2" x14ac:dyDescent="0.25">
      <c r="A2241" s="4" t="s">
        <v>545</v>
      </c>
      <c r="B2241" s="4" t="s">
        <v>2136</v>
      </c>
    </row>
    <row r="2242" spans="1:2" x14ac:dyDescent="0.25">
      <c r="A2242" s="4" t="s">
        <v>441</v>
      </c>
      <c r="B2242" s="4" t="s">
        <v>2075</v>
      </c>
    </row>
    <row r="2243" spans="1:2" x14ac:dyDescent="0.25">
      <c r="A2243" s="4" t="s">
        <v>1141</v>
      </c>
      <c r="B2243" s="4" t="s">
        <v>2353</v>
      </c>
    </row>
    <row r="2244" spans="1:2" x14ac:dyDescent="0.25">
      <c r="A2244" s="4" t="s">
        <v>1142</v>
      </c>
      <c r="B2244" s="4" t="s">
        <v>2354</v>
      </c>
    </row>
    <row r="2245" spans="1:2" x14ac:dyDescent="0.25">
      <c r="A2245" s="4" t="s">
        <v>1137</v>
      </c>
      <c r="B2245" s="4" t="s">
        <v>2352</v>
      </c>
    </row>
    <row r="2246" spans="1:2" x14ac:dyDescent="0.25">
      <c r="A2246" s="4" t="s">
        <v>545</v>
      </c>
      <c r="B2246" s="4" t="s">
        <v>2136</v>
      </c>
    </row>
    <row r="2247" spans="1:2" x14ac:dyDescent="0.25">
      <c r="A2247" s="4" t="s">
        <v>437</v>
      </c>
      <c r="B2247" s="4" t="s">
        <v>2072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file</vt:lpstr>
      <vt:lpstr>inumos depara</vt:lpstr>
      <vt:lpstr>depara</vt:lpstr>
      <vt:lpstr>inusmos_desc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Oliveira</dc:creator>
  <cp:lastModifiedBy>Cesar Oliveira</cp:lastModifiedBy>
  <dcterms:created xsi:type="dcterms:W3CDTF">2025-10-29T12:59:11Z</dcterms:created>
  <dcterms:modified xsi:type="dcterms:W3CDTF">2025-10-29T13:21:22Z</dcterms:modified>
</cp:coreProperties>
</file>